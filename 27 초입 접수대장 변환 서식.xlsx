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8575" windowHeight="11340" tabRatio="500" activeTab="5"/>
  </x:bookViews>
  <x:sheets>
    <x:sheet name="초입" sheetId="1" r:id="rId4"/>
    <x:sheet name="특수학교 희망" sheetId="2" r:id="rId5"/>
    <x:sheet name="심층관찰(6-7월)" sheetId="3" r:id="rId6"/>
    <x:sheet name="27.3.1.자 재배치" sheetId="4" r:id="rId7"/>
    <x:sheet name="초입 (특수학급)" sheetId="5" r:id="rId8"/>
    <x:sheet name="초입 (특수학교)" sheetId="6" r:id="rId9"/>
  </x:sheets>
  <x:definedNames>
    <x:definedName name="_xlnm._FilterDatabase" localSheetId="5" hidden="1">'초입 (특수학교)'!$O$1:$O$1000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<x:sst xmlns:r="http://schemas.openxmlformats.org/officeDocument/2006/relationships" xmlns:c="http://schemas.openxmlformats.org/drawingml/2006/chart" xmlns:x="http://schemas.openxmlformats.org/spreadsheetml/2006/main" count="7242" uniqueCount="1070">
  <x:si>
    <x:t>※심리평가보고서(2025.7.31.)
□K-WPPSI-IV: 전체IQ 43 (언어이해 50, 시공간 46, 유동추론 51,        
  작업기억 79, 처리속도 50/매우낮음)
□K-CARS-Ⅱ(ST): 총점 28.5점(증상이 없거나 최소한의 자폐 관련 행동)
□K-vineland-Ⅱ: 46(낮음/백분위0.1/%ile)
※심리평가보고서(2025.8.7.)
□PRES: 수용언어 25개월 2%ile 미만, 표현언어 23개월 2%ile 미만, 통합언어 24개월, 3년 이상 지연</x:t>
  </x:si>
  <x:si>
    <x:t>올해 7월 중 지적장애 복지카드 발급 위한 절차 시작예정, 10월까지 검사결과는 나올 것이라고는 하셨지만, 센터에서 검사를 받는 것도 번거롭진 않다고 하셔서 논의가 필요함.</x:t>
  </x:si>
  <x:si>
    <x:r>
      <x:rPr>
        <x:rFont val="Arial"/>
        <x:sz val="10"/>
        <x:color rgb="ffff0000"/>
      </x:rPr>
      <x:t>올해 7월 중 지적장애 복지카드 발급 위한 절차 시작예정</x:t>
    </x:r>
    <x:r>
      <x:rPr>
        <x:rFont val="Arial"/>
        <x:sz val="10"/>
        <x:color rgb="ff000000"/>
      </x:rPr>
      <x:t>, 10월까지 검사결과는 나올 것이라고는 하셨지만, 센터에서 검사를 받는 것도 번거롭진 않다고 하셔서 논의가 필요함.</x:t>
    </x:r>
  </x:si>
  <x:si>
    <x:t>※심리평가보고서(2026.5.14.)
□K-WPPSI-IV: 전체IQ 40 (언어이해 45, 시공간 46, 유동추론 45,        
  작업기억 45, 처리속도 45/매우낮음)
□사회성숙도: SA 2세 4개월, SQ 38.07(매우낮음)
□K-CARS-Ⅱ(ST): 총점 35점(경도에서 중등도 수준의 자폐 관련 행동)
-CBCL, 적응행동검사 추기실시?</x:t>
  </x:si>
  <x:si>
    <x:r>
      <x:t xml:space="preserve">※심리평가보고서(2026.5.14.)
□K-WPPSI-IV: 전체IQ 40 (언어이해 45, 시공간 46, 유동추론 45,        
  작업기억 45, 처리속도 45/매우낮음)
□사회성숙도: SA 2세 4개월, SQ 38.07(매우낮음)
□K-CARS-Ⅱ(ST): 총점 35점(경도에서 중등도 수준의 자폐 관련 행동)
</x:t>
    </x:r>
    <x:r>
      <x:rPr>
        <x:rFont val="Arial"/>
        <x:sz val="10"/>
        <x:color rgb="ff0000ff"/>
      </x:rPr>
      <x:t>-CBCL, 적응행동검사 추기실시?</x:t>
    </x:r>
  </x:si>
  <x:si>
    <x:t>※심리평가보고서(2026.03.16.)
□ADOS-2: 총점26 (높음)(모듈1 시행, cut off 16)
□사회성숙도: SA 2세 4개월, SQ 38(매우낮음)
□K-CARS 2: 총점 39점(중도 수준의 자폐 관련 행동)
---
※2026년 7월 13일 검사 실시
□K-WISC-V: 전체IQ 40(언어이해 50, 시공간 50, 유동추론 50, 작업기억 53, 처리속도 55/매우 낮음)
□적응행동검사: 표준점수 70(저조한 수준)
□CBCL: 문제행동총점 63T(준임상범위), 
내재화 61T(준임상범위), 외현화 61T(준임상범위)</x:t>
  </x:si>
  <x:si>
    <x:t>구지초병유 김시율보다 조금 약한 정도. 교육이 덜 되었지만, 자폐 여아 치고는 행동문제가 비교적 적음. 인지, 소근육 높진 않음. 자폐 성향은 강해보임. 활동도 매우 제한적임. 통합 어려움 예상은 됨.</x:t>
  </x:si>
  <x:si>
    <x:t>*학부모 직장 근거리 학교 희망(최근거리 호평초 말고 평동초 희망) / 증빙서류 제출함 재직증명서, 가족관계증명서
*직장 기준 2근거리 판곡초, 3근거리 구룡초임(원본 2희망 구룡초, 3희망 호평초였음)</x:t>
  </x:si>
  <x:si>
    <x:t>*학생 등본상 거주지와 보호자 등본상 거주지가 다르나 보호자는 학생과 구리남양주에서 실거주 중임. 등본과 가족관계증명서 추가제출 완료
*화접초 학구
*복지카드 7.22.수 10시 방문 예정</x:t>
  </x:si>
  <x:si>
    <x:t>경기도 남양주시 덕소로 2번길 39, 덕소강변삼익@ 108동 1502호</x:t>
  </x:si>
  <x:si>
    <x:t>1. 남양주다산초등학교
2. 다산하늘초등학교
3. 다산새봄초등학교</x:t>
  </x:si>
  <x:si>
    <x:t>경기도 남양주시 화도읍 먹갓로 28번길 39-12 신강남 가-102호</x:t>
  </x:si>
  <x:si>
    <x:t>경기도 구리시 검배로 142 204동, 1104호(SK신일아파트)</x:t>
  </x:si>
  <x:si>
    <x:t>경기도 남양주시 천마산로 65-2 103동 1503호(라인그린아파트)</x:t>
  </x:si>
  <x:si>
    <x:t>1. 다산새봄초등학교
2. 남양주다산초등학교
3. 다산하늘초등학교</x:t>
  </x:si>
  <x:si>
    <x:t>경기도 남양주시 진접읍 장현로 87번길 9, 남양주택 라동 403호</x:t>
  </x:si>
  <x:si>
    <x:t>한셀과 PDF 신청교 다름 확인 / 다른 특대자 김해준,박우영 취소</x:t>
  </x:si>
  <x:si>
    <x:t>경기도 남양주시 화도읍 녹촌로20, 101동1103호(신한토탈아파트)</x:t>
  </x:si>
  <x:si>
    <x:t>경기도 남양주시 다산순환로 242, 다산자이폴라리스 1404동 603호</x:t>
  </x:si>
  <x:si>
    <x:t>경기도 남양주시 다산지금로 146번길 117, 7502동 2902호</x:t>
  </x:si>
  <x:si>
    <x:t>1. 남양주다산초등학교
2. 다산새봄초등학교
3. 다산하늘초등학교</x:t>
  </x:si>
  <x:si>
    <x:t>1. 다산하늘초등학교
2. 남양주다산초등학교
3. 다산새봄초등학교</x:t>
  </x:si>
  <x:si>
    <x:t>1. 다산새봄초등학교
2. 다산가람초등학교
3. 남양주다산초등학교</x:t>
  </x:si>
  <x:si>
    <x:t xml:space="preserve">경기도 남양주시 다산지금로146번길 100, 7602동 2802호 </x:t>
  </x:si>
  <x:si>
    <x:t>경기도 남양주시 화도읍 녹촌로 51, 신창현두산위브 104동 1101호</x:t>
  </x:si>
  <x:si>
    <x:t>※심리평가보고서(2026.06.08.)
□ K-WPPSI-Ⅳ: 전체IQ 69(언어이해 98, 시공간 49, 유동추론 78, 작업기억 83, 처리속도 67/매우 낮음)
□사회성숙도: SA 3세 7개월, SQ 73(경계선)
□VMI, CARS-2, PRES 등 기타 원본 참고</x:t>
  </x:si>
  <x:si>
    <x:t>※심리평가보고서(2026.05.12.)
□ K-WPPSI-Ⅳ: 전체IQ 53(언어이해 50, 시공간 52, 유동추론 66, 작업기억 52, 처리속도 61/매우 낮음)
□사회성숙도: SA 2세 11개월, SQ 53.69(경도)
□적응행동검사: 표준점수 57(상당히 저조한 수준)</x:t>
  </x:si>
  <x:si>
    <x:t>0.5</x:t>
  </x:si>
  <x:si>
    <x:t>김도현</x:t>
  </x:si>
  <x:si>
    <x:t>성별</x:t>
  </x:si>
  <x:si>
    <x:t>2희망</x:t>
  </x:si>
  <x:si>
    <x:t>영역</x:t>
  </x:si>
  <x:si>
    <x:t>김규리</x:t>
  </x:si>
  <x:si>
    <x:t>연락처</x:t>
  </x:si>
  <x:si>
    <x:t>학년</x:t>
  </x:si>
  <x:si>
    <x:t>성명</x:t>
  </x:si>
  <x:si>
    <x:t>박서준</x:t>
  </x:si>
  <x:si>
    <x:t>학교명</x:t>
  </x:si>
  <x:si>
    <x:t>희망교</x:t>
  </x:si>
  <x:si>
    <x:t>소속교</x:t>
  </x:si>
  <x:si>
    <x:t>3희망</x:t>
  </x:si>
  <x:si>
    <x:t>기존</x:t>
  </x:si>
  <x:si>
    <x:t>정이안</x:t>
  </x:si>
  <x:si>
    <x:t>1희망</x:t>
  </x:si>
  <x:si>
    <x:t>신규</x:t>
  </x:si>
  <x:si>
    <x:t>주소</x:t>
  </x:si>
  <x:si>
    <x:t>안선영</x:t>
  </x:si>
  <x:si>
    <x:t>류창준</x:t>
  </x:si>
  <x:si>
    <x:t>우미란</x:t>
  </x:si>
  <x:si>
    <x:t>지역</x:t>
  </x:si>
  <x:si>
    <x:t>목</x:t>
  </x:si>
  <x:si>
    <x:t>화</x:t>
  </x:si>
  <x:si>
    <x:t>금</x:t>
  </x:si>
  <x:si>
    <x:t>여</x:t>
  </x:si>
  <x:si>
    <x:t>일</x:t>
  </x:si>
  <x:si>
    <x:t>중증</x:t>
  </x:si>
  <x:si>
    <x:t>수</x:t>
  </x:si>
  <x:si>
    <x:t>O</x:t>
  </x:si>
  <x:si>
    <x:t>이로하</x:t>
  </x:si>
  <x:si>
    <x:t>정지현</x:t>
  </x:si>
  <x:si>
    <x:t>진시아</x:t>
  </x:si>
  <x:si>
    <x:t>심한</x:t>
  </x:si>
  <x:si>
    <x:t>이성진</x:t>
  </x:si>
  <x:si>
    <x:t>정지혜</x:t>
  </x:si>
  <x:si>
    <x:t>김성연</x:t>
  </x:si>
  <x:si>
    <x:t>함채이</x:t>
  </x:si>
  <x:si>
    <x:t>토</x:t>
  </x:si>
  <x:si>
    <x:t>보호자</x:t>
  </x:si>
  <x:si>
    <x:t>경증</x:t>
  </x:si>
  <x:si>
    <x:t>남</x:t>
  </x:si>
  <x:si>
    <x:t>월</x:t>
  </x:si>
  <x:si>
    <x:t>정도</x:t>
  </x:si>
  <x:si>
    <x:t/>
  </x:si>
  <x:si>
    <x:t>도농초</x:t>
  </x:si>
  <x:si>
    <x:t>없음</x:t>
  </x:si>
  <x:si>
    <x:t>정시우</x:t>
  </x:si>
  <x:si>
    <x:t>김서후</x:t>
  </x:si>
  <x:si>
    <x:t>화도초</x:t>
  </x:si>
  <x:si>
    <x:t>최규현</x:t>
  </x:si>
  <x:si>
    <x:t>김서율</x:t>
  </x:si>
  <x:si>
    <x:t>유치원</x:t>
  </x:si>
  <x:si>
    <x:t>손효주</x:t>
  </x:si>
  <x:si>
    <x:t>마석초</x:t>
  </x:si>
  <x:si>
    <x:t>김시후</x:t>
  </x:si>
  <x:si>
    <x:t>장루하</x:t>
  </x:si>
  <x:si>
    <x:t>신주원</x:t>
  </x:si>
  <x:si>
    <x:t>김영미</x:t>
  </x:si>
  <x:si>
    <x:t>문채환</x:t>
  </x:si>
  <x:si>
    <x:t>구룡초</x:t>
  </x:si>
  <x:si>
    <x:t>정인아</x:t>
  </x:si>
  <x:si>
    <x:t>문시현</x:t>
  </x:si>
  <x:si>
    <x:t>윤세련</x:t>
  </x:si>
  <x:si>
    <x:t>1a</x:t>
  </x:si>
  <x:si>
    <x:t>최시환</x:t>
  </x:si>
  <x:si>
    <x:t>이선재</x:t>
  </x:si>
  <x:si>
    <x:t>강혜은</x:t>
  </x:si>
  <x:si>
    <x:t>창현초</x:t>
  </x:si>
  <x:si>
    <x:t>김슬아</x:t>
  </x:si>
  <x:si>
    <x:t>오하린</x:t>
  </x:si>
  <x:si>
    <x:t>임유진</x:t>
  </x:si>
  <x:si>
    <x:t>장하영</x:t>
  </x:si>
  <x:si>
    <x:t>연번</x:t>
  </x:si>
  <x:si>
    <x:t>김이현</x:t>
  </x:si>
  <x:si>
    <x:t>일본</x:t>
  </x:si>
  <x:si>
    <x:t>2b</x:t>
  </x:si>
  <x:si>
    <x:t>장우준</x:t>
  </x:si>
  <x:si>
    <x:t>오세준</x:t>
  </x:si>
  <x:si>
    <x:t>2a</x:t>
  </x:si>
  <x:si>
    <x:t>채승현</x:t>
  </x:si>
  <x:si>
    <x:t>이수빈</x:t>
  </x:si>
  <x:si>
    <x:t>오태희</x:t>
  </x:si>
  <x:si>
    <x:t>양서율</x:t>
  </x:si>
  <x:si>
    <x:t>박태연</x:t>
  </x:si>
  <x:si>
    <x:t>이예찬</x:t>
  </x:si>
  <x:si>
    <x:t>김루하</x:t>
  </x:si>
  <x:si>
    <x:t>김주연</x:t>
  </x:si>
  <x:si>
    <x:t>조이언</x:t>
  </x:si>
  <x:si>
    <x:t>이지오</x:t>
  </x:si>
  <x:si>
    <x:t>이유나</x:t>
  </x:si>
  <x:si>
    <x:t>김서진</x:t>
  </x:si>
  <x:si>
    <x:t>이지성</x:t>
  </x:si>
  <x:si>
    <x:t>권우주</x:t>
  </x:si>
  <x:si>
    <x:t>이지효</x:t>
  </x:si>
  <x:si>
    <x:t>홍나예</x:t>
  </x:si>
  <x:si>
    <x:t>완료</x:t>
  </x:si>
  <x:si>
    <x:t>의정부</x:t>
  </x:si>
  <x:si>
    <x:t>박재하</x:t>
  </x:si>
  <x:si>
    <x:t>미흡</x:t>
  </x:si>
  <x:si>
    <x:t>김서하</x:t>
  </x:si>
  <x:si>
    <x:t>김기윤</x:t>
  </x:si>
  <x:si>
    <x:t>허원영</x:t>
  </x:si>
  <x:si>
    <x:t>한준영</x:t>
  </x:si>
  <x:si>
    <x:t>김로건</x:t>
  </x:si>
  <x:si>
    <x:t>1b</x:t>
  </x:si>
  <x:si>
    <x:t>박준상</x:t>
  </x:si>
  <x:si>
    <x:t>윤수아</x:t>
  </x:si>
  <x:si>
    <x:t>천수호</x:t>
  </x:si>
  <x:si>
    <x:t>박규빈</x:t>
  </x:si>
  <x:si>
    <x:t>이인규</x:t>
  </x:si>
  <x:si>
    <x:t>김연성</x:t>
  </x:si>
  <x:si>
    <x:t>강민찬</x:t>
  </x:si>
  <x:si>
    <x:t>뇌병변</x:t>
  </x:si>
  <x:si>
    <x:t>황민지</x:t>
  </x:si>
  <x:si>
    <x:t>조하준</x:t>
  </x:si>
  <x:si>
    <x:t>김시원</x:t>
  </x:si>
  <x:si>
    <x:t>윤하진</x:t>
  </x:si>
  <x:si>
    <x:t>손신애</x:t>
  </x:si>
  <x:si>
    <x:t>김하람</x:t>
  </x:si>
  <x:si>
    <x:t>김다원</x:t>
  </x:si>
  <x:si>
    <x:t>김시율</x:t>
  </x:si>
  <x:si>
    <x:t>이아윤</x:t>
  </x:si>
  <x:si>
    <x:t>이로운</x:t>
  </x:si>
  <x:si>
    <x:t>이신애</x:t>
  </x:si>
  <x:si>
    <x:t>발급중</x:t>
  </x:si>
  <x:si>
    <x:t>민서연</x:t>
  </x:si>
  <x:si>
    <x:t>김하린</x:t>
  </x:si>
  <x:si>
    <x:t>윤시우</x:t>
  </x:si>
  <x:si>
    <x:t>최민재</x:t>
  </x:si>
  <x:si>
    <x:t>김보라</x:t>
  </x:si>
  <x:si>
    <x:t>권대훈</x:t>
  </x:si>
  <x:si>
    <x:t>박교빈</x:t>
  </x:si>
  <x:si>
    <x:t>서민재</x:t>
  </x:si>
  <x:si>
    <x:t>엄주환</x:t>
  </x:si>
  <x:si>
    <x:t>김하건</x:t>
  </x:si>
  <x:si>
    <x:t>정모건</x:t>
  </x:si>
  <x:si>
    <x:t>이태훈</x:t>
  </x:si>
  <x:si>
    <x:t>장바다</x:t>
  </x:si>
  <x:si>
    <x:t>강윤채</x:t>
  </x:si>
  <x:si>
    <x:t>김주하</x:t>
  </x:si>
  <x:si>
    <x:t>임준호</x:t>
  </x:si>
  <x:si>
    <x:t>강규리</x:t>
  </x:si>
  <x:si>
    <x:t>한미선</x:t>
  </x:si>
  <x:si>
    <x:t>조민채</x:t>
  </x:si>
  <x:si>
    <x:t>최은우</x:t>
  </x:si>
  <x:si>
    <x:t>이희민</x:t>
  </x:si>
  <x:si>
    <x:t>김태리</x:t>
  </x:si>
  <x:si>
    <x:t>이윤아</x:t>
  </x:si>
  <x:si>
    <x:t>장도윤</x:t>
  </x:si>
  <x:si>
    <x:t>구현모</x:t>
  </x:si>
  <x:si>
    <x:t>김수영</x:t>
  </x:si>
  <x:si>
    <x:t>배건률</x:t>
  </x:si>
  <x:si>
    <x:t>황가연</x:t>
  </x:si>
  <x:si>
    <x:t>양세린</x:t>
  </x:si>
  <x:si>
    <x:t>구분</x:t>
  </x:si>
  <x:si>
    <x:t>유태영</x:t>
  </x:si>
  <x:si>
    <x:t>서민지</x:t>
  </x:si>
  <x:si>
    <x:t>박채호</x:t>
  </x:si>
  <x:si>
    <x:t>강경민</x:t>
  </x:si>
  <x:si>
    <x:t>최모건</x:t>
  </x:si>
  <x:si>
    <x:t>박경민</x:t>
  </x:si>
  <x:si>
    <x:t>이해빈</x:t>
  </x:si>
  <x:si>
    <x:t>김유안</x:t>
  </x:si>
  <x:si>
    <x:t>김해지</x:t>
  </x:si>
  <x:si>
    <x:t>이정우</x:t>
  </x:si>
  <x:si>
    <x:t>초입</x:t>
  </x:si>
  <x:si>
    <x:t>김지혜</x:t>
  </x:si>
  <x:si>
    <x:t>박시영</x:t>
  </x:si>
  <x:si>
    <x:t>김도연</x:t>
  </x:si>
  <x:si>
    <x:t>임경희</x:t>
  </x:si>
  <x:si>
    <x:t>정동희</x:t>
  </x:si>
  <x:si>
    <x:t>홍아현</x:t>
  </x:si>
  <x:si>
    <x:t>※심리평가보고서
□ 지능검사 결과(08.04. 결과지 수령 예정),
□ 사회성숙도: SA 3세 11개월, SQ 65.1(경도)
□ 적응행동검사: 표준점수 71 (저조한 수준)
※심리평가보고서(2025.7.1.)(CA 60개월시점)
□PRES: 수용언어 70점 (3세6개월/2%ile) , 표현언어 81.67점 (4세 1
  개월/6%ile)
□U-TAP2: 자음정확도 63.83% (&lt;1%ile/중도)</x:t>
  </x:si>
  <x:si>
    <x:r>
      <x:t xml:space="preserve">※심리평가보고서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9900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9900"/>
          </x:rPr>
        </mc:Fallback>
      </mc:AlternateContent>
      <x:t>□ 지능검사 결과(08.04. 결과지 수령 예정),</x:t>
    </x:r>
    <x:r>
      <x:rPr>
        <x:rFont val="Arial"/>
        <x:sz val="10"/>
        <x:color rgb="ff000000"/>
      </x:rPr>
      <x:t xml:space="preserve">
□ 사회성숙도: SA 3세 11개월, SQ 65.1(경도)
□ 적응행동검사: 표준점수 71 (저조한 수준)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38761d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38761d"/>
          </x:rPr>
        </mc:Fallback>
      </mc:AlternateContent>
      <x:t xml:space="preserve">
</x:t>
    </x:r>
    <x:r>
      <x:rPr>
        <x:rFont val="Arial"/>
        <x:sz val="10"/>
        <x:color rgb="ff000000"/>
      </x:rPr>
      <x:t>※심리평가보고서(2025.7.1.)(CA 60개월시점)
□PRES: 수용언어 70점 (3세6개월/2%ile) , 표현언어 81.67점 (4세 1
  개월/6%ile)
□U-TAP2: 자음정확도 63.83% (&lt;1%ile/중도)</x:t>
    </x:r>
  </x:si>
  <x:si>
    <x:t>*활보 가능한 최근거리교 화도초 희망
*2,3희망교 근거리가X 사유 제출함. 활보 이용 때문에.
*원래 2근거리 송라초1.7, 3근거리 은솔초 2.3</x:t>
  </x:si>
  <x:si>
    <x:t>복지카드 발급중 (자폐 중증) / 발급 완료되면 복지카드 추가 제출 안내 / 3근거리 내양초X 한별초0 안내 / 복지카드 없어도 자폐성장애 진단 가능</x:t>
  </x:si>
  <x:si>
    <x:t>*2희망 월문초 일반학급 작성. 별도의 증빙서류 없기에 배치에 반영은 어려움 안내, 3근거리 도곡초 1.7
* 원본 수정파일 들어올 예정 / 들어옴</x:t>
  </x:si>
  <x:si>
    <x:r>
      <x:t xml:space="preserve">복지카드 발급중 (자폐 중증) / 발급 완료되면 복지카드 추가 제출 안내 / 3근거리 내양초X 한별초0 안내 / </x:t>
    </x:r>
    <x:r>
      <x:rPr>
        <x:rFont val="Arial"/>
        <x:sz val="10"/>
        <x:color rgb="ffff0000"/>
      </x:rPr>
      <x:t>복지카드 없어도 자폐성장애 진단 가능</x:t>
    </x:r>
  </x:si>
  <x:si>
    <x:r>
      <x:t xml:space="preserve">*활보 가능한 최근거리교 화도초 희망
</x:t>
    </x:r>
    <x:r>
      <x:rPr>
        <x:rFont val="Arial"/>
        <x:sz val="10"/>
        <x:color rgb="ff000000"/>
      </x:rPr>
      <x:t>*2,3희망교 근거리가X 사유 제출함. 활보 이용 때문에.
*원래 2근거리 송라초1.7, 3근거리 은솔초 2.3</x:t>
    </x:r>
  </x:si>
  <x:si>
    <x:r>
      <x:t xml:space="preserve">6/26(금), 6/29(월), </x:t>
    </x:r>
    <x:r>
      <x:rPr>
        <x:rFont val="Arial"/>
        <x:sz val="10"/>
        <x:color rgb="ff0000ff"/>
      </x:rPr>
      <x:t xml:space="preserve">6/30(화) 10시 </x:t>
    </x:r>
    <x:r>
      <x:rPr>
        <x:rFont val="Arial"/>
        <x:sz val="10"/>
        <x:color rgb="ff000000"/>
      </x:rPr>
      <x:t xml:space="preserve">
교사메일: sde1109@naver.com</x:t>
    </x:r>
  </x:si>
  <x:si>
    <x:r>
      <x:t xml:space="preserve">26.6.26에 병원에서 윕시 검사 실시, 검사결과 유치원으로 제출 안내완
</x:t>
    </x:r>
    <x:r>
      <x:rPr>
        <x:rFont val="Arial"/>
        <x:sz val="10"/>
        <x:color rgb="ff0000ff"/>
      </x:rPr>
      <x:t xml:space="preserve">사회성숙도 추가실시 </x:t>
    </x:r>
  </x:si>
  <x:si>
    <x:t>경기도 남양주시 와부읍 덕소로 97번길 12, 207동104호
(7월31일 강동구에서 거주지 이전)</x:t>
  </x:si>
  <x:si>
    <x:t xml:space="preserve">26.6.26에 병원에서 윕시 검사 실시, 검사결과 유치원으로 제출 안내완
사회성숙도 추가실시 </x:t>
  </x:si>
  <x:si>
    <x:t>*(관외_광주하남) 진단평가결과X / 추후 수령 예정
*와부초 거리 근거 3희망으로 임의변경함.</x:t>
  </x:si>
  <x:si>
    <x:t>*3근거리 창현초1.4, 화도초1.5, 은솔초1.5임
*송라, 마석, 화도 순으로 수정 제출함</x:t>
  </x:si>
  <x:si>
    <x:t>발달지체로 작성했지만 자폐성장애로 유형 변경 가능성 인지
진단서: 소아기 자폐증(임상적 추정)</x:t>
  </x:si>
  <x:si>
    <x:t xml:space="preserve">특수학교를 희망하나 일본에 거주 중이라, 7~8월 중 심층관찰 일정 협의 예정 / 현재 귀국 예정은 없고, 8/21(금)까지 심층 마쳐야 함을 문자로 안내함. </x:t>
  </x:si>
  <x:si>
    <x:t>7월30일 거주지 이전 / 대중교통 이용 / 현 주소 기준으로 거리 작성됨 / 자차기준 토평, 백문, 도림, 교문 모두 1.1~1.2km임 / 1순위 안되면 참고</x:t>
  </x:si>
  <x:si>
    <x:t>경기도 남양주시 천마산로 65, 116동 404호 (호평동, 호평파라곤)
직장: 경기도 남양주시 호평로46번길 8, 클랑피아노교습소</x:t>
  </x:si>
  <x:si>
    <x:t>□ 복지카드: 뇌병변장애 중증(~2029.02.14.)
□ 장애인증명서(지적장애 심한 장애, 뇌병변 심한 장애, 2026.06.12.)</x:t>
  </x:si>
  <x:si>
    <x:t xml:space="preserve">의뢰서 수정공문 요청. / 배치유형, 등본확인 / 6.26에 외부 평가 실시함 / 양식 수정본과 함께 결과 보고서 공문으로 받아야함 </x:t>
  </x:si>
  <x:si>
    <x:t>*복지카드 원본대조필 / 주소 교사 확인 / 2,3희망교 순위 변경 / 한셀파일 추가
*수정본 접수. 샛별초 2희망 보호자 의견서 제출</x:t>
  </x:si>
  <x:si>
    <x:t>자폐로 유형변경, 서식1 서식2 수정해서 공문 추가 받음
*보호자는 자폐 기각되면 발달지체 유지 희망
*최근거리교 미희망 의견서 첨부</x:t>
  </x:si>
  <x:si>
    <x:t>1년 유예, 약 잠시 먹다 중단, 영아반에서 생활... 교육기회 부족으로 인한 현행수준으로 보임. 방방 뛰는거 말고는 크게 방해X</x:t>
  </x:si>
  <x:si>
    <x:t>1. 남양주덕송초등학교
2. 샛별초등학교
3. 별가람초등학교</x:t>
  </x:si>
  <x:si>
    <x:t>※심리평가보고서(2026.3.26.)
□K-WPPSI-IV: 전체IQ 40 (언어이해 45, 시공간 52, 유동추론 45,        
  작업기억 45, 처리속도 45/매우낮음)
□사회성숙도: SA 2세 7개월, SQ 47.79(매우낮음)
□K-CARS-Ⅱ(ST): 총점 34점(경도에서 중등도 수준의 자폐 관련 행동)</x:t>
  </x:si>
  <x:si>
    <x:t>동생이 오남초병유 재원. 초등학교도 학구인 오남초에 배치 받아야 등하원 용이. 의견서 및 증빙서류 제출</x:t>
  </x:si>
  <x:si>
    <x:t>□ 장애인증명서: 지적장애 심한장애(~26.3.20.)
□ 진단서: 상세불명의 다운증후군(26.2.19.)</x:t>
  </x:si>
  <x:si>
    <x:t>*장승초에 재학 중인 장애 형제와 동일교 배치 희망
*형제 재학증명서 추가 제출 전화 요청하고 받았음</x:t>
  </x:si>
  <x:si>
    <x:t>-26년4월 유치 상시 평가결과 활용
-26년4월 상시 부평초병유 배치 후 5월에 바로 취소(방과후 문제)</x:t>
  </x:si>
  <x:si>
    <x:t>자폐로 장애유형 변경 요청 / 배치희망교 2,3순위 고산에서 샛별, 덕송으로 변경 요청 / 수정공문 완료</x:t>
  </x:si>
  <x:si>
    <x:t>내년에 초등학교 입학하는 비장애 자녀와 다른 학교 배치를 희망하요 1~3희망교를 모두 학구 외로 기재</x:t>
  </x:si>
  <x:si>
    <x:t>*서식1과 서식2 장애유형 달라. 발달지체/자폐성장애... 확인, 수정필
*구룡초, 판곡초 공동학구임</x:t>
  </x:si>
  <x:si>
    <x:t>장애인증명서 추가 제출 예정 / 지적,뇌병변에서 지적으로 변경 예정 / 7월중 이메일로 예정. 문자 보냄. / 들어옴</x:t>
  </x:si>
  <x:si>
    <x:t>경기도 구리시 갈매중앙로 131, 311-102</x:t>
  </x:si>
  <x:si>
    <x:t>경기도 남양주시 미금로24 805동 1104호</x:t>
  </x:si>
  <x:si>
    <x:t>1. 미금초등학교
2. 도농초
3. 다산새봄초</x:t>
  </x:si>
  <x:si>
    <x:t>경기도 남양주시 와부읍 덕소로 71번길 9-18</x:t>
  </x:si>
  <x:si>
    <x:t>경은 기각되면 취학유예 또는 재활 위해 면제 고려</x:t>
  </x:si>
  <x:si>
    <x:t>경기도 구리시 안골로20번길 8-17, 101호</x:t>
  </x:si>
  <x:si>
    <x:t>경기도 구리시 검배로 15번길11, 201호</x:t>
  </x:si>
  <x:si>
    <x:t>1. 화도초등학교
2. 은솔초등학교
3. 창현초</x:t>
  </x:si>
  <x:si>
    <x:t>주소 확인자 서명 누락. 수정요청. / 수정완료</x:t>
  </x:si>
  <x:si>
    <x:t>경기도 구리시 건원대로 92, 104동 1603호</x:t>
  </x:si>
  <x:si>
    <x:t>경기도 남양주시 다산순환로333, 2403-901</x:t>
  </x:si>
  <x:si>
    <x:t>쌍둥이(김서하)와 동일교 배치 희망, 등본제출함</x:t>
  </x:si>
  <x:si>
    <x:t>1. 평동초등학교
2. 판곡초등학교
3. 구룡초</x:t>
  </x:si>
  <x:si>
    <x:t>□ 복지카드: 청각장애 중증(유효기한 없음)</x:t>
  </x:si>
  <x:si>
    <x:t>경기도 남양주시 식송2로 6-14, 202호</x:t>
  </x:si>
  <x:si>
    <x:t>경기도 남양주시 백봉로 32, 126동 2001호</x:t>
  </x:si>
  <x:si>
    <x:t>경기도 남양주시 백봉로 32, 105동 701동</x:t>
  </x:si>
  <x:si>
    <x:t>쌍둥이(김루하)와 동일교 배치 희망, 등본제출함</x:t>
  </x:si>
  <x:si>
    <x:t>경기도 구리시 산마루로 46, 409동 1302호</x:t>
  </x:si>
  <x:si>
    <x:t>진단평가 필요, 약X, 인지 양호, 장애미등록</x:t>
  </x:si>
  <x:si>
    <x:t>경기도 구리시 갈매중앙로 16, 701-2402</x:t>
  </x:si>
  <x:si>
    <x:t>1. 하랑초등학교
2. 평동초등학교
3. 구룡초</x:t>
  </x:si>
  <x:si>
    <x:t>1. 남양주백봉초등학교
2. 남양주백봉초등학교</x:t>
  </x:si>
  <x:si>
    <x:t>※2026년 3월 3일 검사 실시
□K-WPPSI-IV: 전체IQ 80 (언어이해 71, 시공간 120, 유동추론 69,        
  작업기억 89, 처리속도 84/평균 이하)
  *GAI 지표점수 87(평균 이하)
□사회성숙도: SA 3세 9개월, SQ 78.8(경계선)
□적응행동검사: 표준점수 73(저조한 수준)
※2026년 3월 18일 언어검사 실시(검사당시 5세 3개월)
□PRES: 수용언어 31점 (4세4개월/5%ile) , 표현언어 30점 (3세 11
  개월/5%ile), 통합언어 50개월(4세 2개월)
□U-TAP2: 자음정확도 62.77% (-2SD/조음치료 요망)</x:t>
  </x:si>
  <x:si>
    <x:t>자폐로 장애유형 변경 요청 / 배치희망교 2,3순위 고산에서 샛별, 덕송으로 변경 요청</x:t>
  </x:si>
  <x:si>
    <x:t>7월31일 거주지 이전 예정 / 여기서 SMS, 적응행동 실시(유아용, 초중등용 모두)</x:t>
  </x:si>
  <x:si>
    <x:r>
      <x:t xml:space="preserve">의사소통장애
</x:t>
    </x:r>
    <x:r>
      <x:rPr>
        <x:rFont val="Arial"/>
        <x:sz val="10"/>
        <x:color rgb="ff0000ff"/>
      </x:rPr>
      <x:t>(지적장애 범주이나, 검사결과 신뢰X, 발달지체?, 심층관찰 시 자폐 성향)</x:t>
    </x:r>
  </x:si>
  <x:si>
    <x:t>장애등록X, 특수학급학생, 최근거리교 확인 및 수정, 한셀시트2 추가 요청 / 수정공문 완료</x:t>
  </x:si>
  <x:si>
    <x:t>□ 장애인증명서: 지적장애 심한·뇌병변장애 심하지 않은 
(취득일: 2024.01.05.)</x:t>
  </x:si>
  <x:si>
    <x:t>경기도 남양주시 화도읍 비룡로116번길35, 305동 303호(마석역신도브래뉴3차아파트)</x:t>
  </x:si>
  <x:si>
    <x:t>의사소통장애
(지적장애 범주이나, 검사결과 신뢰X, 발달지체?, 심층관찰 시 자폐 성향)</x:t>
  </x:si>
  <x:si>
    <x:t>경기도 남양주시 화도읍 경춘보학2길 29, 302동 9층 901호 (라온프라이빗아파트)</x:t>
  </x:si>
  <x:si>
    <x:t>장애유형, 특수학교 희망교 수정 요청 / 최근거리는 창현초이지만, 학구가 마석초등학교임</x:t>
  </x:si>
  <x:si>
    <x:t>경기도 남양주시 다산중앙로 123번길 29, 3403동 604호(다산역 자연앤푸르지오)</x:t>
  </x:si>
  <x:si>
    <x:t>경기도 남양주시 와부읍 덕소로116번길 12, 603동 504호 (덕소강변신일해피트리아파트)</x:t>
  </x:si>
  <x:si>
    <x:t>경기도 남양주시 다산중앙로82번길 12, 5302동 2502호(다산자연앤 이편한세상 3차)</x:t>
  </x:si>
  <x:si>
    <x:t>□ 복지카드: 지적·뇌병변장애 중증(~2030.10.24.)
□ 장애인증명서(지적장애 심한장애, 뇌병변 심한장애, 2019.07.05.)</x:t>
  </x:si>
  <x:si>
    <x:t>최근거리는 동구초지만, 현재 재원중인 구지초병유의 또래 관계 유지 및 원만한 학교 적응을 위해 구지초를 1희망으로 신청 / 1,2희망교는 도보</x:t>
  </x:si>
  <x:si>
    <x:t>경기도 남양주시 화도읍 비룡로 116번길35, 304동 903호 신도브래뉴3차</x:t>
  </x:si>
  <x:si>
    <x:t>복지카드 유효기한은 2027년 2월이나 장애인증명서가 있어서 갈음 가능함</x:t>
  </x:si>
  <x:si>
    <x:t>경기도 남양주시 다산중앙로 82번길15, 5106동 1201호(다산e편한세상)</x:t>
  </x:si>
  <x:si>
    <x:t>경기도 남양주시 오남읍 진건오남로759번길 5, 101동 207호(보영아파트)</x:t>
  </x:si>
  <x:si>
    <x:t>경기도 남양주시 진접읍 해밀예당3로68, 1907동 101호(금강펜테리움)</x:t>
  </x:si>
  <x:si>
    <x:t>경기도 구리시 갈매중앙로 131, 303동 1103호(갈매동, 한라비발디)</x:t>
  </x:si>
  <x:si>
    <x:t>이미 주곡초에 재학 중인 형제자매와 동일교 입학을 원하여 등본 추가 제출</x:t>
  </x:si>
  <x:si>
    <x:t>도보 기준 작성함.
자동차기준, 교문1.2 / 토평1.1  / 수택 1.9</x:t>
  </x:si>
  <x:si>
    <x:t>경기도 남양주시 와부읍 덕소로 150, 강변현대아파트 102동 1304호</x:t>
  </x:si>
  <x:si>
    <x:t>경기도 남양주시 화도읍 경춘보학2길 30, 101-1901(라온프라이빗)</x:t>
  </x:si>
  <x:si>
    <x:t>경기도 구리시 경춘북로 252, 810동 2504호(갈매동, 갈매역 아이파크)</x:t>
  </x:si>
  <x:si>
    <x:t>매주 수요일 결석 26일 14~16시 연락
jjin4846@naver.com</x:t>
  </x:si>
  <x:si>
    <x:t>*복지카드 발급 후 추가 제출 안내
*경은 취소함 / 서류 수정제출 필요</x:t>
  </x:si>
  <x:si>
    <x:t>□ 장애인증명서: 지적·뇌병변장애 심한 (발급일: 2026.06.15.)</x:t>
  </x:si>
  <x:si>
    <x:t>경기도 남양주시 화도읍 창현로 45, 104동 601호(신창현도뮤토아파트)</x:t>
  </x:si>
  <x:si>
    <x:t>경기도 남양주시 화도읍 마석로 33, 102동 1002호 (빌리브센트하이)</x:t>
  </x:si>
  <x:si>
    <x:t>경기도 남양주시 백봉로 32, 114동 901호 (호평동, 두산 알프하임)</x:t>
  </x:si>
  <x:si>
    <x:t>특수학교를 희망하나 일본에 거주 중이라, 7~8월 중 심층관찰 일정 협의 예정</x:t>
  </x:si>
  <x:si>
    <x:t>경기도 남양주시 퇴계원읍 도제원로 89-1, 102동 301호(삼성하이츠)</x:t>
  </x:si>
  <x:si>
    <x:r>
      <x:t>*</x:t>
    </x:r>
    <x:r>
      <x:rPr>
        <x:rFont val="Arial"/>
        <x:sz val="10"/>
        <x:color rgb="ffff0000"/>
      </x:rPr>
      <x:t>복지카드 발급 후 추가 제출</x:t>
    </x:r>
    <x:r>
      <x:rPr>
        <x:rFont val="Arial"/>
        <x:sz val="10"/>
        <x:color rgb="ff000000"/>
      </x:rPr>
      <x:t xml:space="preserve"> 안내
*경은 취소함 / 서류 수정제출 필요</x:t>
    </x:r>
  </x:si>
  <x:si>
    <x:t>경기도 남양주시 천마산로12번길 19-10, 101동 404호(메종드힐)</x:t>
  </x:si>
  <x:si>
    <x:t>경기도 남양주시 화도읍 비룡로99번길 52-6, 다동 402호 (보아주택)</x:t>
  </x:si>
  <x:si>
    <x:r>
      <x:t xml:space="preserve">2명 장애전담 / </x:t>
    </x:r>
    <x:r>
      <x:rPr>
        <x:rFont val="Arial"/>
        <x:sz val="10"/>
        <x:color rgb="ff0000ff"/>
      </x:rPr>
      <x:t xml:space="preserve">24일 10~11시
</x:t>
    </x:r>
    <x:r>
      <x:rPr>
        <x:rFont val="Arial"/>
        <x:sz val="10"/>
        <x:color rgb="ff000000"/>
      </x:rPr>
      <x:t>slms2018@hanmail.net</x:t>
    </x:r>
  </x:si>
  <x:si>
    <x:t>경기도 남양주시 다산중앙로 82번안길 74, 605동 305호(다산푸르지오)</x:t>
  </x:si>
  <x:si>
    <x:t>경기도 남양주시 화도읍 비룡로 56-8, 107동 303호 (신명스카이뷰그린)</x:t>
  </x:si>
  <x:si>
    <x:t>적응행동검사 요청 / 장애유형 기재 / 한셀 장애유형 확인 / 수정공문 완료</x:t>
  </x:si>
  <x:si>
    <x:t>경기도 남양주시 다산중앙로 82번길 15 다산이편한세상 5102동 2303호</x:t>
  </x:si>
  <x:si>
    <x:t>경기도 구리시 경춘로276번길 21, 107동 1002호(구리역한양수자인)</x:t>
  </x:si>
  <x:si>
    <x:t>※2026년 1월 5일 검사 실시
□ K-WPPSI-Ⅳ: 전체IQ 45(언어이해 50, 시공간 46, 유동추론 51, 작업기억 52, 처리속도 55/매우 낮음)
□ 사회성숙도: SA 3세7개월, SQ 69(훈련가능 지적장애 수준)
□CARS: 총점 22.5점(증상이 없거나 최소한의 자폐 관련 행동)
※2026년 6월 일 검사 실시
□ 적응행동: 표준점수( 수준) -  유아용으로 다시 받을 예정</x:t>
  </x:si>
  <x:si>
    <x:r>
      <x:t xml:space="preserve">※2026년 1월 5일 검사 실시
□ K-WPPSI-Ⅳ: 전체IQ 45(언어이해 50, 시공간 46, 유동추론 51, 작업기억 52, 처리속도 55/매우 낮음)
□ 사회성숙도: SA 3세7개월, SQ 69(훈련가능 지적장애 수준)
□CARS: 총점 22.5점(증상이 없거나 최소한의 자폐 관련 행동)
</x:t>
    </x:r>
    <x:r>
      <x:rPr>
        <x:rFont val="Arial"/>
        <x:sz val="10"/>
        <x:color rgb="ff0000ff"/>
      </x:rPr>
      <x:t>※2026년 6월 일 검사 실시
□ 적응행동: 표준점수( 수준) -  유아용으로 다시 받을 예정</x:t>
    </x:r>
  </x:si>
  <x:si>
    <x:t>※심리평가보고서(2026.01.16.)
□ K-WPPSI-Ⅳ: 전체IQ 53(언어이해 53, 시공간 87, 유동추론 57, 작업기억 55, 처리속도 61/매우 낮음)
□사회성숙도: SA 3세 10개월, SQ 63.7(경도)
□적응행동검사: 표준점수 71(저조한 수준)</x:t>
  </x:si>
  <x:si>
    <x:t>※2026년 7월 9일 검사 실시
□K-WISC-V: 전체IQ 48(언어이해 50, 시공간 70, 유동추론 60, 작업기억 53, 처리속도 55/매우 낮음)
□적응행동검사: 표준점수 70(저조한 수준)
□사회성숙도: SA 3세 0개월, SQ 47.39(중등도)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</x:si>
  <x:si>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※2026년 7월 9일 검사 실시</x:t>
    </x:r>
    <x:r>
      <x:rPr>
        <x:rFont val="Arial"/>
        <x:sz val="10"/>
        <x:color rgb="ff000000"/>
      </x:rPr>
      <x:t xml:space="preserve">
□K-WISC-V: 전체IQ 48(언어이해 50, 시공간 70, 유동추론 60, 작업기억 53, 처리속도 55/매우 낮음)
□적응행동검사: 표준점수 70(저조한 수준)
□사회성숙도: SA 3세 0개월, SQ 47.39(중등도)</x:t>
    </x:r>
  </x:si>
  <x:si>
    <x:t>※2026년 1월 22일 검사 실시
□ K-WPPSI-Ⅳ: 전체IQ 41(언어이해 50, 시공간 46, 유동추론 45, 작업기억 45, 처리속도 45/매우 낮음)
□ 사회성숙도: SA 2세8개월, SQ 44.66(중등도)
□ 적응행동: 표준점수 51(상당히 저조한 수준)</x:t>
  </x:si>
  <x:si>
    <x:r>
      <x:t xml:space="preserve">의사소통장애
</x:t>
    </x:r>
    <x:r>
      <x:rPr>
        <x:rFont val="Arial"/>
        <x:sz val="10"/>
        <x:color rgb="ff0000ff"/>
      </x:rPr>
      <x:t>(지적장애 범주)</x:t>
    </x:r>
  </x:si>
  <x:si>
    <x:t>010-7777-6007</x:t>
  </x:si>
  <x:si>
    <x:t>010-7224-2726</x:t>
  </x:si>
  <x:si>
    <x:t>010-4355-5715</x:t>
  </x:si>
  <x:si>
    <x:t>일본사이타마시립특별지원학교</x:t>
  </x:si>
  <x:si>
    <x:t>010-3972-5994</x:t>
  </x:si>
  <x:si>
    <x:t>010-4727-8865</x:t>
  </x:si>
  <x:si>
    <x:t>010-8864-1920</x:t>
  </x:si>
  <x:si>
    <x:t>010-4860-5847</x:t>
  </x:si>
  <x:si>
    <x:t>010-8324-3699</x:t>
  </x:si>
  <x:si>
    <x:t>010-7238-8113</x:t>
  </x:si>
  <x:si>
    <x:t>010-8619-9799</x:t>
  </x:si>
  <x:si>
    <x:t>남양주송라초등학교병설유치원</x:t>
  </x:si>
  <x:si>
    <x:t>010-4410-6462</x:t>
  </x:si>
  <x:si>
    <x:t>010-7524-3737</x:t>
  </x:si>
  <x:si>
    <x:t>010-9990-0433</x:t>
  </x:si>
  <x:si>
    <x:t>010-3009-4806</x:t>
  </x:si>
  <x:si>
    <x:t>010-6547-0279</x:t>
  </x:si>
  <x:si>
    <x:t>010-4310-8179</x:t>
  </x:si>
  <x:si>
    <x:t>010-5116-2446</x:t>
  </x:si>
  <x:si>
    <x:t>010-6622-6482</x:t>
  </x:si>
  <x:si>
    <x:t>010-4397-1648</x:t>
  </x:si>
  <x:si>
    <x:t>010-5377-5204</x:t>
  </x:si>
  <x:si>
    <x:t>010-5350-1095</x:t>
  </x:si>
  <x:si>
    <x:t>010-3344-7709</x:t>
  </x:si>
  <x:si>
    <x:t>010-2895-1244</x:t>
  </x:si>
  <x:si>
    <x:t>산마루초등학교병설유치원</x:t>
  </x:si>
  <x:si>
    <x:t>010-3003-1574</x:t>
  </x:si>
  <x:si>
    <x:t>직장기준: 평동초등학교</x:t>
  </x:si>
  <x:si>
    <x:t>010-8962-0166</x:t>
  </x:si>
  <x:si>
    <x:t>010-4345-0582</x:t>
  </x:si>
  <x:si>
    <x:t>010-3279-2477</x:t>
  </x:si>
  <x:si>
    <x:t>진단서(자폐증,최종진단)</x:t>
  </x:si>
  <x:si>
    <x:t>010-9809-0905</x:t>
  </x:si>
  <x:si>
    <x:t>2검
(원본 완성 기준)</x:t>
  </x:si>
  <x:si>
    <x:t>근거리 가운초, 양정초 순</x:t>
  </x:si>
  <x:si>
    <x:t>010-9769-4972</x:t>
  </x:si>
  <x:si>
    <x:t>복지카드 추가 제출 받아야 / 완료</x:t>
  </x:si>
  <x:si>
    <x:t>1. 장현초등학교
2. 장현초등학교</x:t>
  </x:si>
  <x:si>
    <x:t>1. 은솔초등학교
2. 은솔초등학교</x:t>
  </x:si>
  <x:si>
    <x:t>특수학교
특수학교
복합특수학급</x:t>
  </x:si>
  <x:si>
    <x:t>특수학교
복합특수학급
특수학교</x:t>
  </x:si>
  <x:si>
    <x:t>1. 수택초등학교
2. 수택초등학교</x:t>
  </x:si>
  <x:si>
    <x:t>장애인증명서: 자폐성장애 심한장애</x:t>
  </x:si>
  <x:si>
    <x:t>1. 주곡초등학교
2. 주곡초등학교</x:t>
  </x:si>
  <x:si>
    <x:t>특수학교 입학 불가 시 유예 희망</x:t>
  </x:si>
  <x:si>
    <x:t>의사소통장애
(지적장애 범주)</x:t>
  </x:si>
  <x:si>
    <x:t>특수학교 기각되면 취학유예 예정</x:t>
  </x:si>
  <x:si>
    <x:t>□ 장애인증명서: 뇌병변 심한장애</x:t>
  </x:si>
  <x:si>
    <x:t>장애인증명서 확인 필요 / 제출완료</x:t>
  </x:si>
  <x:si>
    <x:t>가족관계증명서, 등본 제출(한부모)</x:t>
  </x:si>
  <x:si>
    <x:t>0.45
0.486
0.914</x:t>
  </x:si>
  <x:si>
    <x:t>뇌병변 복지카드 발급중(8월 예상)</x:t>
  </x:si>
  <x:si>
    <x:t>0.545
0.209
0.969</x:t>
  </x:si>
  <x:si>
    <x:t>□ 장애인증명서: 자폐성장애 심한</x:t>
  </x:si>
  <x:si>
    <x:t>경기도 남양주시 오남읍 양지로46번길 130, 102동 503호</x:t>
  </x:si>
  <x:si>
    <x:t>경기도 남양주시 다산중앙로 82번길 105, 6205-2504</x:t>
  </x:si>
  <x:si>
    <x:t>경기도 남양주시 화도읍 경춘로 2290번길2, 105동102호</x:t>
  </x:si>
  <x:si>
    <x:t>경기도 남양주시 다산지금로 146번길 117, 7502-2902</x:t>
  </x:si>
  <x:si>
    <x:t>경기도 구리시 갈매순환로 204번길 8-32, 202호(갈매동)</x:t>
  </x:si>
  <x:si>
    <x:t>1. 다산한강초등학교
2. 남양주양정초등학교
3. 도농초등학교</x:t>
  </x:si>
  <x:si>
    <x:t>경기도 남양주시 별내면 68번길 24, 402동 2001호</x:t>
  </x:si>
  <x:si>
    <x:t>경기도 남양주시 다산지금로145번길 15, 7303동 2104호</x:t>
  </x:si>
  <x:si>
    <x:t>경기도 구리시 경춘로 207 롯데캐슬시그니처 106-1201</x:t>
  </x:si>
  <x:si>
    <x:t>□ 복지카드: 지적뇌병변장애 중증(~2026.10.15.)</x:t>
  </x:si>
  <x:si>
    <x:t>경기도 남양주시 진접읍 주곡로 109, 루나빌리지 가동 202호</x:t>
  </x:si>
  <x:si>
    <x:t>경기도 남양주시 다산중앙로82번길 106, 6401동 2605호</x:t>
  </x:si>
  <x:si>
    <x:t>경기도 남양주시 다산지금로 146번길 117, 7511-1901</x:t>
  </x:si>
  <x:si>
    <x:t>경기도 남양주시 다산중앙로 82번길 12, 5310-201</x:t>
  </x:si>
  <x:si>
    <x:t>경기도 남양주시 순화궁로 18, 4107동 302호(신안인스빌)</x:t>
  </x:si>
  <x:si>
    <x:t>경기도 남양주시 화도읍 경춘로 1922번길 16, 202호</x:t>
  </x:si>
  <x:si>
    <x:t>경기도 남양주시 진접읍 진벌로 78-17 진하우스 나동301호</x:t>
  </x:si>
  <x:si>
    <x:t>경기도 남양주시 다산중앙로146번길7, 2205동 1101호</x:t>
  </x:si>
  <x:si>
    <x:t>서식2 장애명 지체장애로 기재. / 발달지체로 수정공문 들어옴</x:t>
  </x:si>
  <x:si>
    <x:t>경기도 남양주시 화도읍 비룡로 56-8, 101동 1802호</x:t>
  </x:si>
  <x:si>
    <x:t>풀배터리 7.3.에 검사결과 나오고 바로 제출 예정 / 완료</x:t>
  </x:si>
  <x:si>
    <x:t>□ 복지카드: 지적,자폐성장애 중증(~2032.03.02.)</x:t>
  </x:si>
  <x:si>
    <x:t>□ 복지카드: 자폐성,언어장애 중증(~2031.10.14.)</x:t>
  </x:si>
  <x:si>
    <x:t>경기도 남양주시 화도읍 수레로 1105-27, 204-804</x:t>
  </x:si>
  <x:si>
    <x:t>3: 애매...함. 약 먹으면, 적응하면 학급도 지낼만 할텐데</x:t>
  </x:si>
  <x:si>
    <x:t>의정부 9월 특운위 마치고 발송</x:t>
  </x:si>
  <x:si>
    <x:t>지능검사 결과 8월초 추가 예정</x:t>
  </x:si>
  <x:si>
    <x:t>일본 거주 / 7~8월쯤 협의</x:t>
  </x:si>
  <x:si>
    <x:t>23
다움어린이집 10시
이예찬</x:t>
  </x:si>
  <x:si>
    <x:t>□ 장애인증명서: 지적장애 심한장애</x:t>
  </x:si>
  <x:si>
    <x:t>24
시립갈매어린이집 14시 이인규</x:t>
  </x:si>
  <x:si>
    <x:t>지적장애 복지카드 발급 대기중</x:t>
  </x:si>
  <x:si>
    <x:t>2
창현유치원 10시40분
최은우</x:t>
  </x:si>
  <x:si>
    <x:t>25
남양주도담유치원 10시
윤시우</x:t>
  </x:si>
  <x:si>
    <x:t>0.311
0.768
0.858</x:t>
  </x:si>
  <x:si>
    <x:t>4: 학급이 오히려 나아 보이는</x:t>
  </x:si>
  <x:si>
    <x:t>25일(목) 10시 / 3층 은하반</x:t>
  </x:si>
  <x:si>
    <x:t>*학구(도심초)가 최근거리교가 아님</x:t>
  </x:si>
  <x:si>
    <x:t>□ 장애인증명서: 뇌병변 심한</x:t>
  </x:si>
  <x:si>
    <x:t>추후 장애등록&amp;장애유형변경 예정</x:t>
  </x:si>
  <x:si>
    <x:t>0.774
0.875
0.902</x:t>
  </x:si>
  <x:si>
    <x:t>※심리평가보고서(2026.06.08.)
□ K-WPPSI-Ⅳ: 전체IQ 51(언어이해 45, 시공간 76, 유동추론 45, 작업기억 45, 처리속도 73/매우 낮음)
□사회성숙도: SA 4세 3개월, SQ 72.6(경계선)
□K-CARS 2: 총점 29점(증상이 없거나 최소한의 자폐 관련 행동)</x:t>
  </x:si>
  <x:si>
    <x:t>※2026년 7월 9일 검사 실시
□K-WPPSI-IV: 전체IQ 40 (언어이해 45, 시공간 79, 유동추론 45,        
  작업기억 45, 처리속도 45/매우 낮음)
□적응행동검사: 표준점수 54(상당히 저조한 수준)
□사회성숙도: SA 1세 11개월, SQ 35.30(중등도)</x:t>
  </x:si>
  <x:si>
    <x:t>※심리평가보고서(2025.12.19.)
□K-WPPSI-IV: 전체IQ 59 (언어이해 59, 시공간 82, 유동추론 63,        
  작업기억 73, 처리속도 78/매우낮음)
□사회성숙도: SA 4세 0개월, SQ 80(경계선)
□적응행동검사: 표준점수 56(상당히 저조한 수준)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</x:si>
  <x:si>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※2026년 7월 9일 검사 실시</x:t>
    </x:r>
    <x:r>
      <x:rPr>
        <x:rFont val="Arial"/>
        <x:sz val="10"/>
        <x:color rgb="ff000000"/>
      </x:rPr>
      <x:t xml:space="preserve">
□K-WPPSI-IV: 전체IQ 40 (언어이해 45, 시공간 79, 유동추론 45,        
  작업기억 45, 처리속도 45/매우 낮음)
□적응행동검사: 표준점수 54(상당히 저조한 수준)
□사회성숙도: SA 1세 11개월, SQ 35.30(중등도)</x:t>
    </x:r>
  </x:si>
  <x:si>
    <x:t>※2026년 6월 16일 검사 실시
□ K-WPPSI-Ⅳ: 전체IQ 84(언어이해 103, 시공간 93, 유동추론 72, 작업기억 58, 처리속도 84/평균 하)
□ 사회성숙도: SA 5세2개월, SQ 87.8()
□CARS(HF): 총점 33.5점(경도에서 중등도 수준의 자폐 관련 행동)</x:t>
  </x:si>
  <x:si>
    <x:t>※심리평가보고서(2026.3.12.)
□ K-WPPSI-Ⅳ: 전체IQ 53(언어이해 50, 시공간 79, 유동추론 66, 작업기억 61, 처리속도 64/매우 낮음)
□ 사회성숙도: SA 4세7개월, SQ 78.33(경계선)
□ CARS: 22.5점
□ 적응행동검사: 표준점수 70(저조한 수준)</x:t>
  </x:si>
  <x:si>
    <x:t>1. 남양주월산초등학교
2. 마석초등학교
3. 남양주송라초등학교</x:t>
  </x:si>
  <x:si>
    <x:t>1. 남양주도곡초등학교
2. 덕소초등학교
3. 도심초등학교</x:t>
  </x:si>
  <x:si>
    <x:t>1. 다산한강초등학교
2. 남양주양정초등학교
3. 가운초등학교</x:t>
  </x:si>
  <x:si>
    <x:t>1. 은솔초등학교
2. 마석초등학교
3. 남양주송라초등학교</x:t>
  </x:si>
  <x:si>
    <x:t>1. 남양주송라초등학교
2. 마석초등학교
3. 화도초등학교</x:t>
  </x:si>
  <x:si>
    <x:t>*구룡초, 판곡초 공동학구이며,
*쌍둥이와 다른 학교 희망해 1희망 구룡 작성 / 우선 가족관계 추가제출 요청 / 공문으로 받음</x:t>
  </x:si>
  <x:si>
    <x:t>장애유형, 특수학교 희망교 수정 요청 / 최근거리는 창현초이지만, 학구가 마석초등학교임 / 발달지체로 서식1,2 수정공문 들어옴</x:t>
  </x:si>
  <x:si>
    <x:t>최근거리교 병설유치원과의 다툼도 있었고, 현재 다니고 있는 병설유치원의 학교가 익숙해서 적응에 이점 / 객관적 증빙서류는 없음</x:t>
  </x:si>
  <x:si>
    <x:t>3희망 다산한강초 해당없음. 증빙서류,사유도 없음. /
3희망 다산하늘초로 변경예정, 2명은 취소임 / 수정완료
2희망 하늘초, 3희망 새봄초로 내가 변경</x:t>
  </x:si>
  <x:si>
    <x:r>
      <x:t xml:space="preserve">학부모, 담임 소통 후 회신 예정(16,17일경)
24(수)10시반, 26(금)10시반, </x:t>
    </x:r>
    <x:r>
      <x:rPr>
        <x:rFont val="Arial"/>
        <x:sz val="10"/>
        <x:color rgb="ff0000ff"/>
      </x:rPr>
      <x:t>7/1(수)10시반 10시로 수정</x:t>
    </x:r>
    <x:r>
      <x:rPr>
        <x:rFont val="Arial"/>
        <x:sz val="10"/>
        <x:color rgb="ff000000"/>
      </x:rPr>
      <x:t xml:space="preserve">
교사메일: joy1726@naver.com </x:t>
    </x:r>
  </x:si>
  <x:si>
    <x:t>장애미등록, 약X, 현재 모습은 과잉행동, 충동성 문제가 심각하지만, 교육을 위해 장애등록 및 의료적 접근 필요해보임... 등록이라도 됐으면 더 고려해봄직 했을텐데..</x:t>
  </x:si>
  <x:si>
    <x:t>*비장애 쌍둥이와 동일교 배치 희망
*2027년 1~2월 중 이사 예정, 그러나 이사 예정지와 입주일이 불명확하여 10월 말까지 계약서가 나오면 별도 연락주기로 함.</x:t>
  </x:si>
  <x:si>
    <x:t>1,2희망교 도보 통학 기준</x:t>
  </x:si>
  <x:si>
    <x:t>남양주덕송초등학교병설유치원</x:t>
  </x:si>
  <x:si>
    <x:t>자폐성장애
(현 발달지체)</x:t>
  </x:si>
  <x:si>
    <x:r>
      <x:t xml:space="preserve">2명 다른 반 / </x:t>
    </x:r>
    <x:r>
      <x:rPr>
        <x:rFont val="Arial"/>
        <x:sz val="10"/>
        <x:color rgb="ff0000ff"/>
      </x:rPr>
      <x:t>7/10(금) 10시~12시</x:t>
    </x:r>
  </x:si>
  <x:si>
    <x:r>
      <x:t xml:space="preserve">7/1,7/10 제외만. </x:t>
    </x:r>
    <x:r>
      <x:rPr>
        <x:rFont val="Arial"/>
        <x:sz val="10"/>
        <x:color rgb="ff0000ff"/>
      </x:rPr>
      <x:t>7/9(목) 10시</x:t>
    </x:r>
  </x:si>
  <x:si>
    <x:t>구리남양주
구리남양주
의정부</x:t>
  </x:si>
  <x:si>
    <x:t>남양주도담유치원</x:t>
  </x:si>
  <x:si>
    <x:t>평내초등학교병설유치원</x:t>
  </x:si>
  <x:si>
    <x:t>특수학교
복합특수학급</x:t>
  </x:si>
  <x:si>
    <x:t>특수학교
특수학급</x:t>
  </x:si>
  <x:si>
    <x:t>부양초등학교병설유치원</x:t>
  </x:si>
  <x:si>
    <x:t>2020.01.07.</x:t>
  </x:si>
  <x:si>
    <x:t>2019.12.30.</x:t>
  </x:si>
  <x:si>
    <x:t>특수학교
특수학교</x:t>
  </x:si>
  <x:si>
    <x:t>2020.01.14.</x:t>
  </x:si>
  <x:si>
    <x:t>0.1
1.2
1.4</x:t>
  </x:si>
  <x:si>
    <x:t>2020.08.28.</x:t>
  </x:si>
  <x:si>
    <x:t>1. 다산새봄초등학교</x:t>
  </x:si>
  <x:si>
    <x:t>1. 다산한강초등학교</x:t>
  </x:si>
  <x:si>
    <x:t>1. 부평초등학교</x:t>
  </x:si>
  <x:si>
    <x:t>1. 다산별빛초등학교</x:t>
  </x:si>
  <x:si>
    <x:t>특수학급
일반학급</x:t>
  </x:si>
  <x:si>
    <x:t>0.159
0.159</x:t>
  </x:si>
  <x:si>
    <x:t>0.237
0.237</x:t>
  </x:si>
  <x:si>
    <x:t>1. 인창초등학교</x:t>
  </x:si>
  <x:si>
    <x:t>1. 금남초등학교</x:t>
  </x:si>
  <x:si>
    <x:t>0.11
0.11</x:t>
  </x:si>
  <x:si>
    <x:t>0.16
0.16</x:t>
  </x:si>
  <x:si>
    <x:r>
      <x:t xml:space="preserve">8,14,15,16,22 제외 가능 / </x:t>
    </x:r>
    <x:r>
      <x:rPr>
        <x:rFont val="Arial"/>
        <x:sz val="10"/>
        <x:color rgb="ff0000ff"/>
      </x:rPr>
      <x:t>21일(화) 10시</x:t>
    </x:r>
  </x:si>
  <x:si>
    <x:r>
      <x:t xml:space="preserve">platanus4@hanmail.net </x:t>
    </x:r>
    <x:r>
      <x:rPr>
        <x:rFont val="Arial"/>
        <x:sz val="10"/>
        <x:color rgb="ff0000ff"/>
      </x:rPr>
      <x:t>7/16(목) 10시</x:t>
    </x:r>
  </x:si>
  <x:si>
    <x:t>경기도 남양주시 다산순환로311, 2304-1301</x:t>
  </x:si>
  <x:si>
    <x:t>□ 복지카드: 자폐성장애 중증(~2039.01.11.)</x:t>
  </x:si>
  <x:si>
    <x:t>□ 복지카드: 자폐성장애 중증(~2032.02.16.)</x:t>
  </x:si>
  <x:si>
    <x:t>경기도 남양주시 덕송1로 30, 1502동 1304호</x:t>
  </x:si>
  <x:si>
    <x:t>경기도 남양주시 다산순환로300, 2104-1201</x:t>
  </x:si>
  <x:si>
    <x:t>□ 복지카드: 자폐성장애 중증(~2031.04.05.)</x:t>
  </x:si>
  <x:si>
    <x:t>□ 복지카드: 자폐성장애 중증(~2032.01.17.)</x:t>
  </x:si>
  <x:si>
    <x:t>□ 복지카드: 자폐성장애 중증(~2032.03.31.)</x:t>
  </x:si>
  <x:si>
    <x:t>경기도 남양주시 화도읍 비룡로 56-8, 105동301호</x:t>
  </x:si>
  <x:si>
    <x:t>경기도 남양주시 별내3로 159, 2707동 704호</x:t>
  </x:si>
  <x:si>
    <x:t>경기도 남양주시 평내로 89, 1302동 2003호</x:t>
  </x:si>
  <x:si>
    <x:t>□ 복지카드: 자폐성장애 중증(~2030.10.22.)</x:t>
  </x:si>
  <x:si>
    <x:t>경기도 남양주시 와부읍 덕소로180, 106동201호</x:t>
  </x:si>
  <x:si>
    <x:t>□ 복지카드: 자폐성장애 중증(~2029.08.18.)</x:t>
  </x:si>
  <x:si>
    <x:t>1. 다산한강초등학교
2. 가운초등학교
3. 양정초등학교</x:t>
  </x:si>
  <x:si>
    <x:t>1. 백문초등학교
2. 도림초등학교
3. 교문초등학교</x:t>
  </x:si>
  <x:si>
    <x:t>1. 은솔초등학교
2. 창현초등학교
3. 남양주송라초</x:t>
  </x:si>
  <x:si>
    <x:t>1. 별가람초등학교
2. 화접초등학교
3. 한별초등학교</x:t>
  </x:si>
  <x:si>
    <x:t>1. 한별초등학교
2. 화접초등학교
3. 별가람초등학교</x:t>
  </x:si>
  <x:si>
    <x:t>1. 산마루초등학교
2. 갈매초등학교
3. 한별초등학교</x:t>
  </x:si>
  <x:si>
    <x:t>1. 화봉초등학교
2. 해밀초등학교
3. 진접초등학교</x:t>
  </x:si>
  <x:si>
    <x:t>1. 구리초등학교
2. 구지초등학교
3. 교문초등학교</x:t>
  </x:si>
  <x:si>
    <x:t>1. 덕소초등학교
2. 도곡초등학교
3. 와부초등학교</x:t>
  </x:si>
  <x:si>
    <x:t>1. 남양주송라초등학교
2. 마석초등학교
3. 화도초</x:t>
  </x:si>
  <x:si>
    <x:t>1. 덕소초등학교
2. 예봉초등학교
3. 도곡초등학교</x:t>
  </x:si>
  <x:si>
    <x:t>1. 진접초등학교
2. 해밀초등학교
3. 화봉초등학교</x:t>
  </x:si>
  <x:si>
    <x:t>1. 오남초등학교
2. 어람초등학교
3. 양지초등학교</x:t>
  </x:si>
  <x:si>
    <x:t>1. 구리초등학교
2. 구지초등학교
3. 동구초등학교</x:t>
  </x:si>
  <x:si>
    <x:t>□ 복지카드: 자폐성장애 중증(~2032.02.03.)</x:t>
  </x:si>
  <x:si>
    <x:t>1. 하랑초등학교
2. 평동초등학교
3. 구룡초등학교</x:t>
  </x:si>
  <x:si>
    <x:t>1. 평동초등학교
2. 구룡초등학교
3. 평내초등학교</x:t>
  </x:si>
  <x:si>
    <x:t>1. 화접초등학교
2. 한별초등하교
3. 별가람초등학교</x:t>
  </x:si>
  <x:si>
    <x:t>1. 부평초등학교
2. 장승초등학교
3. 광릉초등학교</x:t>
  </x:si>
  <x:si>
    <x:t>1. 구룡초등학교
2. 판곡초등학교
3. 평동초등학교</x:t>
  </x:si>
  <x:si>
    <x:t>□ 복지카드: 지적장애 중증(~2030.12.22.)</x:t>
  </x:si>
  <x:si>
    <x:t>□ 복지카드: 자폐성장애 중증(~2029.11.23.)</x:t>
  </x:si>
  <x:si>
    <x:t>□ 복지카드: 자폐성장애 중증(~2031.2.26.)</x:t>
  </x:si>
  <x:si>
    <x:t>경기도 남양주시 오남읍 진건오남로631, 601-305</x:t>
  </x:si>
  <x:si>
    <x:t>□ 복지카드: 자폐성장애 중증(~2032.03.16.)</x:t>
  </x:si>
  <x:si>
    <x:t>1. 퇴계원초등학교
2. 도제원초등학교
3. 내양초등학교</x:t>
  </x:si>
  <x:si>
    <x:t>1. 차산초등학교
2. 창현초등학교
3. 마석초등학교</x:t>
  </x:si>
  <x:si>
    <x:t>1. 장승초등학교
2. 해밀초등학교
3. 진접초등학교</x:t>
  </x:si>
  <x:si>
    <x:t>1. 광릉초등학교
2. 부평초등학교
3. 장승초등학교</x:t>
  </x:si>
  <x:si>
    <x:t>1. 마석초등학교
2. 창현초등학교
3. 은솔초등학교</x:t>
  </x:si>
  <x:si>
    <x:t>1. 장현초등학교
2. 화봉초등학교
3. 장승초등학교</x:t>
  </x:si>
  <x:si>
    <x:t>1. 별가람초등학교
2. 화접초등학교
3. 샛별초등학교</x:t>
  </x:si>
  <x:si>
    <x:t>1. 부양초등학교
2. 수택초등학교
3. 교문초등학교</x:t>
  </x:si>
  <x:si>
    <x:t>1. 창현초등학교
2. 은솔초등학교
3. 마석초등학교</x:t>
  </x:si>
  <x:si>
    <x:t>1. 갈매초등학교
2. 산마루초등학교
3. 한별초등학교</x:t>
  </x:si>
  <x:si>
    <x:t>1. 호평초등학교
2. 판곡초등학교
3. 구룡초등학교</x:t>
  </x:si>
  <x:si>
    <x:t>1. 교문초등학교
2. 도림초등학교
3. 백문초등학교</x:t>
  </x:si>
  <x:si>
    <x:t>1. 구지초등학교
2. 동구초등학교
3. 동인초등학교</x:t>
  </x:si>
  <x:si>
    <x:t>1. 부양초등학교
2. 백문초등학교
3. 토평초등학교</x:t>
  </x:si>
  <x:si>
    <x:t>1. 덕소초등학교
2. 도곡초등학교
3. 예봉초등학교</x:t>
  </x:si>
  <x:si>
    <x:t>1
시립행복모아어린이집(광주하남) 10시30분 김하린</x:t>
  </x:si>
  <x:si>
    <x:t>산마루초 학구인데, 갈매초에 배치되었었음. / 도보임</x:t>
  </x:si>
  <x:si>
    <x:t>근거리 가운초, 양정초 순 안내 / 의견서 추가 예정</x:t>
  </x:si>
  <x:si>
    <x:t>경은 기각되면 취학유예 또는 재활 위해 면제 고려중</x:t>
  </x:si>
  <x:si>
    <x:t>하남 성광학교를 2희망으로. / 경은을 1희망으로 수정</x:t>
  </x:si>
  <x:si>
    <x:t>□ 복지카드: 자폐성장애 중증(~2029.06.21.)</x:t>
  </x:si>
  <x:si>
    <x:t>□ 복지카드: 자폐성장애 중증(~2032.05.20.)</x:t>
  </x:si>
  <x:si>
    <x:t>□ 복지카드: 자폐성장애 중증(~2029.10.10.)</x:t>
  </x:si>
  <x:si>
    <x:t>□ 복지카드: 자폐성장애 중증(~2028.09.28.)</x:t>
  </x:si>
  <x:si>
    <x:t>□ 복지카드: 자폐성장애 중증(~2032.02.26.)</x:t>
  </x:si>
  <x:si>
    <x:t>※ 6월 중 복지카드 발급 예정 / 7월중말로 연기</x:t>
  </x:si>
  <x:si>
    <x:t>경기도 남양주시 화도읍 비룡로 186, 110동 304호</x:t>
  </x:si>
  <x:si>
    <x:t>경기도 남양주시 평내로 104, 1905동 503호</x:t>
  </x:si>
  <x:si>
    <x:t>□ 복지카드: 자폐성장애 중증(~2032.06.08.)</x:t>
  </x:si>
  <x:si>
    <x:t>*검사결과 지적장애 범주. 신규지만 지적장애로 유형변경</x:t>
  </x:si>
  <x:si>
    <x:t>□ 복지카드: 자폐성장애 중증(~2032.01.14.)</x:t>
  </x:si>
  <x:si>
    <x:t>□ 복지카드: 자폐성장애 중증(~2032.06.19.)</x:t>
  </x:si>
  <x:si>
    <x:t>경기도 남양주시 화도읍 북한강로 1503번길2, 2층</x:t>
  </x:si>
  <x:si>
    <x:t>희망교 거리 체크 후 바뀜. (창현,마석&gt;송라,창현)</x:t>
  </x:si>
  <x:si>
    <x:t>경기도 구리시 체육관로 66 대림한숲@ 105-1407</x:t>
  </x:si>
  <x:si>
    <x:t>□ 복지카드: 자폐성장애 중증(2032. 07. 20.)</x:t>
  </x:si>
  <x:si>
    <x:t>□ 복지카드: 청각장애 경증(~2028.07.28)</x:t>
  </x:si>
  <x:si>
    <x:t>경기도 남양주시 진접읍 부평로 41, 203동 401호</x:t>
  </x:si>
  <x:si>
    <x:t>남양주양정초등학교</x:t>
  </x:si>
  <x:si>
    <x:t>남양주양지초등학교</x:t>
  </x:si>
  <x:si>
    <x:t>다산가람초등학교</x:t>
  </x:si>
  <x:si>
    <x:t>다산한강초등학교</x:t>
  </x:si>
  <x:si>
    <x:t>다산하늘초등학교</x:t>
  </x:si>
  <x:si>
    <x:t>다산별빛초등학교</x:t>
  </x:si>
  <x:si>
    <x:t>다산새봄초등학교</x:t>
  </x:si>
  <x:si>
    <x:r>
      <x:t>장애유형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함초롬돋움"/>
            <x:sz val="11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함초롬돋움"/>
            <x:sz val="11"/>
            <x:color rgb="ff0000ff"/>
            <x:b val="1"/>
          </x:rPr>
        </mc:Fallback>
      </mc:AlternateContent>
      <x:t>(유형변경 고려 필요)</x:t>
    </x:r>
  </x:si>
  <x:si>
    <x:t>1. 가곡초등학교
2. 화도초등학교
3. 남양주송라초등학교</x:t>
  </x:si>
  <x:si>
    <x:t>1. 남양주송라초등학교
2. 마석초등학교
3. 은솔초등학교</x:t>
  </x:si>
  <x:si>
    <x:t>1. 다산별빛초등학교
2. 다산새봄초등학교
3. 금교초등학교</x:t>
  </x:si>
  <x:si>
    <x:t>1. 다산별빛초등학교
2. 금교초등학교
3. 남양주양정초등학교</x:t>
  </x:si>
  <x:si>
    <x:t>1. 도심초등학교
2. 남양주도곡초등학교
3. 덕소초등학교</x:t>
  </x:si>
  <x:si>
    <x:t>1. 오남초등학교
2. 남양주양지초등학교
3. 양오초등학교</x:t>
  </x:si>
  <x:si>
    <x:t>1. 다산하늘초등학교
2. 다산가람초등학교
3. 다산새봄초등학교</x:t>
  </x:si>
  <x:si>
    <x:t>1. 남양주도곡초등학교
2. 덕소초등학교
3. 예봉초등학교</x:t>
  </x:si>
  <x:si>
    <x:t>1. 은솔초등학교
2. 남양주송라초등학교
3. 창현초등학교</x:t>
  </x:si>
  <x:si>
    <x:t>경기도 남양주시 화도읍 경춘로 2290번길2, 111동103호</x:t>
  </x:si>
  <x:si>
    <x:t>1. 장내초등학교
2. 남양주신촌초등학교
3. 백봉초등학교</x:t>
  </x:si>
  <x:si>
    <x:t>장애인증명서: 청각장애 심하지않은장애(2026.03.25.등록)</x:t>
  </x:si>
  <x:si>
    <x:t>경기도 남양주시 다산중앙로82번안길 74, 6503동 2705호</x:t>
  </x:si>
  <x:si>
    <x:t>□ 복지카드: 자폐성,언어장애 중증(~2027.08.02.)</x:t>
  </x:si>
  <x:si>
    <x:t>1. 마석초등학교
2. 평동초등학교
3. 남양주동곡초등학교</x:t>
  </x:si>
  <x:si>
    <x:t>1. 별내초등학교
2. 샛별초등학교
3. 남양주덕송초등학교</x:t>
  </x:si>
  <x:si>
    <x:t>1. 화도초등학교
2. 남양주송라초등학교
3. 마석초등학교</x:t>
  </x:si>
  <x:si>
    <x:t>1. 덕소초등학교
2. 예봉초등학교
3. 남양주도곡초등학교</x:t>
  </x:si>
  <x:si>
    <x:t>□ 복지카드: 지적·뇌병변장애 중증(~2030.10.24.)</x:t>
  </x:si>
  <x:si>
    <x:t>1. 덕소초등학교
2. 남양주도곡초등학교
3. 예봉초등학교</x:t>
  </x:si>
  <x:si>
    <x:t>1. 마석초등학교
2. 창현초등학교
3. 남양주송라초등학교</x:t>
  </x:si>
  <x:si>
    <x:t>1. 천마초등학교
2. 은솔초등학교
3. 남양주송라초등학교</x:t>
  </x:si>
  <x:si>
    <x:t>□ 복지카드: 지적·뇌병변장애 중증(~2027.11.09.)</x:t>
  </x:si>
  <x:si>
    <x:r>
      <x:t xml:space="preserve">*김서후, 김시후 쌍둥이 같은 학교 배치 희망 
</x:t>
    </x:r>
    <x:r>
      <x:rPr>
        <x:rFont val="Arial"/>
        <x:sz val="10"/>
        <x:color rgb="ffff0000"/>
      </x:rPr>
      <x:t>*활보 가능한 은솔초, 마석초 희망</x:t>
    </x:r>
    <x:r>
      <x:rPr>
        <x:rFont val="Arial"/>
        <x:sz val="10"/>
        <x:color rgb="ff000000"/>
      </x:rPr>
      <x:t>(송라초는 활보 불가하다함) / 2근거리 마석초, 3근거리 창현초임, 4근거리가 은솔초
*발달지체에서 자폐성장애로 유형변경 안내(복지카드 제출)</x:t>
    </x:r>
  </x:si>
  <x:si>
    <x:t>*김서후, 김시후 쌍둥이 같은 학교 배치 희망 
*활보 가능한 은솔초, 마석초 희망(송라초는 활보 불가하다함) / 2근거리 마석초, 3근거리 창현초임, 4근거리가 은솔초
*발달지체에서 자폐성장애로 유형변경 안내(복지카드 제출)</x:t>
  </x:si>
  <x:si>
    <x:t>도농초1.2 / 다산가람초 1.7 / 금교초 2.3 순인데, 2희망 다산새봄, 3희망 다산가람초 작성함. (다산새봄은 2.3)
-최근거리교 안내함. 
-도보, 버스이용으로 인해 2,3희망교 최근거리 아님. 보호자 확인서 제출완</x:t>
  </x:si>
  <x:si>
    <x:t>2019.03.03.</x:t>
  </x:si>
  <x:si>
    <x:t>2020.12.03.</x:t>
  </x:si>
  <x:si>
    <x:t>2020.01.02.</x:t>
  </x:si>
  <x:si>
    <x:t>2020.03.02.</x:t>
  </x:si>
  <x:si>
    <x:t>오남초등학교병설유치원</x:t>
  </x:si>
  <x:si>
    <x:t>갈매초등학교병설유치원</x:t>
  </x:si>
  <x:si>
    <x:t>2020.11.29.</x:t>
  </x:si>
  <x:si>
    <x:t>2020.03.23.</x:t>
  </x:si>
  <x:si>
    <x:t>2018.04.18.</x:t>
  </x:si>
  <x:si>
    <x:t>2018.09.17.</x:t>
  </x:si>
  <x:si>
    <x:t>2020.10.22.</x:t>
  </x:si>
  <x:si>
    <x:t>2020.09.15.</x:t>
  </x:si>
  <x:si>
    <x:t>2020.01.13.</x:t>
  </x:si>
  <x:si>
    <x:t>2020.12.27.</x:t>
  </x:si>
  <x:si>
    <x:t>2020.04.13.</x:t>
  </x:si>
  <x:si>
    <x:t>2020.04.18.</x:t>
  </x:si>
  <x:si>
    <x:t>2020.03.08.</x:t>
  </x:si>
  <x:si>
    <x:t>2020.04.06.</x:t>
  </x:si>
  <x:si>
    <x:t>2020.07.30.</x:t>
  </x:si>
  <x:si>
    <x:t>다산꽃다비유치원</x:t>
  </x:si>
  <x:si>
    <x:t>해밀초등학교병설유치원</x:t>
  </x:si>
  <x:si>
    <x:t>2020.10.03.</x:t>
  </x:si>
  <x:si>
    <x:t>2020.05.13.</x:t>
  </x:si>
  <x:si>
    <x:t>2020.03.26.</x:t>
  </x:si>
  <x:si>
    <x:t>2020.09.14.</x:t>
  </x:si>
  <x:si>
    <x:t>2020.02.06.</x:t>
  </x:si>
  <x:si>
    <x:t>2020.12.23.</x:t>
  </x:si>
  <x:si>
    <x:t>예봉초등학교병설유치원</x:t>
  </x:si>
  <x:si>
    <x:t>2020.10.20.</x:t>
  </x:si>
  <x:si>
    <x:t>2020.03.19.</x:t>
  </x:si>
  <x:si>
    <x:t>2020.04.08.</x:t>
  </x:si>
  <x:si>
    <x:t>2020.08.25.</x:t>
  </x:si>
  <x:si>
    <x:t>2020.05.04.</x:t>
  </x:si>
  <x:si>
    <x:t>0.036
2.4
3</x:t>
  </x:si>
  <x:si>
    <x:t>0.717
1
1.4</x:t>
  </x:si>
  <x:si>
    <x:t>0.01
1.1
2</x:t>
  </x:si>
  <x:si>
    <x:t>1
1.1
2.4</x:t>
  </x:si>
  <x:si>
    <x:t>0.3
1.3
1.6</x:t>
  </x:si>
  <x:si>
    <x:t>1.2
2.3
2.5</x:t>
  </x:si>
  <x:si>
    <x:t>2.3
1.6
1.9</x:t>
  </x:si>
  <x:si>
    <x:t>2020.12.15.</x:t>
  </x:si>
  <x:si>
    <x:t>0.675
1
1.1</x:t>
  </x:si>
  <x:si>
    <x:t>0.246
1
1.3</x:t>
  </x:si>
  <x:si>
    <x:t>0.2
2.2
2.5</x:t>
  </x:si>
  <x:si>
    <x:t>0.56
1.8
3</x:t>
  </x:si>
  <x:si>
    <x:t>2
1.8
3.2</x:t>
  </x:si>
  <x:si>
    <x:t>김찬희(어린이집)</x:t>
  </x:si>
  <x:si>
    <x:t>2020.04.09.</x:t>
  </x:si>
  <x:si>
    <x:t>2019.03.12.</x:t>
  </x:si>
  <x:si>
    <x:t>노원구 초록어린이집</x:t>
  </x:si>
  <x:si>
    <x:t>시립하임어린이집</x:t>
  </x:si>
  <x:si>
    <x:t>2020.08.04.</x:t>
  </x:si>
  <x:si>
    <x:t>22일(수) 10시</x:t>
  </x:si>
  <x:si>
    <x:t>시립남양주하나어린이집</x:t>
  </x:si>
  <x:si>
    <x:t>남양주도곡초등학교</x:t>
  </x:si>
  <x:si>
    <x:t>남양주신촌초등학교</x:t>
  </x:si>
  <x:si>
    <x:t>남양주동곡초등학교</x:t>
  </x:si>
  <x:si>
    <x:t>남양주송라초등학교</x:t>
  </x:si>
  <x:si>
    <x:t>남양주다산초등학교</x:t>
  </x:si>
  <x:si>
    <x:t>남양주덕송초등학교</x:t>
  </x:si>
  <x:si>
    <x:t>차산초등학교</x:t>
  </x:si>
  <x:si>
    <x:t>별가람유치원</x:t>
  </x:si>
  <x:si>
    <x:t>0.1
0.1</x:t>
  </x:si>
  <x:si>
    <x:t>0.91</x:t>
  </x:si>
  <x:si>
    <x:t>0.44</x:t>
  </x:si>
  <x:si>
    <x:t>0.634</x:t>
  </x:si>
  <x:si>
    <x:t>박시영 월</x:t>
  </x:si>
  <x:si>
    <x:t>다산새봄초</x:t>
  </x:si>
  <x:si>
    <x:t>해오름어린이집</x:t>
  </x:si>
  <x:si>
    <x:t>양정초등학교</x:t>
  </x:si>
  <x:si>
    <x:t>0.385</x:t>
  </x:si>
  <x:si>
    <x:t>곡교어린이집</x:t>
  </x:si>
  <x:si>
    <x:t>다움어린이집</x:t>
  </x:si>
  <x:si>
    <x:t>0.621</x:t>
  </x:si>
  <x:si>
    <x:t>김주하 수</x:t>
  </x:si>
  <x:si>
    <x:t>윤하진 월</x:t>
  </x:si>
  <x:si>
    <x:t>예봉초등학교</x:t>
  </x:si>
  <x:si>
    <x:t>일반학교</x:t>
  </x:si>
  <x:si>
    <x:t>이윤아 수</x:t>
  </x:si>
  <x:si>
    <x:t>이사 예정</x:t>
  </x:si>
  <x:si>
    <x:t>다산새봄유치원</x:t>
  </x:si>
  <x:si>
    <x:t>화도은솔유치원</x:t>
  </x:si>
  <x:si>
    <x:t>0.05</x:t>
  </x:si>
  <x:si>
    <x:t>화접초등학교</x:t>
  </x:si>
  <x:si>
    <x:t>금남초등학교</x:t>
  </x:si>
  <x:si>
    <x:t>샛별초등학교</x:t>
  </x:si>
  <x:si>
    <x:t>미금초등학교</x:t>
  </x:si>
  <x:si>
    <x:t>호평유치원</x:t>
  </x:si>
  <x:si>
    <x:t>백봉초등학교</x:t>
  </x:si>
  <x:si>
    <x:t>사능초등학교</x:t>
  </x:si>
  <x:si>
    <x:t>창현유치원</x:t>
  </x:si>
  <x:si>
    <x:t>유태영 월</x:t>
  </x:si>
  <x:si>
    <x:t>심층관찰</x:t>
  </x:si>
  <x:si>
    <x:t>발달지체</x:t>
  </x:si>
  <x:si>
    <x:t>와부초등학교</x:t>
  </x:si>
  <x:si>
    <x:t>송민학교</x:t>
  </x:si>
  <x:si>
    <x:t>진접어린이집</x:t>
  </x:si>
  <x:si>
    <x:t>하늘숲어린이집</x:t>
  </x:si>
  <x:si>
    <x:t>진단평가 필요</x:t>
  </x:si>
  <x:si>
    <x:t>최근거리교</x:t>
  </x:si>
  <x:si>
    <x:t>장애인복지법</x:t>
  </x:si>
  <x:si>
    <x:t>특수교육법</x:t>
  </x:si>
  <x:si>
    <x:t>2희망교</x:t>
  </x:si>
  <x:si>
    <x:t>지적장애</x:t>
  </x:si>
  <x:si>
    <x:t>언어장애</x:t>
  </x:si>
  <x:si>
    <x:t>학급유형</x:t>
  </x:si>
  <x:si>
    <x:t>일반학급</x:t>
  </x:si>
  <x:si>
    <x:t>생년월일</x:t>
  </x:si>
  <x:si>
    <x:t>가곡초등학교</x:t>
  </x:si>
  <x:si>
    <x:t>자폐성장애</x:t>
  </x:si>
  <x:si>
    <x:t>순회학급</x:t>
  </x:si>
  <x:si>
    <x:t>구리남양주</x:t>
  </x:si>
  <x:si>
    <x:t>3희망교</x:t>
  </x:si>
  <x:si>
    <x:t>특이사항</x:t>
  </x:si>
  <x:si>
    <x:t>뇌병변장애</x:t>
  </x:si>
  <x:si>
    <x:t>거리(km)</x:t>
  </x:si>
  <x:si>
    <x:t>가운초등학교</x:t>
  </x:si>
  <x:si>
    <x:t>특수학급</x:t>
  </x:si>
  <x:si>
    <x:t>검사결과</x:t>
  </x:si>
  <x:si>
    <x:t>담당교사</x:t>
  </x:si>
  <x:si>
    <x:t>배치유형</x:t>
  </x:si>
  <x:si>
    <x:t>통학방법</x:t>
  </x:si>
  <x:si>
    <x:t>장애유형</x:t>
  </x:si>
  <x:si>
    <x:t>1희망교</x:t>
  </x:si>
  <x:si>
    <x:t>갈매초등학교</x:t>
  </x:si>
  <x:si>
    <x:t>선정배치</x:t>
  </x:si>
  <x:si>
    <x:t>지체장애</x:t>
  </x:si>
  <x:si>
    <x:t>광릉초등학교</x:t>
  </x:si>
  <x:si>
    <x:t>특수학교</x:t>
  </x:si>
  <x:si>
    <x:t>도농초등학교</x:t>
  </x:si>
  <x:si>
    <x:t>도심초등학교</x:t>
  </x:si>
  <x:si>
    <x:t>은솔초등학교</x:t>
  </x:si>
  <x:si>
    <x:t>복합특수학급</x:t>
  </x:si>
  <x:si>
    <x:t>오남초등학교</x:t>
  </x:si>
  <x:si>
    <x:t>주곡초등학교</x:t>
  </x:si>
  <x:si>
    <x:t>의사소통장애</x:t>
  </x:si>
  <x:si>
    <x:t>도제원초등학교</x:t>
  </x:si>
  <x:si>
    <x:t>덕소초등학교</x:t>
  </x:si>
  <x:si>
    <x:t>부평초등학교</x:t>
  </x:si>
  <x:si>
    <x:t>별내초등학교</x:t>
  </x:si>
  <x:si>
    <x:t>진접초등학교</x:t>
  </x:si>
  <x:si>
    <x:t>중도중복장애</x:t>
  </x:si>
  <x:si>
    <x:t>구룡초등학교</x:t>
  </x:si>
  <x:si>
    <x:t>성광학교</x:t>
  </x:si>
  <x:si>
    <x:t>장현초등학교</x:t>
  </x:si>
  <x:si>
    <x:t>교문초등학교</x:t>
  </x:si>
  <x:si>
    <x:t>마석초등학교</x:t>
  </x:si>
  <x:si>
    <x:t>창현초등학교</x:t>
  </x:si>
  <x:si>
    <x:t>양오초등학교</x:t>
  </x:si>
  <x:si>
    <x:t>구리초등학교</x:t>
  </x:si>
  <x:si>
    <x:t>동인초등학교</x:t>
  </x:si>
  <x:si>
    <x:t>천마초등학교</x:t>
  </x:si>
  <x:si>
    <x:t>백문초등학교</x:t>
  </x:si>
  <x:si>
    <x:t>장승초등학교</x:t>
  </x:si>
  <x:si>
    <x:t>도림초등학교</x:t>
  </x:si>
  <x:si>
    <x:t>어람초등학교</x:t>
  </x:si>
  <x:si>
    <x:t>경은학교</x:t>
  </x:si>
  <x:si>
    <x:t>광주하남</x:t>
  </x:si>
  <x:si>
    <x:t>수택초등학교</x:t>
  </x:si>
  <x:si>
    <x:t>별가람초등학교</x:t>
  </x:si>
  <x:si>
    <x:t>한별초등학교</x:t>
  </x:si>
  <x:si>
    <x:t>화도어린이집</x:t>
  </x:si>
  <x:si>
    <x:t>도곡초등학교</x:t>
  </x:si>
  <x:si>
    <x:t>다산한강유치원</x:t>
  </x:si>
  <x:si>
    <x:t>평내초등학교</x:t>
  </x:si>
  <x:si>
    <x:t>금교초등학교</x:t>
  </x:si>
  <x:si>
    <x:t>양지초등학교</x:t>
  </x:si>
  <x:si>
    <x:t>안델센어린이집</x:t>
  </x:si>
  <x:si>
    <x:t>무지개유치원</x:t>
  </x:si>
  <x:si>
    <x:t>장내초등학교</x:t>
  </x:si>
  <x:si>
    <x:t>토평초등학교</x:t>
  </x:si>
  <x:si>
    <x:t>접수완료</x:t>
  </x:si>
  <x:si>
    <x:t>화도초등학교</x:t>
  </x:si>
  <x:si>
    <x:t>한별초등하교</x:t>
  </x:si>
  <x:si>
    <x:t>퇴계원초등학교</x:t>
  </x:si>
  <x:si>
    <x:t>인창초등학교</x:t>
  </x:si>
  <x:si>
    <x:t>하랑초등학교</x:t>
  </x:si>
  <x:si>
    <x:t>해밀초등학교</x:t>
  </x:si>
  <x:si>
    <x:t>평동초등학교</x:t>
  </x:si>
  <x:si>
    <x:t>동구초등학교</x:t>
  </x:si>
  <x:si>
    <x:t>구지초등학교</x:t>
  </x:si>
  <x:si>
    <x:t>하람어린이집</x:t>
  </x:si>
  <x:si>
    <x:t>지적뇌병변장애</x:t>
  </x:si>
  <x:si>
    <x:t>청각장애</x:t>
  </x:si>
  <x:si>
    <x:t>부양초등학교</x:t>
  </x:si>
  <x:si>
    <x:t>판곡초등학교</x:t>
  </x:si>
  <x:si>
    <x:t>화봉초등학교</x:t>
  </x:si>
  <x:si>
    <x:t>내양초등학교</x:t>
  </x:si>
  <x:si>
    <x:t>남양주송라초</x:t>
  </x:si>
  <x:si>
    <x:t>산마루초등학교</x:t>
  </x:si>
  <x:si>
    <x:t>호평초등학교</x:t>
  </x:si>
  <x:si>
    <x:t>1.1
1.1
2.4</x:t>
  </x:si>
  <x:si>
    <x:t>0.4
1.6
2.1</x:t>
  </x:si>
  <x:si>
    <x:t>영진햇살어린이집</x:t>
  </x:si>
  <x:si>
    <x:t>2020.07.22</x:t>
  </x:si>
  <x:si>
    <x:t>2020.08.27.</x:t>
  </x:si>
  <x:si>
    <x:t>2020.01.30.</x:t>
  </x:si>
  <x:si>
    <x:t>2020.03.31</x:t>
  </x:si>
  <x:si>
    <x:t>다산하늘빛유치원</x:t>
  </x:si>
  <x:si>
    <x:t>2020.01.20.</x:t>
  </x:si>
  <x:si>
    <x:t>2020.10.19.</x:t>
  </x:si>
  <x:si>
    <x:t>지적장애 발급중</x:t>
  </x:si>
  <x:si>
    <x:t>2020.09.26.</x:t>
  </x:si>
  <x:si>
    <x:t>남양주월산초등학교</x:t>
  </x:si>
  <x:si>
    <x:t>시립토평마을어린이집</x:t>
  </x:si>
  <x:si>
    <x:t>2020.02.25.</x:t>
  </x:si>
  <x:si>
    <x:t>2020.01.26.</x:t>
  </x:si>
  <x:si>
    <x:t>진접예랑어린이집</x:t>
  </x:si>
  <x:si>
    <x:t>2020.08.16.</x:t>
  </x:si>
  <x:si>
    <x:t>특수학교(유치부)</x:t>
  </x:si>
  <x:si>
    <x:t>2019.11.18.</x:t>
  </x:si>
  <x:si>
    <x:t>시립갈매어린이집</x:t>
  </x:si>
  <x:si>
    <x:t>2020.05.21</x:t>
  </x:si>
  <x:si>
    <x:t>2020.06.24.</x:t>
  </x:si>
  <x:si>
    <x:t>2020.01.10.</x:t>
  </x:si>
  <x:si>
    <x:t>시립동구어린이집</x:t>
  </x:si>
  <x:si>
    <x:t>복합특수학급 신설</x:t>
  </x:si>
  <x:si>
    <x:t>2020.11.12.</x:t>
  </x:si>
  <x:si>
    <x:t>2020.04.17.</x:t>
  </x:si>
  <x:si>
    <x:t>2020.01.08.</x:t>
  </x:si>
  <x:si>
    <x:t>구리시립갈매어린이집</x:t>
  </x:si>
  <x:si>
    <x:t>장현새싹어린이집</x:t>
  </x:si>
  <x:si>
    <x:t>2020.07.15.</x:t>
  </x:si>
  <x:si>
    <x:t>2020.10.12.</x:t>
  </x:si>
  <x:si>
    <x:t>2020.10.10.</x:t>
  </x:si>
  <x:si>
    <x:t>2020.08.13.</x:t>
  </x:si>
  <x:si>
    <x:t>지적·자폐성장애</x:t>
  </x:si>
  <x:si>
    <x:t>시립호평어린이집</x:t>
  </x:si>
  <x:si>
    <x:t>다산아이사랑어린이집</x:t>
  </x:si>
  <x:si>
    <x:t>2020.04.07.</x:t>
  </x:si>
  <x:si>
    <x:t>지적·뇌병변장애</x:t>
  </x:si>
  <x:si>
    <x:t>2020.08.10.</x:t>
  </x:si>
  <x:si>
    <x:t>2020.12.08.</x:t>
  </x:si>
  <x:si>
    <x:t>2020.06.25.</x:t>
  </x:si>
  <x:si>
    <x:t>호평한마음어린이집</x:t>
  </x:si>
  <x:si>
    <x:t>2020.04.27.</x:t>
  </x:si>
  <x:si>
    <x:t>동그라미어린이집</x:t>
  </x:si>
  <x:si>
    <x:t xml:space="preserve">복합특수학급 신설 </x:t>
  </x:si>
  <x:si>
    <x:t>2020.07.16.</x:t>
  </x:si>
  <x:si>
    <x:t>오남복지어린이집</x:t>
  </x:si>
  <x:si>
    <x:t>2020.04.23.</x:t>
  </x:si>
  <x:si>
    <x:t>시립미사어린이집</x:t>
  </x:si>
  <x:si>
    <x:t>남양주백봉초등학교</x:t>
  </x:si>
  <x:si>
    <x:t>2020.06.02.</x:t>
  </x:si>
  <x:si>
    <x:t>시립진접어린이집</x:t>
  </x:si>
  <x:si>
    <x:t>2020.06.10.</x:t>
  </x:si>
  <x:si>
    <x:t>2020.08.09.</x:t>
  </x:si>
  <x:si>
    <x:t>2020.03.07.</x:t>
  </x:si>
  <x:si>
    <x:t>2020.12.07.</x:t>
  </x:si>
  <x:si>
    <x:t>2020.07.17.</x:t>
  </x:si>
  <x:si>
    <x:t>2020.08.23.</x:t>
  </x:si>
  <x:si>
    <x:t>복합특수학급신설</x:t>
  </x:si>
  <x:si>
    <x:t>2020.09.03.</x:t>
  </x:si>
  <x:si>
    <x:t>2018.02.11.</x:t>
  </x:si>
  <x:si>
    <x:t>2020.01.15.</x:t>
  </x:si>
  <x:si>
    <x:t>시립하나어린이집</x:t>
  </x:si>
  <x:si>
    <x:t>2019.06.24.</x:t>
  </x:si>
  <x:si>
    <x:t>2020.12.02.</x:t>
  </x:si>
  <x:si>
    <x:t>시립와부어린이집</x:t>
  </x:si>
  <x:si>
    <x:t>남양주다산유치원</x:t>
  </x:si>
  <x:si>
    <x:t>2020.02.16.</x:t>
  </x:si>
  <x:si>
    <x:t>2020.05.28</x:t>
  </x:si>
  <x:si>
    <x:t>자폐성·언어장애</x:t>
  </x:si>
  <x:si>
    <x:t>2020.06.22.</x:t>
  </x:si>
  <x:si>
    <x:t>2020.11.18.</x:t>
  </x:si>
  <x:si>
    <x:t>덕소초등학교병설유치원</x:t>
  </x:si>
  <x:si>
    <x:t>2020.09.19.</x:t>
  </x:si>
  <x:si>
    <x:t>2020.06.08.</x:t>
  </x:si>
  <x:si>
    <x:t>남양주별빛유치원</x:t>
  </x:si>
  <x:si>
    <x:t>시립행복모아어린이집</x:t>
  </x:si>
  <x:si>
    <x:t>2020.02.15.</x:t>
  </x:si>
  <x:si>
    <x:t>2020.07.04.</x:t>
  </x:si>
  <x:si>
    <x:t>2020.08.12.</x:t>
  </x:si>
  <x:si>
    <x:t>2020.09.04.</x:t>
  </x:si>
  <x:si>
    <x:t>2020.09.02.</x:t>
  </x:si>
  <x:si>
    <x:t>0.8
1.5
1.8</x:t>
  </x:si>
  <x:si>
    <x:t>구지초등학교병설유치원</x:t>
  </x:si>
  <x:si>
    <x:t>2020.09.09.</x:t>
  </x:si>
  <x:si>
    <x:t xml:space="preserve">장애미등록, 약X </x:t>
  </x:si>
  <x:si>
    <x:t>2020.02.10.</x:t>
  </x:si>
  <x:si>
    <x:t>1.4
1.2
1.8</x:t>
  </x:si>
  <x:si>
    <x:t>2020.03.15.</x:t>
  </x:si>
  <x:si>
    <x:t>자폐성,언어장애</x:t>
  </x:si>
  <x:si>
    <x:t>부평초등학교병설유치원</x:t>
  </x:si>
  <x:si>
    <x:t>1.5
0.994
2</x:t>
  </x:si>
  <x:si>
    <x:t>랄라키즈어린이집</x:t>
  </x:si>
  <x:si>
    <x:t>2.2
1.3
2.1</x:t>
  </x:si>
  <x:si>
    <x:t>19(금) 08:50</x:t>
  </x:si>
  <x:si>
    <x:t>자폐성장애(발달지체)</x:t>
  </x:si>
  <x:si>
    <x:t>경기도 남양주시 진접읍 금강로 1530-14, 102동 301호(진접하우스토리)</x:t>
  </x:si>
  <x:si>
    <x:r>
      <x:t xml:space="preserve">7/1(수)10, </x:t>
    </x:r>
    <x:r>
      <x:rPr>
        <x:rFont val="Arial"/>
        <x:sz val="10"/>
        <x:color rgb="ff0000ff"/>
      </x:rPr>
      <x:t>7/2(목)10:40</x:t>
    </x:r>
    <x:r>
      <x:rPr>
        <x:rFont val="Arial"/>
        <x:sz val="10"/>
        <x:color rgb="ff000000"/>
      </x:rPr>
      <x:t>, 7/8)수)10, 7/9(목)10:40</x:t>
    </x:r>
  </x:si>
  <x:si>
    <x:t>사회적 상황 인지, 따르기 모두 양호. 자기자극 중심의 활동일뿐 방해 크지 않았음</x:t>
  </x:si>
  <x:si>
    <x:t>경기도 남양주시 화도읍 경춘보학2길 29, 301동 301호 (라온프라이빗아파트)</x:t>
  </x:si>
  <x:si>
    <x:t>경기도 남양주시 진접읍 해밀예당1로 51, 1303동 1403호 (자연&amp;어울림아파트)</x:t>
  </x:si>
  <x:si>
    <x:t>경기도 남양주시 진접읍 부평로 48번길 110, 104동1801호 (진접서희스타힐스)</x:t>
  </x:si>
  <x:si>
    <x:t>경기도 남양주시 순화궁로 458-16, 1704동 1204호(별내동, 별내퍼스트포레)</x:t>
  </x:si>
  <x:si>
    <x:t>경기도 남양주시 진접읍 봉현로 36번길 11-1, 105동 506호(삼신아파트)</x:t>
  </x:si>
  <x:si>
    <x:t>경기도 남양주시 다산중앙로146번길7, 2202동 1101호(다산동, 다산롯데캐슬)</x:t>
  </x:si>
  <x:si>
    <x:t>경기도 남양주시 진접읍 부평로48번길 140, 105동 1501호(더샵퍼스트시티)</x:t>
  </x:si>
  <x:si>
    <x:t xml:space="preserve">약 안먹긴 하지만, 임팩트 가장 큼, 안정기에도 복도 생활.. 전형적 자폐 여아 </x:t>
  </x:si>
  <x:si>
    <x:t>010-7640-7460</x:t>
  </x:si>
  <x:si>
    <x:t>010-2078-2944</x:t>
  </x:si>
  <x:si>
    <x:t>010-4745-1367</x:t>
  </x:si>
  <x:si>
    <x:t>010-6641-1224</x:t>
  </x:si>
  <x:si>
    <x:t>010-4188-6163</x:t>
  </x:si>
  <x:si>
    <x:t>010-7320-1455</x:t>
  </x:si>
  <x:si>
    <x:t>다산자이폴라리스어린이집</x:t>
  </x:si>
  <x:si>
    <x:t>010-9857-2024</x:t>
  </x:si>
  <x:si>
    <x:t>010-3074-5250</x:t>
  </x:si>
  <x:si>
    <x:t>010-5555-9213</x:t>
  </x:si>
  <x:si>
    <x:t>010-8175-2518</x:t>
  </x:si>
  <x:si>
    <x:t>010-8447-6557</x:t>
  </x:si>
  <x:si>
    <x:t>010-3839-7969</x:t>
  </x:si>
  <x:si>
    <x:t>010-8485-8640</x:t>
  </x:si>
  <x:si>
    <x:t>010-8688-3796</x:t>
  </x:si>
  <x:si>
    <x:t>010-3361-0124</x:t>
  </x:si>
  <x:si>
    <x:t>19
경은 9시 김하람</x:t>
  </x:si>
  <x:si>
    <x:t>010-3738-8719</x:t>
  </x:si>
  <x:si>
    <x:t>010-5092-4027</x:t>
  </x:si>
  <x:si>
    <x:t>다산하늘초등학교병설유치원</x:t>
  </x:si>
  <x:si>
    <x:t>010-7105-1116</x:t>
  </x:si>
  <x:si>
    <x:t>남양주월산초등학교병설유치원</x:t>
  </x:si>
  <x:si>
    <x:t>010-8836-1772</x:t>
  </x:si>
  <x:si>
    <x:t>010-5219-0736</x:t>
  </x:si>
  <x:si>
    <x:t>010-5910-4061</x:t>
  </x:si>
  <x:si>
    <x:t>010-7737-6854</x:t>
  </x:si>
  <x:si>
    <x:t>010-7256-7277</x:t>
  </x:si>
  <x:si>
    <x:r>
      <x:t>장애유형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함초롬돋움"/>
            <x:sz val="11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함초롬돋움"/>
            <x:sz val="11"/>
            <x:color rgb="ff0000ff"/>
            <x:b val="1"/>
          </x:rPr>
        </mc:Fallback>
      </mc:AlternateContent>
      <x:t>(유형변경 파란색)</x:t>
    </x:r>
  </x:si>
  <x:si>
    <x:t>*장애유형변경(발달&gt;지적)</x:t>
  </x:si>
  <x:si>
    <x:t>010-2045-9252</x:t>
  </x:si>
  <x:si>
    <x:t>010-2971-2727</x:t>
  </x:si>
  <x:si>
    <x:t>010-8905-4635</x:t>
  </x:si>
  <x:si>
    <x:t>010-8899-3796</x:t>
  </x:si>
  <x:si>
    <x:t>010-9133-1701</x:t>
  </x:si>
  <x:si>
    <x:t>010-3681-1805</x:t>
  </x:si>
  <x:si>
    <x:t>010-9153-1455</x:t>
  </x:si>
  <x:si>
    <x:t>010-6489-5236</x:t>
  </x:si>
  <x:si>
    <x:t>010-9477-5341</x:t>
  </x:si>
  <x:si>
    <x:t>010-8610-4533</x:t>
  </x:si>
  <x:si>
    <x:t>3희망교 한별초로 변경</x:t>
  </x:si>
  <x:si>
    <x:t>010-3302-3499</x:t>
  </x:si>
  <x:si>
    <x:t>010-2228-7151</x:t>
  </x:si>
  <x:si>
    <x:t>010-4714-7728</x:t>
  </x:si>
  <x:si>
    <x:t>010-7180-0903</x:t>
  </x:si>
  <x:si>
    <x:t>010-8504-2941</x:t>
  </x:si>
  <x:si>
    <x:t>010-8865-6065</x:t>
  </x:si>
  <x:si>
    <x:t>010-5094-4560</x:t>
  </x:si>
  <x:si>
    <x:t>010-8999-2232</x:t>
  </x:si>
  <x:si>
    <x:t>010-8963-3676</x:t>
  </x:si>
  <x:si>
    <x:t>지적장애
(발달지체로 신청)</x:t>
  </x:si>
  <x:si>
    <x:t>010-9220-1146</x:t>
  </x:si>
  <x:si>
    <x:t>010-4699-4236</x:t>
  </x:si>
  <x:si>
    <x:t>010-8570-0151</x:t>
  </x:si>
  <x:si>
    <x:t>010-4149-6589</x:t>
  </x:si>
  <x:si>
    <x:t>다산새봄초등학교병설유치원</x:t>
  </x:si>
  <x:si>
    <x:t>010-3222-5480</x:t>
  </x:si>
  <x:si>
    <x:t>010-4760-2025</x:t>
  </x:si>
  <x:si>
    <x:t>지적장애
(현 발달지체)</x:t>
  </x:si>
  <x:si>
    <x:t>010-5303-0083</x:t>
  </x:si>
  <x:si>
    <x:r>
      <x:t xml:space="preserve">2명 같은 반 / </x:t>
    </x:r>
    <x:r>
      <x:rPr>
        <x:rFont val="Arial"/>
        <x:sz val="10"/>
        <x:color rgb="ff0000ff"/>
      </x:rPr>
      <x:t>7/15(수) 10시</x:t>
    </x:r>
  </x:si>
  <x:si>
    <x:t>□ 복지카드: 청각장애 중증(제한없음)</x:t>
  </x:si>
  <x:si>
    <x:t>2: 학교 자리만 있으면 들어가도 좋을듯</x:t>
  </x:si>
  <x:si>
    <x:t>도보 통학 기준 / 2,3희망교 바뀜.</x:t>
  </x:si>
  <x:si>
    <x:t>경기도 남양주시 불암산로97번길 22-27</x:t>
  </x:si>
  <x:si>
    <x:t>30
시립토평마을어린이집 10시 박규빈</x:t>
  </x:si>
  <x:si>
    <x:t>중도중복. 걷기 시작한 돌 아기 느낌.</x:t>
  </x:si>
  <x:si>
    <x:t>인지 너무 낮고, 자폐 성향 매우 강함.</x:t>
  </x:si>
  <x:si>
    <x:t>3순위 거리 애매... 가운,다산별빛,금교</x:t>
  </x:si>
  <x:si>
    <x:t>*2근거리 장승초, 3근거리 광릉초 안내</x:t>
  </x:si>
  <x:si>
    <x:t>27(월) 10~11시 / 학급 다름</x:t>
  </x:si>
  <x:si>
    <x:t>경기도 구리시 검배로72번길 89, 3층</x:t>
  </x:si>
  <x:si>
    <x:t>경은 기각되면 취학유예, 복지카드 발급중</x:t>
  </x:si>
  <x:si>
    <x:t>복지카드 발급중 (자폐 중증) / 발급 완료되면 복지카드 추가 제출 안내 / 3근거리 내양초X 한별초0 안내</x:t>
  </x:si>
  <x:si>
    <x:t>내년에 초등학교 입학하는 비장애 자녀와 다른 학교 배치를 희망해 학구 외 학교를 희망함. 보호자 의견서 첨부.</x:t>
  </x:si>
  <x:si>
    <x:r>
      <x:rPr>
        <x:rFont val="Arial"/>
        <x:sz val="10"/>
        <x:color rgb="ffff0000"/>
      </x:rPr>
      <x:t>내년에 초등학교 입학하는</x:t>
    </x:r>
    <x:r>
      <x:rPr>
        <x:rFont val="Arial"/>
        <x:sz val="10"/>
        <x:color rgb="ff000000"/>
      </x:rPr>
      <x:t xml:space="preserve"> 비장애 자녀와 다른 학교 배치를 희망해 학구 외 학교를 희망함. 보호자 의견서 첨부.</x:t>
    </x:r>
  </x:si>
  <x:si>
    <x:r>
      <x:rPr>
        <x:rFont val="Arial"/>
        <x:sz val="10"/>
        <x:color rgb="ff0000ff"/>
      </x:rPr>
      <x:t>23일(화) 10시</x:t>
    </x:r>
    <x:r>
      <x:rPr>
        <x:rFont val="Arial"/>
        <x:sz val="10"/>
        <x:color rgb="ff000000"/>
      </x:rPr>
      <x:t xml:space="preserve"> 수요일 학생 센터 일정으로 어려움. thewood@naver.com / 10시 / 원장님</x:t>
    </x:r>
  </x:si>
  <x:si>
    <x:t>현: 경기도 구리시 건원대로 92, 115동 1405호(인창동 주공아파트)
이사: 경기도 구리시 수택동 444-6</x:t>
  </x:si>
  <x:si>
    <x:t>□ 복지카드: 지적·뇌병변장애 중증(~2027.11.09.)
□ 장애인증명서 지적(심한), 뇌병변(심한) 제출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</x:si>
  <x:si>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strike val="1"/>
            <hs:strikeoutType val="1"/>
            <hs:strikeoutShape val="solid"/>
            <hs:strikeout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strike val="1"/>
          </x:rPr>
        </mc:Fallback>
      </mc:AlternateContent>
      <x:t xml:space="preserve"> 7/2((목) 10시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ff"/>
            <x:strike val="1"/>
            <hs:strikeoutType val="1"/>
            <hs:strikeoutShape val="solid"/>
            <hs:strikeoutColor rgb="ff0000ff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ff"/>
            <x:strike val="1"/>
          </x:rPr>
        </mc:Fallback>
      </mc:AlternateContent>
      <x:t xml:space="preserve"> </x:t>
    </x:r>
    <x:r>
      <x:rPr>
        <x:rFont val="Arial"/>
        <x:sz val="10"/>
        <x:color rgb="ff0000ff"/>
      </x:rPr>
      <x:t>7/8(수)2시</x:t>
    </x:r>
    <x:r>
      <x:rPr>
        <x:rFont val="Arial"/>
        <x:sz val="10"/>
        <x:color rgb="ff000000"/>
      </x:rPr>
      <x:t xml:space="preserve">
010-8727-4730 김지희선생님
merowith2@naver.com</x:t>
    </x:r>
  </x:si>
  <x:si>
    <x:t>0.2
0.866
1.2</x:t>
  </x:si>
  <x:si>
    <x:t>특수학급
특수학급
특수학급</x:t>
  </x:si>
  <x:si>
    <x:t>0.187
3.8
4.4</x:t>
  </x:si>
  <x:si>
    <x:t>0.672
1.1
1.8</x:t>
  </x:si>
  <x:si>
    <x:t>0.911
0.4
0.92</x:t>
  </x:si>
  <x:si>
    <x:t>0.47
0.97
1.1</x:t>
  </x:si>
  <x:si>
    <x:t>0.785
1.2
1.6</x:t>
  </x:si>
  <x:si>
    <x:t>0.984
1.2
1.9</x:t>
  </x:si>
  <x:si>
    <x:t>0.3
0.81
1.1</x:t>
  </x:si>
  <x:si>
    <x:t>0.23
1.8
2.3</x:t>
  </x:si>
  <x:si>
    <x:t>0.837
0.97
1.8</x:t>
  </x:si>
  <x:si>
    <x:t>0.765
0.631
1.1</x:t>
  </x:si>
  <x:si>
    <x:t>0.53
1.3
1.3</x:t>
  </x:si>
  <x:si>
    <x:t>0.782
0.918
1</x:t>
  </x:si>
  <x:si>
    <x:t>0.25
1.1
1.5</x:t>
  </x:si>
  <x:si>
    <x:t>0.654
2.2
3.3</x:t>
  </x:si>
  <x:si>
    <x:t>0.634
0.855
1.1</x:t>
  </x:si>
  <x:si>
    <x:t>0.658
0.882
2</x:t>
  </x:si>
  <x:si>
    <x:t>0.35
1.9
2.1</x:t>
  </x:si>
  <x:si>
    <x:t>0.81
0.88
1.1</x:t>
  </x:si>
  <x:si>
    <x:t>0.227
0.45
0.9</x:t>
  </x:si>
  <x:si>
    <x:t>0.711
5.5
6.2</x:t>
  </x:si>
  <x:si>
    <x:t>0.552
1.5
1.9</x:t>
  </x:si>
  <x:si>
    <x:t>0.16
1.4
1.2</x:t>
  </x:si>
  <x:si>
    <x:t>장애인증명서 제출 완료</x:t>
  </x:si>
  <x:si>
    <x:t>010-7282-6399</x:t>
  </x:si>
  <x:si>
    <x:t>010-4903-3602</x:t>
  </x:si>
  <x:si>
    <x:t>010-4330-0124</x:t>
  </x:si>
  <x:si>
    <x:t>010-8964-0732</x:t>
  </x:si>
  <x:si>
    <x:t>010-4772-0929</x:t>
  </x:si>
  <x:si>
    <x:t>010-5028-2212</x:t>
  </x:si>
  <x:si>
    <x:t>010-3906-3963</x:t>
  </x:si>
  <x:si>
    <x:t>시립다산아이편한어린이집</x:t>
  </x:si>
  <x:si>
    <x:t>광주하남 7.20부터 발송</x:t>
  </x:si>
  <x:si>
    <x:t>남양주신촌초등학교병설유치원</x:t>
  </x:si>
  <x:si>
    <x:t>다산별빛초등학교병설유치원</x:t>
  </x:si>
  <x:si>
    <x:t>010-2606-2684</x:t>
  </x:si>
  <x:si>
    <x:t>0.984
6.1
11</x:t>
  </x:si>
  <x:si>
    <x:t>010-5527-4969</x:t>
  </x:si>
  <x:si>
    <x:t>010-6638-5906</x:t>
  </x:si>
  <x:si>
    <x:t>010-8547-9168</x:t>
  </x:si>
  <x:si>
    <x:t>발달지체
(자폐성장애 가능)</x:t>
  </x:si>
  <x:si>
    <x:t>29(수) 10~11시</x:t>
  </x:si>
  <x:si>
    <x:t>010-4787-9057</x:t>
  </x:si>
  <x:si>
    <x:t>0.675
1.4
1.4</x:t>
  </x:si>
  <x:si>
    <x:t>010-8473-8584</x:t>
  </x:si>
  <x:si>
    <x:t>지적장애
(중도중복 가능)</x:t>
  </x:si>
  <x:si>
    <x:t>0.385
0.878
1.2</x:t>
  </x:si>
  <x:si>
    <x:t>010-3217-6485</x:t>
  </x:si>
  <x:si>
    <x:t>0.34
1.4
1.4</x:t>
  </x:si>
  <x:si>
    <x:t>0.699
0.832
1.9</x:t>
  </x:si>
  <x:si>
    <x:t>0.146
1.2
1.4</x:t>
  </x:si>
  <x:si>
    <x:t>010-5481-4321</x:t>
  </x:si>
  <x:si>
    <x:t>010-6239-9038</x:t>
  </x:si>
  <x:si>
    <x:t>서식1,2,4 수정 완료</x:t>
  </x:si>
  <x:si>
    <x:t>0.629
1.3
1.4</x:t>
  </x:si>
  <x:si>
    <x:t>0.418
1.3
2.2</x:t>
  </x:si>
  <x:si>
    <x:t>0.649
0.433
2.5</x:t>
  </x:si>
  <x:si>
    <x:t>0.36
0.43
0.55</x:t>
  </x:si>
  <x:si>
    <x:t>0.307
0.869
1</x:t>
  </x:si>
  <x:si>
    <x:t>0.715
1.1
1.6</x:t>
  </x:si>
  <x:si>
    <x:t>0.375
3.9
4.5</x:t>
  </x:si>
  <x:si>
    <x:t>27(월) 10~11시</x:t>
  </x:si>
  <x:si>
    <x:t>자폐성장애
(발달지체??)</x:t>
  </x:si>
  <x:si>
    <x:t>0.8
0.926
1.3</x:t>
  </x:si>
  <x:si>
    <x:t>0.45
1.1
1.1</x:t>
  </x:si>
  <x:si>
    <x:t>0.99
1.2
1.9</x:t>
  </x:si>
  <x:si>
    <x:t>순회학급
순회학급
순회학급</x:t>
  </x:si>
  <x:si>
    <x:t>0.414
1.1
3.4</x:t>
  </x:si>
  <x:si>
    <x:t>0.44
0.88
1.4</x:t>
  </x:si>
  <x:si>
    <x:t>0.57
1.1
1.8</x:t>
  </x:si>
  <x:si>
    <x:t>0.76
0.32
1.3</x:t>
  </x:si>
  <x:si>
    <x:t>010-3686-1911</x:t>
  </x:si>
  <x:si>
    <x:t>0.935
1.1
1.4</x:t>
  </x:si>
  <x:si>
    <x:t>0.452
1.1
1.3</x:t>
  </x:si>
  <x:si>
    <x:t>0.48
1.3
1.9</x:t>
  </x:si>
  <x:si>
    <x:t>0.321
0.7
0.833</x:t>
  </x:si>
  <x:si>
    <x:t>0.359
0.98
1.8</x:t>
  </x:si>
  <x:si>
    <x:t>010-2744-5265</x:t>
  </x:si>
  <x:si>
    <x:t>미사랑유치원(광주하남)</x:t>
  </x:si>
  <x:si>
    <x:t>남양주다산초등학교병설유치원</x:t>
  </x:si>
  <x:si>
    <x:t>0.79
2.1
2.5</x:t>
  </x:si>
  <x:si>
    <x:t>0.66
1.8
1.7</x:t>
  </x:si>
  <x:si>
    <x:t>0.28
0.566
0.64</x:t>
  </x:si>
  <x:si>
    <x:t>0.12
2.2
2.4</x:t>
  </x:si>
  <x:si>
    <x:t>0.614
1.4
1.4</x:t>
  </x:si>
  <x:si>
    <x:t>0.454
1.2
1.2</x:t>
  </x:si>
  <x:si>
    <x:t>0.589
1.3
1.3</x:t>
  </x:si>
  <x:si>
    <x:t>1.6
0.641
0.557</x:t>
  </x:si>
  <x:si>
    <x:t>0.428
0.22
1.4</x:t>
  </x:si>
  <x:si>
    <x:t>0.25
1.1
1.3</x:t>
  </x:si>
  <x:si>
    <x:t>0.47
0.68
0.612</x:t>
  </x:si>
  <x:si>
    <x:t>0.664
1.7
1.7</x:t>
  </x:si>
  <x:si>
    <x:t>복지카드 유효기한은 2027년 2월이나 장애인증명서 제출</x:t>
  </x:si>
  <x:si>
    <x:t>□ 복지카드: 자폐성장애 중증(~2028.12.27.)</x:t>
  </x:si>
  <x:si>
    <x:t>□ 복지카드: 자폐성장애 중증(~2031.12.30.)</x:t>
  </x:si>
  <x:si>
    <x:t>경기도 구리시 경춘로 276번길 21, 105동202호</x:t>
  </x:si>
  <x:si>
    <x:t>□ 복지카드: 자폐성장애 중증(~2032.1.17.)</x:t>
  </x:si>
  <x:si>
    <x:t>경기도 남양주시 늘을3로 65-26, 1318동 905호</x:t>
  </x:si>
  <x:si>
    <x:t>□ 복지카드: 지적장애 중증(~2031.11.27.)</x:t>
  </x:si>
  <x:si>
    <x:t>□ 복지카드: 언어장애 심한(~2027.04.18.)</x:t>
  </x:si>
  <x:si>
    <x:t>경기도 남양주시 와부읍 덕소로 270, 113동 405호</x:t>
  </x:si>
  <x:si>
    <x:t>□ 복지카드: 자폐성장애 중증(~2031.7.1.)</x:t>
  </x:si>
  <x:si>
    <x:t>경기도 구리시 장자대로37번길 55, 106동 1101호</x:t>
  </x:si>
  <x:si>
    <x:t>□ 복지카드: 자폐성장애 중증(~2031.10.03.)</x:t>
  </x:si>
  <x:si>
    <x:t>□ 복지카드: 자폐성장애 중증(~2031.12.26.)</x:t>
  </x:si>
  <x:si>
    <x:t>경기도 남양주시 와부읍 덕소로 33, 301-1404</x:t>
  </x:si>
  <x:si>
    <x:t>경기도 남양주시 늘을3로 71, 1506동 404호</x:t>
  </x:si>
  <x:si>
    <x:t>□ 복지카드: 뇌병변장애 중증(~2026.12.01.)</x:t>
  </x:si>
  <x:si>
    <x:t>경기도 남양주시 다산중앙로 82번길 72-43, 301호</x:t>
  </x:si>
  <x:si>
    <x:t>경기도 남양주시 와부읍 덕소로 72, 101동 2402호</x:t>
  </x:si>
  <x:si>
    <x:r>
      <x:t xml:space="preserve">27(월) 10~11시
</x:t>
    </x:r>
    <x:r>
      <x:rPr>
        <x:rFont val="Arial"/>
        <x:sz val="10"/>
        <x:color rgb="ff000000"/>
      </x:rPr>
      <x:t>nyjhana@naver.com</x:t>
    </x:r>
  </x:si>
  <x:si>
    <x:r>
      <x:t xml:space="preserve">발달지체
</x:t>
    </x:r>
    <x:r>
      <x:rPr>
        <x:rFont val="Arial"/>
        <x:sz val="10"/>
        <x:color rgb="ff0000ff"/>
      </x:rPr>
      <x:t>(자폐성장애 가능)</x:t>
    </x:r>
  </x:si>
  <x:si>
    <x:r>
      <x:t xml:space="preserve">지적장애
</x:t>
    </x:r>
    <x:r>
      <x:rPr>
        <x:rFont val="Arial"/>
        <x:sz val="10"/>
        <x:color rgb="ff0000ff"/>
      </x:rPr>
      <x:t>(중도중복 가능)</x:t>
    </x:r>
  </x:si>
  <x:si>
    <x:r>
      <x:t xml:space="preserve">자폐성장애
</x:t>
    </x:r>
    <x:r>
      <x:rPr>
        <x:rFont val="Arial"/>
        <x:sz val="10"/>
        <x:color rgb="ff0000ff"/>
      </x:rPr>
      <x:t>(발달지체??)</x:t>
    </x:r>
  </x:si>
  <x:si>
    <x:r>
      <x:t xml:space="preserve">다음 수 오전, 2시 이후 / 29,30 오전.. 오전이 가장 일상적인 모습. 오후는 2시~3시 / </x:t>
    </x:r>
    <x:r>
      <x:rPr>
        <x:rFont val="Arial"/>
        <x:sz val="10"/>
        <x:color rgb="ff0000ff"/>
      </x:rPr>
      <x:t>24일(수) 14시</x:t>
    </x:r>
    <x:r>
      <x:rPr>
        <x:rFont val="Arial"/>
        <x:sz val="10"/>
        <x:color rgb="ff000000"/>
      </x:rPr>
      <x:t xml:space="preserve">
샘 메일 unghea12@naver.com </x:t>
    </x:r>
  </x:si>
  <x:si>
    <x:t>1. 경은학교
2. 복합특수학급 신설
3. 송민학교</x:t>
  </x:si>
  <x:si>
    <x:t>1. 경은학교
2. 성광학교
3. 사능초등학교</x:t>
  </x:si>
  <x:si>
    <x:t>1. 경은학교
2. 송민학교
3. 복합특수학급신설</x:t>
  </x:si>
  <x:si>
    <x:t>1. 경은학교
2. 복합특수학급신설
3. 성광학교</x:t>
  </x:si>
  <x:si>
    <x:t>구리남양주
구리남양주</x:t>
  </x:si>
  <x:si>
    <x:t>1. 복합특수학급신설</x:t>
  </x:si>
  <x:si>
    <x:t>구리남양주
의정부</x:t>
  </x:si>
  <x:si>
    <x:t xml:space="preserve">1. 복합특수학급 신설 </x:t>
  </x:si>
  <x:si>
    <x:t>구리남양주
의정부
구리남양주</x:t>
  </x:si>
  <x:si>
    <x:t>1. 경은학교
2. 송민학교</x:t>
  </x:si>
  <x:si>
    <x:t>1. 경은학교</x:t>
  </x:si>
  <x:si>
    <x:t>1. 경은학교
2. 복합특수학급 신설</x:t>
  </x:si>
  <x:si>
    <x:t>구리남양주
광주하남
구리남양주</x:t>
  </x:si>
  <x:si>
    <x:t>1. 경은학교
2. 복합특수학급신설</x:t>
  </x:si>
  <x:si>
    <x:t>구리남양주
구리남양주
광주하남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</x:si>
</x:sst>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년\ m\월"/>
  </x:numFmts>
  <x:fonts count="2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  <x:font>
      <x:name val="함초롬돋움"/>
      <x:sz val="11"/>
      <x:color rgb="ff434343"/>
      <x:b val="1"/>
    </x:font>
    <x:font>
      <x:name val="Arial"/>
      <x:sz val="11"/>
      <x:color rgb="ff000000"/>
      <x:b val="1"/>
    </x:font>
    <x:font>
      <x:name val="Arial"/>
      <x:sz val="10"/>
      <x:color rgb="ff0000ff"/>
    </x:font>
    <x:font>
      <x:name val="Arial"/>
      <x:sz val="10"/>
      <x:color rgb="ffff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434343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43434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38761d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38761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ea4335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ea433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strike val="1"/>
          <hs:strikeoutType val="1"/>
          <hs:strikeoutShape val="solid"/>
          <hs:strikeout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d83026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d8302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3b4657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3b4657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1972e8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1972e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d83026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d8302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1972e8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1972e8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ff99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ff99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돋움"/>
          <x:sz val="11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함초롬돋움"/>
          <x:sz val="11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ff"/>
          <x:strike val="1"/>
          <hs:strikeoutType val="1"/>
          <hs:strikeoutShape val="solid"/>
          <hs:strikeoutColor rgb="ff0000ff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ff"/>
          <x:strike val="1"/>
        </x:font>
      </mc:Fallback>
    </mc:AlternateContent>
  </x:fonts>
  <x:fills count="13">
    <x:fill>
      <x:patternFill patternType="none"/>
    </x:fill>
    <x:fill>
      <x:patternFill patternType="gray125"/>
    </x:fill>
    <x:fill>
      <x:patternFill patternType="solid">
        <x:fgColor rgb="ffffe599"/>
        <x:bgColor rgb="ffffe599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9fc5e8"/>
        <x:bgColor rgb="ff9fc5e8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d7e2f8"/>
        <x:bgColor rgb="ffd7e2f8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f0000"/>
        <x:bgColor rgb="ffff0000"/>
      </x:patternFill>
    </x:fill>
    <x:fill>
      <x:patternFill patternType="solid">
        <x:fgColor rgb="ffdd7e6b"/>
        <x:bgColor rgb="ffdd7e6b"/>
      </x:patternFill>
    </x:fill>
    <x:fill>
      <x:patternFill patternType="solid">
        <x:fgColor rgb="ffb6d7a8"/>
        <x:bgColor rgb="ffb6d7a8"/>
      </x:patternFill>
    </x:fill>
    <x:fill>
      <x:patternFill patternType="solid">
        <x:fgColor rgb="ffd5a6bd"/>
        <x:bgColor rgb="ffd5a6bd"/>
      </x:patternFill>
    </x:fill>
    <x:fill>
      <x:patternFill patternType="solid">
        <x:fgColor rgb="ff3a5f8f"/>
        <x:bgColor rgb="ff3a5f8f"/>
      </x:patternFill>
    </x:fill>
  </x:fills>
  <x:borders count="3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72777e"/>
      </x:left>
      <x:right style="thin">
        <x:color rgb="ff72777e"/>
      </x:right>
      <x:top style="thin">
        <x:color rgb="ff72777e"/>
      </x:top>
      <x:bottom style="thin">
        <x:color rgb="ff72777e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72777e"/>
      </x:left>
      <x:right>
        <x:color auto="1"/>
      </x:right>
      <x:top style="thin">
        <x:color rgb="ff72777e"/>
      </x:top>
      <x:bottom style="thin">
        <x:color rgb="ff72777e"/>
      </x:bottom>
    </x:border>
    <x:border>
      <x:left>
        <x:color auto="1"/>
      </x:left>
      <x:right>
        <x:color auto="1"/>
      </x:right>
      <x:top style="thin">
        <x:color rgb="ff72777e"/>
      </x:top>
      <x:bottom style="thin">
        <x:color rgb="ff72777e"/>
      </x:bottom>
    </x:border>
    <x:border>
      <x:left>
        <x:color auto="1"/>
      </x:left>
      <x:right style="thin">
        <x:color rgb="ff72777e"/>
      </x:right>
      <x:top style="thin">
        <x:color rgb="ff72777e"/>
      </x:top>
      <x:bottom style="thin">
        <x:color rgb="ff72777e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 applyFont="1" applyAlignment="1">
      <x:alignment horizontal="general" vertical="bottom"/>
    </x:xf>
    <x:xf numFmtId="0" fontId="6" fillId="0" borderId="0">
      <x:alignment horizontal="general" vertical="center"/>
    </x:xf>
  </x:cellStyleXfs>
  <x:cellXfs count="85">
    <x:xf numFmtId="0" fontId="0" fillId="0" borderId="0" xfId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Font="1" applyBorder="1" applyAlignment="1">
          <x:alignment horizontal="center" vertical="bottom"/>
        </x:xf>
      </mc:Fallback>
    </mc:AlternateContent>
    <x:xf numFmtId="0" fontId="0" fillId="0" borderId="1" xfId="0" applyFont="1" applyBorder="1" applyAlignment="1">
      <x:alignment horizontal="left" vertical="center" wrapText="1"/>
    </x:xf>
    <x:xf numFmtId="0" fontId="0" fillId="0" borderId="1" xfId="0" applyFont="1" applyBorder="1" applyAlignment="1">
      <x:alignment horizontal="left" vertical="center" wrapText="1"/>
    </x:xf>
    <x:xf numFmtId="0" fontId="0" fillId="0" borderId="0" xfId="0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 wrapText="1"/>
        </x:xf>
      </mc:Fallback>
    </mc:AlternateContent>
    <x:xf numFmtId="0" fontId="0" fillId="0" borderId="0" xfId="0" applyFont="1" applyAlignment="1">
      <x:alignment horizontal="left" vertical="center" wrapText="1"/>
    </x:xf>
    <x:xf numFmtId="0" fontId="9" fillId="0" borderId="1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 wrapText="1"/>
    </x:xf>
    <x:xf numFmtId="0" fontId="11" fillId="0" borderId="1" xfId="0" applyFont="1" applyBorder="1" applyAlignment="1">
      <x:alignment horizontal="left" vertical="center" wrapText="1"/>
    </x:xf>
    <x:xf numFmtId="0" fontId="12" fillId="0" borderId="1" xfId="0" applyFont="1" applyBorder="1" applyAlignment="1">
      <x:alignment horizontal="left" vertical="center" wrapText="1"/>
    </x:xf>
    <x:xf numFmtId="0" fontId="0" fillId="0" borderId="1" xfId="0" applyFont="1" applyBorder="1" applyAlignment="1">
      <x:alignment horizontal="left" vertical="center" wrapText="1"/>
    </x:xf>
    <x:xf numFmtId="0" fontId="0" fillId="0" borderId="0" xfId="0" applyFont="1" applyAlignment="1">
      <x:alignment horizontal="left" vertical="bottom"/>
    </x:xf>
    <x:xf numFmtId="0" fontId="0" fillId="3" borderId="1" xfId="0" applyFont="1" applyFill="1" applyBorder="1" applyAlignment="1">
      <x:alignment horizontal="left" vertical="center" wrapText="1"/>
    </x:xf>
    <x:xf numFmtId="0" fontId="13" fillId="0" borderId="1" xfId="0" applyFont="1" applyBorder="1" applyAlignment="1">
      <x:alignment horizontal="left" vertical="center" wrapText="1"/>
    </x:xf>
    <x:xf numFmtId="0" fontId="14" fillId="0" borderId="1" xfId="0" applyFont="1" applyBorder="1" applyAlignment="1">
      <x:alignment horizontal="left" vertical="center" wrapText="1"/>
    </x:xf>
    <x:xf numFmtId="0" fontId="0" fillId="0" borderId="0" xfId="0" applyFont="1" applyAlignment="1">
      <x:alignment horizontal="general" vertical="center"/>
    </x:xf>
    <x:xf numFmtId="0" fontId="15" fillId="3" borderId="1" xfId="0" applyFont="1" applyBorder="1" applyAlignment="1">
      <x:alignment horizontal="left" vertical="center" wrapText="1"/>
    </x:xf>
    <x:xf numFmtId="0" fontId="0" fillId="3" borderId="1" xfId="0" applyFont="1" applyBorder="1" applyAlignment="1">
      <x:alignment horizontal="left" vertical="center" wrapText="1"/>
    </x:xf>
    <x:xf numFmtId="0" fontId="0" fillId="4" borderId="1" xfId="0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3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ont="1" applyBorder="1" applyAlignment="1">
          <x:alignment horizontal="center" vertical="center" wrapText="1"/>
        </x:xf>
      </mc:Fallback>
    </mc:AlternateContent>
    <x:xf numFmtId="0" fontId="0" fillId="3" borderId="0" xfId="0" applyFont="1" applyAlignment="1">
      <x:alignment horizontal="left" vertical="center" wrapText="1"/>
    </x:xf>
    <x:xf numFmtId="0" fontId="0" fillId="0" borderId="0" xfId="0" applyFont="1" applyAlignment="1">
      <x:alignment horizontal="general" vertical="bottom" wrapText="1"/>
    </x:xf>
    <x:xf numFmtId="0" fontId="0" fillId="0" borderId="1" xfId="0" applyFont="1" applyBorder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5" borderId="1" xfId="0" applyFont="1" applyFill="1" applyBorder="1" applyAlignment="1">
      <x:alignment horizontal="left" vertical="center" wrapText="1"/>
    </x:xf>
    <x:xf numFmtId="0" fontId="0" fillId="6" borderId="1" xfId="0" applyFont="1" applyFill="1" applyBorder="1" applyAlignment="1">
      <x:alignment horizontal="left" vertical="center" wrapText="1"/>
    </x:xf>
    <x:xf numFmtId="0" fontId="9" fillId="6" borderId="1" xfId="0" applyFont="1" applyBorder="1" applyAlignment="1">
      <x:alignment horizontal="left" vertical="center" wrapText="1"/>
    </x:xf>
    <x:xf numFmtId="0" fontId="0" fillId="7" borderId="1" xfId="0" applyFont="1" applyFill="1" applyBorder="1" applyAlignment="1">
      <x:alignment horizontal="left" vertical="center" wrapText="1"/>
    </x:xf>
    <x:xf numFmtId="0" fontId="9" fillId="7" borderId="1" xfId="0" applyFont="1" applyBorder="1" applyAlignment="1">
      <x:alignment horizontal="left" vertical="center" wrapText="1"/>
    </x:xf>
    <x:xf numFmtId="0" fontId="0" fillId="8" borderId="1" xfId="0" applyFont="1" applyFill="1" applyBorder="1" applyAlignment="1">
      <x:alignment horizontal="left" vertical="center" wrapText="1"/>
    </x:xf>
    <x:xf numFmtId="0" fontId="0" fillId="9" borderId="1" xfId="0" applyFont="1" applyFill="1" applyBorder="1" applyAlignment="1">
      <x:alignment horizontal="left" vertical="center" wrapText="1"/>
    </x:xf>
    <x:xf numFmtId="0" fontId="9" fillId="9" borderId="1" xfId="0" applyFont="1" applyBorder="1" applyAlignment="1">
      <x:alignment horizontal="left" vertical="center" wrapText="1"/>
    </x:xf>
    <x:xf numFmtId="0" fontId="0" fillId="10" borderId="0" xfId="0" applyFont="1" applyFill="1" applyAlignment="1">
      <x:alignment horizontal="general" vertical="bottom"/>
    </x:xf>
    <x:xf numFmtId="0" fontId="0" fillId="11" borderId="0" xfId="0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6" fillId="6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6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6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6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6" borderId="2" xfId="0" applyFont="1" applyBorder="1" applyAlignment="1">
          <x:alignment horizontal="center" vertical="center" wrapText="1"/>
        </x:xf>
      </mc:Fallback>
    </mc:AlternateContent>
    <x:xf numFmtId="0" fontId="19" fillId="0" borderId="2" xfId="0" applyFont="1" applyBorder="1" applyAlignment="1">
      <x:alignment horizontal="left" vertical="top" wrapText="1"/>
    </x:xf>
    <x:xf numFmtId="0" fontId="20" fillId="0" borderId="2" xfId="0" applyFont="1" applyBorder="1" applyAlignment="1">
      <x:alignment horizontal="left" vertical="top" wrapText="1"/>
    </x:xf>
    <x:xf numFmtId="0" fontId="21" fillId="0" borderId="2" xfId="0" applyFont="1" applyBorder="1" applyAlignment="1">
      <x:alignment horizontal="left" vertical="top" wrapText="1"/>
    </x:xf>
    <x:xf numFmtId="0" fontId="19" fillId="0" borderId="2" xfId="0" applyFont="1" applyBorder="1" applyAlignment="1">
      <x:alignment horizontal="left" vertical="top" wrapText="1"/>
    </x:xf>
    <x:xf numFmtId="0" fontId="20" fillId="0" borderId="2" xfId="0" applyFont="1" applyBorder="1" applyAlignment="1">
      <x:alignment horizontal="left" vertical="top" wrapText="1"/>
    </x:xf>
    <x:xf numFmtId="0" fontId="20" fillId="0" borderId="2" xfId="0" applyFont="1" applyBorder="1" applyAlignment="1">
      <x:alignment horizontal="left" vertical="top" wrapText="1"/>
    </x:xf>
    <x:xf numFmtId="0" fontId="21" fillId="0" borderId="2" xfId="0" applyFont="1" applyBorder="1" applyAlignment="1">
      <x:alignment horizontal="left" vertical="top" wrapText="1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1" applyFont="1" applyBorder="1" applyAlignment="1">
      <x:alignment horizontal="general" vertical="bottom"/>
    </x:xf>
    <x:xf numFmtId="0" fontId="0" fillId="0" borderId="0" xfId="0" applyFont="1" applyBorder="1" applyAlignment="1">
      <x:alignment horizontal="left" vertical="center" wrapText="1"/>
    </x:xf>
    <x:xf numFmtId="0" fontId="0" fillId="0" borderId="0" xfId="0" applyFont="1" applyBorder="1" applyAlignment="1">
      <x:alignment horizontal="general" vertical="bottom" wrapText="1"/>
    </x:xf>
    <x:xf numFmtId="0" fontId="0" fillId="0" borderId="0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Font="1" applyFill="1" applyBorder="1" applyAlignment="1">
          <x:alignment horizontal="center" vertical="center"/>
        </x:xf>
      </mc:Fallback>
    </mc:AlternateContent>
    <x:xf numFmtId="0" fontId="0" fillId="0" borderId="4" xfId="0" applyFont="1" applyBorder="1" applyAlignment="1">
      <x:alignment horizontal="general" vertical="bottom"/>
    </x:xf>
    <x:xf numFmtId="0" fontId="0" fillId="0" borderId="5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6" xfId="0" applyFont="1" applyBorder="1" applyAlignment="1">
          <x:alignment horizontal="center" vertical="center"/>
        </x:xf>
      </mc:Fallback>
    </mc:AlternateContent>
    <x:xf numFmtId="0" fontId="0" fillId="0" borderId="7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6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Font="1" applyBorder="1" applyAlignment="1">
          <x:alignment horizontal="center" vertical="bottom"/>
        </x:xf>
      </mc:Fallback>
    </mc:AlternateContent>
    <x:xf numFmtId="0" fontId="0" fillId="0" borderId="8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6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6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Font="1" applyBorder="1" applyAlignment="1">
          <x:alignment horizontal="center" vertical="center"/>
        </x:xf>
      </mc:Fallback>
    </mc:AlternateContent>
    <x:xf numFmtId="0" fontId="0" fillId="0" borderId="10" xfId="0" applyFont="1" applyBorder="1" applyAlignment="1">
      <x:alignment horizontal="general" vertical="bottom"/>
    </x:xf>
    <x:xf numFmtId="0" fontId="0" fillId="0" borderId="11" xfId="0" applyFont="1" applyBorder="1" applyAlignment="1">
      <x:alignment horizontal="general" vertical="bottom"/>
    </x:xf>
    <x:xf numFmtId="0" fontId="0" fillId="0" borderId="12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2" fillId="12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2" fillId="12" borderId="13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14" xfId="0" applyFont="1" applyBorder="1" applyAlignment="1">
      <x:alignment horizontal="general" vertical="bottom"/>
    </x:xf>
    <x:xf numFmtId="0" fontId="0" fillId="0" borderId="15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8" xfId="0" applyFont="1" applyFill="1" applyBorder="1" applyAlignment="1">
          <x:alignment horizontal="center" vertical="center"/>
        </x:xf>
      </mc:Fallback>
    </mc:AlternateContent>
    <x:xf numFmtId="0" fontId="0" fillId="0" borderId="19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2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0" xfId="0" applyFont="1" applyFill="1" applyBorder="1" applyAlignment="1">
          <x:alignment horizontal="center" vertical="center"/>
        </x:xf>
      </mc:Fallback>
    </mc:AlternateContent>
    <x:xf numFmtId="0" fontId="0" fillId="0" borderId="2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9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3">
    <x:cellStyle name="Normal" xfId="0" builtinId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AX1000"/>
  <x:sheetViews>
    <x:sheetView topLeftCell="A1" zoomScale="70" zoomScaleNormal="70" zoomScaleSheetLayoutView="70" workbookViewId="0">
      <x:pane xSplit="12" ySplit="3" topLeftCell="Y4" activePane="bottomRight" state="frozen"/>
      <x:selection pane="bottomRight" activeCell="AL4" activeCellId="0" sqref="AL4:AL4"/>
    </x:sheetView>
  </x:sheetViews>
  <x:sheetFormatPr defaultColWidth="12.62890625" defaultRowHeight="15.75" customHeight="1"/>
  <x:cols>
    <x:col min="1" max="1" width="7" customWidth="1"/>
    <x:col min="2" max="2" width="23.87890625" customWidth="1"/>
    <x:col min="3" max="3" width="13.37890625" customWidth="1"/>
    <x:col min="4" max="4" width="5.5" customWidth="1"/>
    <x:col min="5" max="5" width="8.12890625" customWidth="1"/>
    <x:col min="6" max="6" width="5.12890625" customWidth="1"/>
    <x:col min="7" max="7" width="11.25" customWidth="1"/>
    <x:col min="8" max="9" width="6.75" customWidth="1"/>
    <x:col min="10" max="10" width="12.12890625" customWidth="1"/>
    <x:col min="12" max="12" width="7.37890625" customWidth="1"/>
    <x:col min="13" max="13" width="50.75" customWidth="1"/>
    <x:col min="14" max="14" width="15.62890625" customWidth="1"/>
    <x:col min="16" max="16" width="12.62890625" customWidth="1"/>
    <x:col min="18" max="18" width="15.12890625" customWidth="1"/>
    <x:col min="20" max="20" width="12.62890625" customWidth="1"/>
    <x:col min="22" max="22" width="15.12890625" customWidth="1"/>
    <x:col min="24" max="24" width="12.62890625" customWidth="1"/>
    <x:col min="26" max="26" width="15.12890625" customWidth="1"/>
    <x:col min="28" max="28" width="12.62890625" customWidth="1"/>
    <x:col min="33" max="33" width="15.12890625" customWidth="1"/>
    <x:col min="36" max="36" width="15.12890625" customWidth="1"/>
    <x:col min="39" max="39" width="15.12890625" customWidth="1"/>
    <x:col min="41" max="41" width="48.5" customWidth="1"/>
    <x:col min="42" max="42" width="41.5" customWidth="1"/>
  </x:cols>
  <x:sheetData>
    <x:row r="1" spans="1:44" ht="16.39999999999999857891">
      <x:c r="A1" s="51" t="s">
        <x:v>101</x:v>
      </x:c>
      <x:c r="B1" s="51" t="s">
        <x:v>39</x:v>
      </x:c>
      <x:c r="C1" s="51" t="s">
        <x:v>665</x:v>
      </x:c>
      <x:c r="D1" s="51" t="s">
        <x:v>34</x:v>
      </x:c>
      <x:c r="E1" s="51" t="s">
        <x:v>35</x:v>
      </x:c>
      <x:c r="F1" s="51" t="s">
        <x:v>29</x:v>
      </x:c>
      <x:c r="G1" s="51" t="s">
        <x:v>667</x:v>
      </x:c>
      <x:c r="H1" s="54" t="s">
        <x:v>685</x:v>
      </x:c>
      <x:c r="I1" s="55"/>
      <x:c r="J1" s="56" t="s">
        <x:v>887</x:v>
      </x:c>
      <x:c r="K1" s="57"/>
      <x:c r="L1" s="55"/>
      <x:c r="M1" s="51" t="s">
        <x:v>45</x:v>
      </x:c>
      <x:c r="N1" s="54" t="s">
        <x:v>659</x:v>
      </x:c>
      <x:c r="O1" s="57"/>
      <x:c r="P1" s="54"/>
      <x:c r="Q1" s="55"/>
      <x:c r="R1" s="58" t="s">
        <x:v>38</x:v>
      </x:c>
      <x:c r="S1" s="57"/>
      <x:c r="T1" s="58"/>
      <x:c r="U1" s="57"/>
      <x:c r="V1" s="57"/>
      <x:c r="W1" s="57"/>
      <x:c r="X1" s="58"/>
      <x:c r="Y1" s="57"/>
      <x:c r="Z1" s="57"/>
      <x:c r="AA1" s="57"/>
      <x:c r="AB1" s="58"/>
      <x:c r="AC1" s="55"/>
      <x:c r="AD1" s="59" t="s">
        <x:v>33</x:v>
      </x:c>
      <x:c r="AE1" s="60"/>
      <x:c r="AF1" s="56" t="s">
        <x:v>769</x:v>
      </x:c>
      <x:c r="AG1" s="57"/>
      <x:c r="AH1" s="57"/>
      <x:c r="AI1" s="57"/>
      <x:c r="AJ1" s="57"/>
      <x:c r="AK1" s="57"/>
      <x:c r="AL1" s="57"/>
      <x:c r="AM1" s="57"/>
      <x:c r="AN1" s="55"/>
      <x:c r="AO1" s="63" t="s">
        <x:v>678</x:v>
      </x:c>
      <x:c r="AP1" s="64" t="s">
        <x:v>673</x:v>
      </x:c>
      <x:c r="AQ1" s="64" t="s">
        <x:v>731</x:v>
      </x:c>
      <x:c r="AR1" s="64" t="s">
        <x:v>339</x:v>
      </x:c>
    </x:row>
    <x:row r="2" spans="1:44" ht="16.39999999999999857891" customHeight="1">
      <x:c r="A2" s="52"/>
      <x:c r="B2" s="52"/>
      <x:c r="C2" s="52"/>
      <x:c r="D2" s="52"/>
      <x:c r="E2" s="52"/>
      <x:c r="F2" s="52"/>
      <x:c r="G2" s="52"/>
      <x:c r="H2" s="51" t="s">
        <x:v>41</x:v>
      </x:c>
      <x:c r="I2" s="51" t="s">
        <x:v>44</x:v>
      </x:c>
      <x:c r="J2" s="1" t="s">
        <x:v>661</x:v>
      </x:c>
      <x:c r="K2" s="56" t="s">
        <x:v>660</x:v>
      </x:c>
      <x:c r="L2" s="55"/>
      <x:c r="M2" s="52"/>
      <x:c r="N2" s="51" t="s">
        <x:v>37</x:v>
      </x:c>
      <x:c r="O2" s="51" t="s">
        <x:v>680</x:v>
      </x:c>
      <x:c r="P2" s="65" t="s">
        <x:v>681</x:v>
      </x:c>
      <x:c r="Q2" s="51" t="s">
        <x:v>675</x:v>
      </x:c>
      <x:c r="R2" s="58" t="s">
        <x:v>683</x:v>
      </x:c>
      <x:c r="S2" s="57"/>
      <x:c r="T2" s="58"/>
      <x:c r="U2" s="55"/>
      <x:c r="V2" s="58" t="s">
        <x:v>662</x:v>
      </x:c>
      <x:c r="W2" s="57"/>
      <x:c r="X2" s="58"/>
      <x:c r="Y2" s="55"/>
      <x:c r="Z2" s="58" t="s">
        <x:v>672</x:v>
      </x:c>
      <x:c r="AA2" s="57"/>
      <x:c r="AB2" s="58"/>
      <x:c r="AC2" s="55"/>
      <x:c r="AD2" s="61"/>
      <x:c r="AE2" s="62"/>
      <x:c r="AF2" s="56" t="s">
        <x:v>43</x:v>
      </x:c>
      <x:c r="AG2" s="57"/>
      <x:c r="AH2" s="55"/>
      <x:c r="AI2" s="56" t="s">
        <x:v>30</x:v>
      </x:c>
      <x:c r="AJ2" s="57"/>
      <x:c r="AK2" s="55"/>
      <x:c r="AL2" s="56" t="s">
        <x:v>40</x:v>
      </x:c>
      <x:c r="AM2" s="57"/>
      <x:c r="AN2" s="55"/>
      <x:c r="AO2" s="52"/>
      <x:c r="AP2" s="52"/>
      <x:c r="AQ2" s="52"/>
      <x:c r="AR2" s="52"/>
    </x:row>
    <x:row r="3" spans="1:44" ht="16.39999999999999857891">
      <x:c r="A3" s="53"/>
      <x:c r="B3" s="53"/>
      <x:c r="C3" s="53"/>
      <x:c r="D3" s="53"/>
      <x:c r="E3" s="53"/>
      <x:c r="F3" s="53"/>
      <x:c r="G3" s="53"/>
      <x:c r="H3" s="53"/>
      <x:c r="I3" s="53"/>
      <x:c r="J3" s="1" t="s">
        <x:v>31</x:v>
      </x:c>
      <x:c r="K3" s="1" t="s">
        <x:v>31</x:v>
      </x:c>
      <x:c r="L3" s="1" t="s">
        <x:v>71</x:v>
      </x:c>
      <x:c r="M3" s="53"/>
      <x:c r="N3" s="53"/>
      <x:c r="O3" s="53"/>
      <x:c r="P3" s="66"/>
      <x:c r="Q3" s="53"/>
      <x:c r="R3" s="2" t="s">
        <x:v>37</x:v>
      </x:c>
      <x:c r="S3" s="2" t="s">
        <x:v>680</x:v>
      </x:c>
      <x:c r="T3" s="2" t="s">
        <x:v>681</x:v>
      </x:c>
      <x:c r="U3" s="2" t="s">
        <x:v>675</x:v>
      </x:c>
      <x:c r="V3" s="2" t="s">
        <x:v>37</x:v>
      </x:c>
      <x:c r="W3" s="2" t="s">
        <x:v>680</x:v>
      </x:c>
      <x:c r="X3" s="2" t="s">
        <x:v>681</x:v>
      </x:c>
      <x:c r="Y3" s="2" t="s">
        <x:v>675</x:v>
      </x:c>
      <x:c r="Z3" s="2" t="s">
        <x:v>37</x:v>
      </x:c>
      <x:c r="AA3" s="2" t="s">
        <x:v>680</x:v>
      </x:c>
      <x:c r="AB3" s="2" t="s">
        <x:v>681</x:v>
      </x:c>
      <x:c r="AC3" s="2" t="s">
        <x:v>675</x:v>
      </x:c>
      <x:c r="AD3" s="1" t="s">
        <x:v>67</x:v>
      </x:c>
      <x:c r="AE3" s="1" t="s">
        <x:v>679</x:v>
      </x:c>
      <x:c r="AF3" s="1" t="s">
        <x:v>49</x:v>
      </x:c>
      <x:c r="AG3" s="1" t="s">
        <x:v>37</x:v>
      </x:c>
      <x:c r="AH3" s="1" t="s">
        <x:v>665</x:v>
      </x:c>
      <x:c r="AI3" s="1" t="s">
        <x:v>49</x:v>
      </x:c>
      <x:c r="AJ3" s="1" t="s">
        <x:v>37</x:v>
      </x:c>
      <x:c r="AK3" s="1" t="s">
        <x:v>665</x:v>
      </x:c>
      <x:c r="AL3" s="1" t="s">
        <x:v>49</x:v>
      </x:c>
      <x:c r="AM3" s="1" t="s">
        <x:v>37</x:v>
      </x:c>
      <x:c r="AN3" s="1" t="s">
        <x:v>665</x:v>
      </x:c>
      <x:c r="AO3" s="53"/>
      <x:c r="AP3" s="53"/>
      <x:c r="AQ3" s="53"/>
      <x:c r="AR3" s="53"/>
    </x:row>
    <x:row r="4" spans="1:50" ht="79.04999999999999715783">
      <x:c r="A4" s="3">
        <x:v>1</x:v>
      </x:c>
      <x:c r="B4" s="3" t="s">
        <x:v>775</x:v>
      </x:c>
      <x:c r="C4" s="4"/>
      <x:c r="D4" s="3">
        <x:v>3</x:v>
      </x:c>
      <x:c r="E4" s="3" t="s">
        <x:v>139</x:v>
      </x:c>
      <x:c r="F4" s="3" t="s">
        <x:v>69</x:v>
      </x:c>
      <x:c r="G4" s="3" t="s">
        <x:v>765</x:v>
      </x:c>
      <x:c r="H4" s="4"/>
      <x:c r="I4" s="3" t="s">
        <x:v>57</x:v>
      </x:c>
      <x:c r="J4" s="3" t="s">
        <x:v>305</x:v>
      </x:c>
      <x:c r="K4" s="4"/>
      <x:c r="L4" s="4"/>
      <x:c r="M4" s="5" t="s">
        <x:v>298</x:v>
      </x:c>
      <x:c r="N4" s="3" t="s">
        <x:v>709</x:v>
      </x:c>
      <x:c r="O4" s="3" t="s">
        <x:v>677</x:v>
      </x:c>
      <x:c r="P4" s="3"/>
      <x:c r="Q4" s="3">
        <x:v>0.10000000000000001</x:v>
      </x:c>
      <x:c r="R4" s="3" t="s">
        <x:v>709</x:v>
      </x:c>
      <x:c r="S4" s="3" t="s">
        <x:v>677</x:v>
      </x:c>
      <x:c r="T4" s="3"/>
      <x:c r="U4" s="3">
        <x:v>0.10000000000000001</x:v>
      </x:c>
      <x:c r="V4" s="3" t="s">
        <x:v>740</x:v>
      </x:c>
      <x:c r="W4" s="3" t="s">
        <x:v>677</x:v>
      </x:c>
      <x:c r="X4" s="3"/>
      <x:c r="Y4" s="3">
        <x:v>1.2</x:v>
      </x:c>
      <x:c r="Z4" s="3" t="s">
        <x:v>739</x:v>
      </x:c>
      <x:c r="AA4" s="3" t="s">
        <x:v>677</x:v>
      </x:c>
      <x:c r="AB4" s="3"/>
      <x:c r="AC4" s="3">
        <x:v>1.3999999999999999</x:v>
      </x:c>
      <x:c r="AD4" s="3" t="s">
        <x:v>905</x:v>
      </x:c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3" t="s">
        <x:v>406</x:v>
      </x:c>
      <x:c r="AP4" s="3" t="s">
        <x:v>517</x:v>
      </x:c>
      <x:c r="AQ4" s="6" t="s">
        <x:v>124</x:v>
      </x:c>
      <x:c r="AR4" s="6" t="s">
        <x:v>124</x:v>
      </x:c>
      <x:c r="AS4" s="7"/>
      <x:c r="AT4" s="7"/>
      <x:c r="AU4" s="7"/>
      <x:c r="AV4" s="7"/>
      <x:c r="AW4" s="7"/>
      <x:c r="AX4" s="7"/>
    </x:row>
    <x:row r="5" spans="1:50" ht="39.54999999999999715783">
      <x:c r="A5" s="3">
        <x:v>2</x:v>
      </x:c>
      <x:c r="B5" s="3" t="s">
        <x:v>74</x:v>
      </x:c>
      <x:c r="C5" s="4"/>
      <x:c r="D5" s="4"/>
      <x:c r="E5" s="3" t="s">
        <x:v>115</x:v>
      </x:c>
      <x:c r="F5" s="3" t="s">
        <x:v>53</x:v>
      </x:c>
      <x:c r="G5" s="3" t="s">
        <x:v>784</x:v>
      </x:c>
      <x:c r="H5" s="4"/>
      <x:c r="I5" s="3" t="s">
        <x:v>57</x:v>
      </x:c>
      <x:c r="J5" s="3" t="s">
        <x:v>663</x:v>
      </x:c>
      <x:c r="K5" s="3" t="s">
        <x:v>786</x:v>
      </x:c>
      <x:c r="L5" s="3" t="s">
        <x:v>55</x:v>
      </x:c>
      <x:c r="M5" s="3" t="s">
        <x:v>936</x:v>
      </x:c>
      <x:c r="N5" s="3" t="s">
        <x:v>744</x:v>
      </x:c>
      <x:c r="O5" s="3" t="s">
        <x:v>677</x:v>
      </x:c>
      <x:c r="P5" s="3"/>
      <x:c r="Q5" s="3">
        <x:v>0.45400000000000001</x:v>
      </x:c>
      <x:c r="R5" s="3" t="s">
        <x:v>744</x:v>
      </x:c>
      <x:c r="S5" s="3" t="s">
        <x:v>677</x:v>
      </x:c>
      <x:c r="T5" s="3"/>
      <x:c r="U5" s="3">
        <x:v>0.45400000000000001</x:v>
      </x:c>
      <x:c r="V5" s="3" t="s">
        <x:v>712</x:v>
      </x:c>
      <x:c r="W5" s="3" t="s">
        <x:v>677</x:v>
      </x:c>
      <x:c r="X5" s="3"/>
      <x:c r="Y5" s="3">
        <x:v>1.2</x:v>
      </x:c>
      <x:c r="Z5" s="3" t="s">
        <x:v>730</x:v>
      </x:c>
      <x:c r="AA5" s="3" t="s">
        <x:v>677</x:v>
      </x:c>
      <x:c r="AB5" s="3"/>
      <x:c r="AC5" s="3">
        <x:v>1.2</x:v>
      </x:c>
      <x:c r="AD5" s="3" t="s">
        <x:v>907</x:v>
      </x:c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3" t="s">
        <x:v>381</x:v>
      </x:c>
      <x:c r="AP5" s="3" t="s">
        <x:v>216</x:v>
      </x:c>
      <x:c r="AQ5" s="6" t="s">
        <x:v>124</x:v>
      </x:c>
      <x:c r="AR5" s="6" t="s">
        <x:v>124</x:v>
      </x:c>
      <x:c r="AS5" s="7"/>
      <x:c r="AT5" s="7"/>
      <x:c r="AU5" s="7"/>
      <x:c r="AV5" s="7"/>
      <x:c r="AW5" s="7"/>
      <x:c r="AX5" s="7"/>
    </x:row>
    <x:row r="6" spans="1:50" ht="26.35000000000000142109">
      <x:c r="A6" s="3">
        <x:v>3</x:v>
      </x:c>
      <x:c r="B6" s="3" t="s">
        <x:v>657</x:v>
      </x:c>
      <x:c r="C6" s="4"/>
      <x:c r="D6" s="3">
        <x:v>3</x:v>
      </x:c>
      <x:c r="E6" s="3" t="s">
        <x:v>111</x:v>
      </x:c>
      <x:c r="F6" s="3" t="s">
        <x:v>53</x:v>
      </x:c>
      <x:c r="G6" s="3" t="s">
        <x:v>766</x:v>
      </x:c>
      <x:c r="H6" s="4"/>
      <x:c r="I6" s="3" t="s">
        <x:v>57</x:v>
      </x:c>
      <x:c r="J6" s="3" t="s">
        <x:v>669</x:v>
      </x:c>
      <x:c r="K6" s="3" t="s">
        <x:v>669</x:v>
      </x:c>
      <x:c r="L6" s="3" t="s">
        <x:v>55</x:v>
      </x:c>
      <x:c r="M6" s="3" t="s">
        <x:v>360</x:v>
      </x:c>
      <x:c r="N6" s="3" t="s">
        <x:v>693</x:v>
      </x:c>
      <x:c r="O6" s="3" t="s">
        <x:v>677</x:v>
      </x:c>
      <x:c r="P6" s="3"/>
      <x:c r="Q6" s="3">
        <x:v>1.3999999999999999</x:v>
      </x:c>
      <x:c r="R6" s="3" t="s">
        <x:v>693</x:v>
      </x:c>
      <x:c r="S6" s="3" t="s">
        <x:v>677</x:v>
      </x:c>
      <x:c r="T6" s="3"/>
      <x:c r="U6" s="3">
        <x:v>1.3999999999999999</x:v>
      </x:c>
      <x:c r="V6" s="3" t="s">
        <x:v>527</x:v>
      </x:c>
      <x:c r="W6" s="3" t="s">
        <x:v>677</x:v>
      </x:c>
      <x:c r="X6" s="3"/>
      <x:c r="Y6" s="3">
        <x:v>1.2</x:v>
      </x:c>
      <x:c r="Z6" s="3" t="s">
        <x:v>708</x:v>
      </x:c>
      <x:c r="AA6" s="3" t="s">
        <x:v>677</x:v>
      </x:c>
      <x:c r="AB6" s="3"/>
      <x:c r="AC6" s="3">
        <x:v>1.8</x:v>
      </x:c>
      <x:c r="AD6" s="3" t="s">
        <x:v>901</x:v>
      </x:c>
      <x:c r="AE6" s="4"/>
      <x:c r="AF6" s="3" t="s">
        <x:v>671</x:v>
      </x:c>
      <x:c r="AG6" s="3" t="s">
        <x:v>716</x:v>
      </x:c>
      <x:c r="AH6" s="3" t="s">
        <x:v>688</x:v>
      </x:c>
      <x:c r="AI6" s="3" t="s">
        <x:v>671</x:v>
      </x:c>
      <x:c r="AJ6" s="3" t="s">
        <x:v>776</x:v>
      </x:c>
      <x:c r="AK6" s="3" t="s">
        <x:v>692</x:v>
      </x:c>
      <x:c r="AL6" s="3" t="s">
        <x:v>125</x:v>
      </x:c>
      <x:c r="AM6" s="3" t="s">
        <x:v>655</x:v>
      </x:c>
      <x:c r="AN6" s="3" t="s">
        <x:v>688</x:v>
      </x:c>
      <x:c r="AO6" s="3" t="s">
        <x:v>511</x:v>
      </x:c>
      <x:c r="AP6" s="4"/>
      <x:c r="AQ6" s="6" t="s">
        <x:v>124</x:v>
      </x:c>
      <x:c r="AR6" s="6" t="s">
        <x:v>124</x:v>
      </x:c>
      <x:c r="AS6" s="7"/>
      <x:c r="AT6" s="7"/>
      <x:c r="AU6" s="7"/>
      <x:c r="AV6" s="7"/>
      <x:c r="AW6" s="7"/>
      <x:c r="AX6" s="7"/>
    </x:row>
    <x:row r="7" spans="1:50" ht="26.35000000000000142109">
      <x:c r="A7" s="3">
        <x:v>4</x:v>
      </x:c>
      <x:c r="B7" s="3" t="s">
        <x:v>764</x:v>
      </x:c>
      <x:c r="C7" s="4"/>
      <x:c r="D7" s="3">
        <x:v>3</x:v>
      </x:c>
      <x:c r="E7" s="3" t="s">
        <x:v>85</x:v>
      </x:c>
      <x:c r="F7" s="3" t="s">
        <x:v>69</x:v>
      </x:c>
      <x:c r="G7" s="3" t="s">
        <x:v>768</x:v>
      </x:c>
      <x:c r="H7" s="4"/>
      <x:c r="I7" s="3" t="s">
        <x:v>57</x:v>
      </x:c>
      <x:c r="J7" s="3" t="s">
        <x:v>669</x:v>
      </x:c>
      <x:c r="K7" s="3" t="s">
        <x:v>669</x:v>
      </x:c>
      <x:c r="L7" s="3" t="s">
        <x:v>55</x:v>
      </x:c>
      <x:c r="M7" s="3" t="s">
        <x:v>930</x:v>
      </x:c>
      <x:c r="N7" s="3" t="s">
        <x:v>744</x:v>
      </x:c>
      <x:c r="O7" s="3" t="s">
        <x:v>677</x:v>
      </x:c>
      <x:c r="P7" s="3"/>
      <x:c r="Q7" s="3">
        <x:v>0.45000000000000001</x:v>
      </x:c>
      <x:c r="R7" s="3" t="s">
        <x:v>744</x:v>
      </x:c>
      <x:c r="S7" s="3" t="s">
        <x:v>677</x:v>
      </x:c>
      <x:c r="T7" s="3"/>
      <x:c r="U7" s="3">
        <x:v>0.45000000000000001</x:v>
      </x:c>
      <x:c r="V7" s="3" t="s">
        <x:v>718</x:v>
      </x:c>
      <x:c r="W7" s="3" t="s">
        <x:v>677</x:v>
      </x:c>
      <x:c r="X7" s="3"/>
      <x:c r="Y7" s="3">
        <x:v>1.1000000000000001</x:v>
      </x:c>
      <x:c r="Z7" s="3" t="s">
        <x:v>705</x:v>
      </x:c>
      <x:c r="AA7" s="3" t="s">
        <x:v>677</x:v>
      </x:c>
      <x:c r="AB7" s="3"/>
      <x:c r="AC7" s="3">
        <x:v>1.1000000000000001</x:v>
      </x:c>
      <x:c r="AD7" s="3" t="s">
        <x:v>332</x:v>
      </x:c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3" t="s">
        <x:v>518</x:v>
      </x:c>
      <x:c r="AP7" s="3" t="s">
        <x:v>278</x:v>
      </x:c>
      <x:c r="AQ7" s="6" t="s">
        <x:v>124</x:v>
      </x:c>
      <x:c r="AR7" s="6" t="s">
        <x:v>124</x:v>
      </x:c>
      <x:c r="AS7" s="7"/>
      <x:c r="AT7" s="7"/>
      <x:c r="AU7" s="7"/>
      <x:c r="AV7" s="7"/>
      <x:c r="AW7" s="7"/>
      <x:c r="AX7" s="7"/>
    </x:row>
    <x:row r="8" spans="1:50" ht="26.35000000000000142109">
      <x:c r="A8" s="3">
        <x:v>5</x:v>
      </x:c>
      <x:c r="B8" s="3" t="s">
        <x:v>764</x:v>
      </x:c>
      <x:c r="C8" s="4"/>
      <x:c r="D8" s="3">
        <x:v>3</x:v>
      </x:c>
      <x:c r="E8" s="3" t="s">
        <x:v>128</x:v>
      </x:c>
      <x:c r="F8" s="3" t="s">
        <x:v>69</x:v>
      </x:c>
      <x:c r="G8" s="3" t="s">
        <x:v>782</x:v>
      </x:c>
      <x:c r="H8" s="4"/>
      <x:c r="I8" s="3" t="s">
        <x:v>57</x:v>
      </x:c>
      <x:c r="J8" s="3" t="s">
        <x:v>743</x:v>
      </x:c>
      <x:c r="K8" s="3" t="s">
        <x:v>743</x:v>
      </x:c>
      <x:c r="L8" s="3" t="s">
        <x:v>55</x:v>
      </x:c>
      <x:c r="M8" s="3" t="s">
        <x:v>12</x:v>
      </x:c>
      <x:c r="N8" s="3" t="s">
        <x:v>718</x:v>
      </x:c>
      <x:c r="O8" s="3" t="s">
        <x:v>677</x:v>
      </x:c>
      <x:c r="P8" s="3"/>
      <x:c r="Q8" s="3">
        <x:v>0.23699999999999999</x:v>
      </x:c>
      <x:c r="R8" s="3" t="s">
        <x:v>718</x:v>
      </x:c>
      <x:c r="S8" s="3" t="s">
        <x:v>677</x:v>
      </x:c>
      <x:c r="T8" s="3"/>
      <x:c r="U8" s="3">
        <x:v>0.23699999999999999</x:v>
      </x:c>
      <x:c r="V8" s="3" t="s">
        <x:v>718</x:v>
      </x:c>
      <x:c r="W8" s="3" t="s">
        <x:v>666</x:v>
      </x:c>
      <x:c r="X8" s="3"/>
      <x:c r="Y8" s="3">
        <x:v>0.23699999999999999</x:v>
      </x:c>
      <x:c r="Z8" s="3"/>
      <x:c r="AA8" s="3"/>
      <x:c r="AB8" s="3"/>
      <x:c r="AC8" s="3"/>
      <x:c r="AD8" s="3" t="s">
        <x:v>893</x:v>
      </x:c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3" t="s">
        <x:v>246</x:v>
      </x:c>
      <x:c r="AP8" s="3" t="s">
        <x:v>250</x:v>
      </x:c>
      <x:c r="AQ8" s="6" t="s">
        <x:v>124</x:v>
      </x:c>
      <x:c r="AR8" s="6" t="s">
        <x:v>124</x:v>
      </x:c>
      <x:c r="AS8" s="7"/>
      <x:c r="AT8" s="7"/>
      <x:c r="AU8" s="7"/>
      <x:c r="AV8" s="7"/>
      <x:c r="AW8" s="7"/>
      <x:c r="AX8" s="7"/>
    </x:row>
    <x:row r="9" spans="1:50" ht="26.35000000000000142109">
      <x:c r="A9" s="3">
        <x:v>6</x:v>
      </x:c>
      <x:c r="B9" s="3" t="s">
        <x:v>764</x:v>
      </x:c>
      <x:c r="C9" s="4"/>
      <x:c r="D9" s="3">
        <x:v>3</x:v>
      </x:c>
      <x:c r="E9" s="3" t="s">
        <x:v>114</x:v>
      </x:c>
      <x:c r="F9" s="3" t="s">
        <x:v>69</x:v>
      </x:c>
      <x:c r="G9" s="3" t="s">
        <x:v>782</x:v>
      </x:c>
      <x:c r="H9" s="4"/>
      <x:c r="I9" s="3" t="s">
        <x:v>57</x:v>
      </x:c>
      <x:c r="J9" s="3" t="s">
        <x:v>743</x:v>
      </x:c>
      <x:c r="K9" s="3" t="s">
        <x:v>743</x:v>
      </x:c>
      <x:c r="L9" s="3" t="s">
        <x:v>68</x:v>
      </x:c>
      <x:c r="M9" s="3" t="s">
        <x:v>12</x:v>
      </x:c>
      <x:c r="N9" s="3" t="s">
        <x:v>718</x:v>
      </x:c>
      <x:c r="O9" s="3" t="s">
        <x:v>677</x:v>
      </x:c>
      <x:c r="P9" s="3"/>
      <x:c r="Q9" s="3">
        <x:v>0.23699999999999999</x:v>
      </x:c>
      <x:c r="R9" s="3" t="s">
        <x:v>718</x:v>
      </x:c>
      <x:c r="S9" s="3" t="s">
        <x:v>677</x:v>
      </x:c>
      <x:c r="T9" s="3"/>
      <x:c r="U9" s="3">
        <x:v>0.23699999999999999</x:v>
      </x:c>
      <x:c r="V9" s="3" t="s">
        <x:v>718</x:v>
      </x:c>
      <x:c r="W9" s="3" t="s">
        <x:v>666</x:v>
      </x:c>
      <x:c r="X9" s="3"/>
      <x:c r="Y9" s="3">
        <x:v>0.23699999999999999</x:v>
      </x:c>
      <x:c r="Z9" s="3"/>
      <x:c r="AA9" s="3"/>
      <x:c r="AB9" s="3"/>
      <x:c r="AC9" s="3"/>
      <x:c r="AD9" s="3" t="s">
        <x:v>893</x:v>
      </x:c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3" t="s">
        <x:v>524</x:v>
      </x:c>
      <x:c r="AP9" s="3" t="s">
        <x:v>244</x:v>
      </x:c>
      <x:c r="AQ9" s="6" t="s">
        <x:v>124</x:v>
      </x:c>
      <x:c r="AR9" s="6" t="s">
        <x:v>124</x:v>
      </x:c>
      <x:c r="AS9" s="7"/>
      <x:c r="AT9" s="7"/>
      <x:c r="AU9" s="7"/>
      <x:c r="AV9" s="7"/>
      <x:c r="AW9" s="7"/>
      <x:c r="AX9" s="7"/>
    </x:row>
    <x:row r="10" spans="1:50" ht="26.35000000000000142109">
      <x:c r="A10" s="3">
        <x:v>7</x:v>
      </x:c>
      <x:c r="B10" s="3" t="s">
        <x:v>721</x:v>
      </x:c>
      <x:c r="C10" s="4"/>
      <x:c r="D10" s="3">
        <x:v>3</x:v>
      </x:c>
      <x:c r="E10" s="3" t="s">
        <x:v>132</x:v>
      </x:c>
      <x:c r="F10" s="3" t="s">
        <x:v>69</x:v>
      </x:c>
      <x:c r="G10" s="3" t="s">
        <x:v>783</x:v>
      </x:c>
      <x:c r="H10" s="4"/>
      <x:c r="I10" s="3" t="s">
        <x:v>57</x:v>
      </x:c>
      <x:c r="J10" s="3" t="s">
        <x:v>669</x:v>
      </x:c>
      <x:c r="K10" s="3" t="s">
        <x:v>669</x:v>
      </x:c>
      <x:c r="L10" s="3" t="s">
        <x:v>55</x:v>
      </x:c>
      <x:c r="M10" s="3" t="s">
        <x:v>520</x:v>
      </x:c>
      <x:c r="N10" s="3" t="s">
        <x:v>644</x:v>
      </x:c>
      <x:c r="O10" s="3" t="s">
        <x:v>666</x:v>
      </x:c>
      <x:c r="P10" s="3"/>
      <x:c r="Q10" s="3">
        <x:v>0.05</x:v>
      </x:c>
      <x:c r="R10" s="3" t="s">
        <x:v>644</x:v>
      </x:c>
      <x:c r="S10" s="3" t="s">
        <x:v>666</x:v>
      </x:c>
      <x:c r="T10" s="3"/>
      <x:c r="U10" s="3">
        <x:v>0.05</x:v>
      </x:c>
      <x:c r="V10" s="3"/>
      <x:c r="W10" s="3"/>
      <x:c r="X10" s="3"/>
      <x:c r="Y10" s="3"/>
      <x:c r="Z10" s="3"/>
      <x:c r="AA10" s="3"/>
      <x:c r="AB10" s="3"/>
      <x:c r="AC10" s="3"/>
      <x:c r="AD10" s="3" t="s">
        <x:v>328</x:v>
      </x:c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3" t="s">
        <x:v>510</x:v>
      </x:c>
      <x:c r="AP10" s="4"/>
      <x:c r="AQ10" s="6" t="s">
        <x:v>124</x:v>
      </x:c>
      <x:c r="AR10" s="6" t="s">
        <x:v>124</x:v>
      </x:c>
      <x:c r="AS10" s="7"/>
      <x:c r="AT10" s="7"/>
      <x:c r="AU10" s="7"/>
      <x:c r="AV10" s="7"/>
      <x:c r="AW10" s="7"/>
      <x:c r="AX10" s="7"/>
    </x:row>
    <x:row r="11" spans="1:50" ht="26.35000000000000142109">
      <x:c r="A11" s="3">
        <x:v>8</x:v>
      </x:c>
      <x:c r="B11" s="3" t="s">
        <x:v>781</x:v>
      </x:c>
      <x:c r="C11" s="4"/>
      <x:c r="D11" s="3">
        <x:v>3</x:v>
      </x:c>
      <x:c r="E11" s="3" t="s">
        <x:v>110</x:v>
      </x:c>
      <x:c r="F11" s="3" t="s">
        <x:v>53</x:v>
      </x:c>
      <x:c r="G11" s="3" t="s">
        <x:v>778</x:v>
      </x:c>
      <x:c r="H11" s="4"/>
      <x:c r="I11" s="3" t="s">
        <x:v>57</x:v>
      </x:c>
      <x:c r="J11" s="3" t="s">
        <x:v>653</x:v>
      </x:c>
      <x:c r="K11" s="4"/>
      <x:c r="L11" s="4"/>
      <x:c r="M11" s="3" t="s">
        <x:v>15</x:v>
      </x:c>
      <x:c r="N11" s="3" t="s">
        <x:v>704</x:v>
      </x:c>
      <x:c r="O11" s="3" t="s">
        <x:v>677</x:v>
      </x:c>
      <x:c r="P11" s="3"/>
      <x:c r="Q11" s="3">
        <x:v>0.10000000000000001</x:v>
      </x:c>
      <x:c r="R11" s="3" t="s">
        <x:v>704</x:v>
      </x:c>
      <x:c r="S11" s="3" t="s">
        <x:v>677</x:v>
      </x:c>
      <x:c r="T11" s="3"/>
      <x:c r="U11" s="3">
        <x:v>0.10000000000000001</x:v>
      </x:c>
      <x:c r="V11" s="3" t="s">
        <x:v>704</x:v>
      </x:c>
      <x:c r="W11" s="3" t="s">
        <x:v>666</x:v>
      </x:c>
      <x:c r="X11" s="3"/>
      <x:c r="Y11" s="3">
        <x:v>0.10000000000000001</x:v>
      </x:c>
      <x:c r="Z11" s="4"/>
      <x:c r="AA11" s="4"/>
      <x:c r="AB11" s="3"/>
      <x:c r="AC11" s="4"/>
      <x:c r="AD11" s="3" t="s">
        <x:v>330</x:v>
      </x:c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8" t="s">
        <x:v>658</x:v>
      </x:c>
      <x:c r="AP11" s="3"/>
      <x:c r="AQ11" s="6" t="s">
        <x:v>124</x:v>
      </x:c>
      <x:c r="AR11" s="6" t="s">
        <x:v>124</x:v>
      </x:c>
      <x:c r="AS11" s="7"/>
      <x:c r="AT11" s="7"/>
      <x:c r="AU11" s="7"/>
      <x:c r="AV11" s="7"/>
      <x:c r="AW11" s="7"/>
      <x:c r="AX11" s="7"/>
    </x:row>
    <x:row r="12" spans="1:50" ht="92.20000000000000284217">
      <x:c r="A12" s="3">
        <x:v>9</x:v>
      </x:c>
      <x:c r="B12" s="3" t="s">
        <x:v>780</x:v>
      </x:c>
      <x:c r="C12" s="4"/>
      <x:c r="D12" s="3">
        <x:v>3</x:v>
      </x:c>
      <x:c r="E12" s="3" t="s">
        <x:v>138</x:v>
      </x:c>
      <x:c r="F12" s="3" t="s">
        <x:v>69</x:v>
      </x:c>
      <x:c r="G12" s="3" t="s">
        <x:v>777</x:v>
      </x:c>
      <x:c r="H12" s="4"/>
      <x:c r="I12" s="3" t="s">
        <x:v>57</x:v>
      </x:c>
      <x:c r="J12" s="3" t="s">
        <x:v>259</x:v>
      </x:c>
      <x:c r="K12" s="4"/>
      <x:c r="L12" s="4"/>
      <x:c r="M12" s="3" t="s">
        <x:v>289</x:v>
      </x:c>
      <x:c r="N12" s="3" t="s">
        <x:v>734</x:v>
      </x:c>
      <x:c r="O12" s="3" t="s">
        <x:v>677</x:v>
      </x:c>
      <x:c r="P12" s="3"/>
      <x:c r="Q12" s="3">
        <x:v>1.1000000000000001</x:v>
      </x:c>
      <x:c r="R12" s="3" t="s">
        <x:v>734</x:v>
      </x:c>
      <x:c r="S12" s="3" t="s">
        <x:v>677</x:v>
      </x:c>
      <x:c r="T12" s="3"/>
      <x:c r="U12" s="3">
        <x:v>1.1000000000000001</x:v>
      </x:c>
      <x:c r="V12" s="3" t="s">
        <x:v>696</x:v>
      </x:c>
      <x:c r="W12" s="3" t="s">
        <x:v>677</x:v>
      </x:c>
      <x:c r="X12" s="3"/>
      <x:c r="Y12" s="3">
        <x:v>1.1000000000000001</x:v>
      </x:c>
      <x:c r="Z12" s="3" t="s">
        <x:v>747</x:v>
      </x:c>
      <x:c r="AA12" s="3" t="s">
        <x:v>677</x:v>
      </x:c>
      <x:c r="AB12" s="3"/>
      <x:c r="AC12" s="3">
        <x:v>2.3999999999999999</x:v>
      </x:c>
      <x:c r="AD12" s="3" t="s">
        <x:v>326</x:v>
      </x:c>
      <x:c r="AE12" s="4"/>
      <x:c r="AF12" s="3" t="s">
        <x:v>671</x:v>
      </x:c>
      <x:c r="AG12" s="3" t="s">
        <x:v>716</x:v>
      </x:c>
      <x:c r="AH12" s="3" t="s">
        <x:v>688</x:v>
      </x:c>
      <x:c r="AI12" s="3" t="s">
        <x:v>671</x:v>
      </x:c>
      <x:c r="AJ12" s="3" t="s">
        <x:v>776</x:v>
      </x:c>
      <x:c r="AK12" s="3" t="s">
        <x:v>692</x:v>
      </x:c>
      <x:c r="AL12" s="4"/>
      <x:c r="AM12" s="4"/>
      <x:c r="AN12" s="4"/>
      <x:c r="AO12" s="8" t="s">
        <x:v>404</x:v>
      </x:c>
      <x:c r="AP12" s="4"/>
      <x:c r="AQ12" s="6" t="s">
        <x:v>124</x:v>
      </x:c>
      <x:c r="AR12" s="6" t="s">
        <x:v>124</x:v>
      </x:c>
      <x:c r="AS12" s="7"/>
      <x:c r="AT12" s="7"/>
      <x:c r="AU12" s="7"/>
      <x:c r="AV12" s="7"/>
      <x:c r="AW12" s="7"/>
      <x:c r="AX12" s="7"/>
    </x:row>
    <x:row r="13" spans="1:50" ht="52.70000000000000284217">
      <x:c r="A13" s="3">
        <x:v>10</x:v>
      </x:c>
      <x:c r="B13" s="3" t="s">
        <x:v>788</x:v>
      </x:c>
      <x:c r="C13" s="4"/>
      <x:c r="D13" s="3">
        <x:v>3</x:v>
      </x:c>
      <x:c r="E13" s="3" t="s">
        <x:v>42</x:v>
      </x:c>
      <x:c r="F13" s="3" t="s">
        <x:v>53</x:v>
      </x:c>
      <x:c r="G13" s="3" t="s">
        <x:v>791</x:v>
      </x:c>
      <x:c r="H13" s="4"/>
      <x:c r="I13" s="3" t="s">
        <x:v>57</x:v>
      </x:c>
      <x:c r="J13" s="3" t="s">
        <x:v>669</x:v>
      </x:c>
      <x:c r="K13" s="3" t="s">
        <x:v>153</x:v>
      </x:c>
      <x:c r="L13" s="4"/>
      <x:c r="M13" s="3" t="s">
        <x:v>268</x:v>
      </x:c>
      <x:c r="N13" s="3" t="s">
        <x:v>532</x:v>
      </x:c>
      <x:c r="O13" s="3" t="s">
        <x:v>677</x:v>
      </x:c>
      <x:c r="P13" s="3"/>
      <x:c r="Q13" s="3">
        <x:v>0.38500000000000001</x:v>
      </x:c>
      <x:c r="R13" s="3" t="s">
        <x:v>532</x:v>
      </x:c>
      <x:c r="S13" s="3" t="s">
        <x:v>677</x:v>
      </x:c>
      <x:c r="T13" s="3"/>
      <x:c r="U13" s="3">
        <x:v>0.38500000000000001</x:v>
      </x:c>
      <x:c r="V13" s="3" t="s">
        <x:v>528</x:v>
      </x:c>
      <x:c r="W13" s="3" t="s">
        <x:v>677</x:v>
      </x:c>
      <x:c r="X13" s="3"/>
      <x:c r="Y13" s="3">
        <x:v>0.878</x:v>
      </x:c>
      <x:c r="Z13" s="3" t="s">
        <x:v>618</x:v>
      </x:c>
      <x:c r="AA13" s="3" t="s">
        <x:v>677</x:v>
      </x:c>
      <x:c r="AB13" s="3"/>
      <x:c r="AC13" s="3">
        <x:v>1.2</x:v>
      </x:c>
      <x:c r="AD13" s="3" t="s">
        <x:v>863</x:v>
      </x:c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9" t="s">
        <x:v>513</x:v>
      </x:c>
      <x:c r="AP13" s="3" t="s">
        <x:v>418</x:v>
      </x:c>
      <x:c r="AQ13" s="6" t="s">
        <x:v>127</x:v>
      </x:c>
      <x:c r="AR13" s="6" t="s">
        <x:v>127</x:v>
      </x:c>
      <x:c r="AS13" s="5"/>
      <x:c r="AT13" s="7"/>
      <x:c r="AU13" s="7"/>
      <x:c r="AV13" s="7"/>
      <x:c r="AW13" s="7"/>
      <x:c r="AX13" s="7"/>
    </x:row>
    <x:row r="14" spans="1:50" ht="26.35000000000000142109">
      <x:c r="A14" s="3">
        <x:v>11</x:v>
      </x:c>
      <x:c r="B14" s="3" t="s">
        <x:v>787</x:v>
      </x:c>
      <x:c r="C14" s="4"/>
      <x:c r="D14" s="3">
        <x:v>3</x:v>
      </x:c>
      <x:c r="E14" s="3" t="s">
        <x:v>148</x:v>
      </x:c>
      <x:c r="F14" s="3" t="s">
        <x:v>69</x:v>
      </x:c>
      <x:c r="G14" s="3" t="s">
        <x:v>806</x:v>
      </x:c>
      <x:c r="H14" s="4"/>
      <x:c r="I14" s="3" t="s">
        <x:v>57</x:v>
      </x:c>
      <x:c r="J14" s="3" t="s">
        <x:v>743</x:v>
      </x:c>
      <x:c r="K14" s="3" t="s">
        <x:v>743</x:v>
      </x:c>
      <x:c r="L14" s="3" t="s">
        <x:v>55</x:v>
      </x:c>
      <x:c r="M14" s="3" t="s">
        <x:v>515</x:v>
      </x:c>
      <x:c r="N14" s="3" t="s">
        <x:v>802</x:v>
      </x:c>
      <x:c r="O14" s="3" t="s">
        <x:v>677</x:v>
      </x:c>
      <x:c r="P14" s="3"/>
      <x:c r="Q14" s="3">
        <x:v>0.159</x:v>
      </x:c>
      <x:c r="R14" s="3" t="s">
        <x:v>802</x:v>
      </x:c>
      <x:c r="S14" s="3" t="s">
        <x:v>677</x:v>
      </x:c>
      <x:c r="T14" s="3"/>
      <x:c r="U14" s="3">
        <x:v>0.159</x:v>
      </x:c>
      <x:c r="V14" s="3" t="s">
        <x:v>802</x:v>
      </x:c>
      <x:c r="W14" s="3" t="s">
        <x:v>666</x:v>
      </x:c>
      <x:c r="X14" s="3"/>
      <x:c r="Y14" s="3">
        <x:v>0.159</x:v>
      </x:c>
      <x:c r="Z14" s="4"/>
      <x:c r="AA14" s="4"/>
      <x:c r="AB14" s="3"/>
      <x:c r="AC14" s="4"/>
      <x:c r="AD14" s="3" t="s">
        <x:v>910</x:v>
      </x:c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3" t="s">
        <x:v>246</x:v>
      </x:c>
      <x:c r="AP14" s="4"/>
      <x:c r="AQ14" s="6" t="s">
        <x:v>124</x:v>
      </x:c>
      <x:c r="AR14" s="6" t="s">
        <x:v>124</x:v>
      </x:c>
      <x:c r="AS14" s="7"/>
      <x:c r="AT14" s="7"/>
      <x:c r="AU14" s="7"/>
      <x:c r="AV14" s="7"/>
      <x:c r="AW14" s="7"/>
      <x:c r="AX14" s="7"/>
    </x:row>
    <x:row r="15" spans="1:50" ht="26.35000000000000142109">
      <x:c r="A15" s="3">
        <x:v>12</x:v>
      </x:c>
      <x:c r="B15" s="3" t="s">
        <x:v>741</x:v>
      </x:c>
      <x:c r="C15" s="4"/>
      <x:c r="D15" s="3">
        <x:v>3</x:v>
      </x:c>
      <x:c r="E15" s="3" t="s">
        <x:v>163</x:v>
      </x:c>
      <x:c r="F15" s="3" t="s">
        <x:v>69</x:v>
      </x:c>
      <x:c r="G15" s="3" t="s">
        <x:v>798</x:v>
      </x:c>
      <x:c r="H15" s="4"/>
      <x:c r="I15" s="3" t="s">
        <x:v>57</x:v>
      </x:c>
      <x:c r="J15" s="3" t="s">
        <x:v>669</x:v>
      </x:c>
      <x:c r="K15" s="3" t="s">
        <x:v>669</x:v>
      </x:c>
      <x:c r="L15" s="3" t="s">
        <x:v>55</x:v>
      </x:c>
      <x:c r="M15" s="3" t="s">
        <x:v>251</x:v>
      </x:c>
      <x:c r="N15" s="3" t="s">
        <x:v>684</x:v>
      </x:c>
      <x:c r="O15" s="3" t="s">
        <x:v>677</x:v>
      </x:c>
      <x:c r="P15" s="3"/>
      <x:c r="Q15" s="3">
        <x:v>0.64900000000000002</x:v>
      </x:c>
      <x:c r="R15" s="3" t="s">
        <x:v>684</x:v>
      </x:c>
      <x:c r="S15" s="3" t="s">
        <x:v>677</x:v>
      </x:c>
      <x:c r="T15" s="3"/>
      <x:c r="U15" s="3">
        <x:v>0.64900000000000002</x:v>
      </x:c>
      <x:c r="V15" s="3" t="s">
        <x:v>749</x:v>
      </x:c>
      <x:c r="W15" s="3" t="s">
        <x:v>677</x:v>
      </x:c>
      <x:c r="X15" s="3"/>
      <x:c r="Y15" s="3">
        <x:v>0.433</x:v>
      </x:c>
      <x:c r="Z15" s="3" t="s">
        <x:v>720</x:v>
      </x:c>
      <x:c r="AA15" s="3" t="s">
        <x:v>677</x:v>
      </x:c>
      <x:c r="AB15" s="3"/>
      <x:c r="AC15" s="3">
        <x:v>2.5</x:v>
      </x:c>
      <x:c r="AD15" s="3" t="s">
        <x:v>902</x:v>
      </x:c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3" t="s">
        <x:v>508</x:v>
      </x:c>
      <x:c r="AP15" s="4"/>
      <x:c r="AQ15" s="6" t="s">
        <x:v>124</x:v>
      </x:c>
      <x:c r="AR15" s="6" t="s">
        <x:v>124</x:v>
      </x:c>
      <x:c r="AS15" s="7"/>
      <x:c r="AT15" s="7"/>
      <x:c r="AU15" s="7"/>
      <x:c r="AV15" s="7"/>
      <x:c r="AW15" s="7"/>
      <x:c r="AX15" s="7"/>
    </x:row>
    <x:row r="16" spans="1:50" ht="26.35000000000000142109">
      <x:c r="A16" s="3">
        <x:v>13</x:v>
      </x:c>
      <x:c r="B16" s="3" t="s">
        <x:v>799</x:v>
      </x:c>
      <x:c r="C16" s="4"/>
      <x:c r="D16" s="3">
        <x:v>3</x:v>
      </x:c>
      <x:c r="E16" s="3" t="s">
        <x:v>117</x:v>
      </x:c>
      <x:c r="F16" s="3" t="s">
        <x:v>69</x:v>
      </x:c>
      <x:c r="G16" s="3" t="s">
        <x:v>800</x:v>
      </x:c>
      <x:c r="H16" s="4"/>
      <x:c r="I16" s="3" t="s">
        <x:v>57</x:v>
      </x:c>
      <x:c r="J16" s="3" t="s">
        <x:v>669</x:v>
      </x:c>
      <x:c r="K16" s="3" t="s">
        <x:v>669</x:v>
      </x:c>
      <x:c r="L16" s="3" t="s">
        <x:v>55</x:v>
      </x:c>
      <x:c r="M16" s="3" t="s">
        <x:v>274</x:v>
      </x:c>
      <x:c r="N16" s="3" t="s">
        <x:v>693</x:v>
      </x:c>
      <x:c r="O16" s="3" t="s">
        <x:v>677</x:v>
      </x:c>
      <x:c r="P16" s="3"/>
      <x:c r="Q16" s="3">
        <x:v>0.83699999999999997</x:v>
      </x:c>
      <x:c r="R16" s="3" t="s">
        <x:v>693</x:v>
      </x:c>
      <x:c r="S16" s="3" t="s">
        <x:v>677</x:v>
      </x:c>
      <x:c r="T16" s="3"/>
      <x:c r="U16" s="3">
        <x:v>0.83699999999999997</x:v>
      </x:c>
      <x:c r="V16" s="3" t="s">
        <x:v>527</x:v>
      </x:c>
      <x:c r="W16" s="3" t="s">
        <x:v>677</x:v>
      </x:c>
      <x:c r="X16" s="3"/>
      <x:c r="Y16" s="3">
        <x:v>0.96999999999999997</x:v>
      </x:c>
      <x:c r="Z16" s="3" t="s">
        <x:v>708</x:v>
      </x:c>
      <x:c r="AA16" s="3" t="s">
        <x:v>677</x:v>
      </x:c>
      <x:c r="AB16" s="3"/>
      <x:c r="AC16" s="3">
        <x:v>1.8</x:v>
      </x:c>
      <x:c r="AD16" s="3" t="s">
        <x:v>892</x:v>
      </x:c>
      <x:c r="AE16" s="4"/>
      <x:c r="AF16" s="3" t="s">
        <x:v>671</x:v>
      </x:c>
      <x:c r="AG16" s="3" t="s">
        <x:v>797</x:v>
      </x:c>
      <x:c r="AH16" s="3" t="s">
        <x:v>692</x:v>
      </x:c>
      <x:c r="AI16" s="4"/>
      <x:c r="AJ16" s="4"/>
      <x:c r="AK16" s="4"/>
      <x:c r="AL16" s="4"/>
      <x:c r="AM16" s="4"/>
      <x:c r="AN16" s="4"/>
      <x:c r="AO16" s="3" t="s">
        <x:v>512</x:v>
      </x:c>
      <x:c r="AP16" s="4"/>
      <x:c r="AQ16" s="6" t="s">
        <x:v>124</x:v>
      </x:c>
      <x:c r="AR16" s="6" t="s">
        <x:v>124</x:v>
      </x:c>
      <x:c r="AS16" s="7"/>
      <x:c r="AT16" s="7"/>
      <x:c r="AU16" s="7"/>
      <x:c r="AV16" s="7"/>
      <x:c r="AW16" s="7"/>
      <x:c r="AX16" s="7"/>
    </x:row>
    <x:row r="17" spans="1:50" ht="39.54999999999999715783">
      <x:c r="A17" s="3">
        <x:v>14</x:v>
      </x:c>
      <x:c r="B17" s="3" t="s">
        <x:v>801</x:v>
      </x:c>
      <x:c r="C17" s="4"/>
      <x:c r="D17" s="3">
        <x:v>3</x:v>
      </x:c>
      <x:c r="E17" s="3" t="s">
        <x:v>131</x:v>
      </x:c>
      <x:c r="F17" s="3" t="s">
        <x:v>69</x:v>
      </x:c>
      <x:c r="G17" s="3" t="s">
        <x:v>789</x:v>
      </x:c>
      <x:c r="H17" s="4"/>
      <x:c r="I17" s="3" t="s">
        <x:v>57</x:v>
      </x:c>
      <x:c r="J17" s="3" t="s">
        <x:v>1052</x:v>
      </x:c>
      <x:c r="K17" s="3" t="s">
        <x:v>790</x:v>
      </x:c>
      <x:c r="L17" s="3" t="s">
        <x:v>55</x:v>
      </x:c>
      <x:c r="M17" s="3" t="s">
        <x:v>291</x:v>
      </x:c>
      <x:c r="N17" s="3" t="s">
        <x:v>750</x:v>
      </x:c>
      <x:c r="O17" s="3" t="s">
        <x:v>677</x:v>
      </x:c>
      <x:c r="P17" s="3"/>
      <x:c r="Q17" s="3">
        <x:v>0.93500000000000005</x:v>
      </x:c>
      <x:c r="R17" s="3" t="s">
        <x:v>750</x:v>
      </x:c>
      <x:c r="S17" s="3" t="s">
        <x:v>677</x:v>
      </x:c>
      <x:c r="T17" s="3"/>
      <x:c r="U17" s="3">
        <x:v>0.93500000000000005</x:v>
      </x:c>
      <x:c r="V17" s="3" t="s">
        <x:v>745</x:v>
      </x:c>
      <x:c r="W17" s="3" t="s">
        <x:v>677</x:v>
      </x:c>
      <x:c r="X17" s="3"/>
      <x:c r="Y17" s="3">
        <x:v>1.1000000000000001</x:v>
      </x:c>
      <x:c r="Z17" s="3" t="s">
        <x:v>702</x:v>
      </x:c>
      <x:c r="AA17" s="3" t="s">
        <x:v>677</x:v>
      </x:c>
      <x:c r="AB17" s="3"/>
      <x:c r="AC17" s="3">
        <x:v>1.3999999999999999</x:v>
      </x:c>
      <x:c r="AD17" s="3" t="s">
        <x:v>883</x:v>
      </x:c>
      <x:c r="AE17" s="4"/>
      <x:c r="AF17" s="3" t="s">
        <x:v>671</x:v>
      </x:c>
      <x:c r="AG17" s="3" t="s">
        <x:v>716</x:v>
      </x:c>
      <x:c r="AH17" s="3" t="s">
        <x:v>688</x:v>
      </x:c>
      <x:c r="AI17" s="3" t="s">
        <x:v>125</x:v>
      </x:c>
      <x:c r="AJ17" s="3" t="s">
        <x:v>655</x:v>
      </x:c>
      <x:c r="AK17" s="3" t="s">
        <x:v>688</x:v>
      </x:c>
      <x:c r="AL17" s="4"/>
      <x:c r="AM17" s="4"/>
      <x:c r="AN17" s="4"/>
      <x:c r="AO17" s="3" t="s">
        <x:v>937</x:v>
      </x:c>
      <x:c r="AP17" s="3" t="s">
        <x:v>350</x:v>
      </x:c>
      <x:c r="AQ17" s="6" t="s">
        <x:v>124</x:v>
      </x:c>
      <x:c r="AR17" s="6" t="s">
        <x:v>124</x:v>
      </x:c>
      <x:c r="AS17" s="7"/>
      <x:c r="AT17" s="7"/>
      <x:c r="AU17" s="7"/>
      <x:c r="AV17" s="7"/>
      <x:c r="AW17" s="7"/>
      <x:c r="AX17" s="7"/>
    </x:row>
    <x:row r="18" spans="1:50" ht="52.70000000000000284217">
      <x:c r="A18" s="3">
        <x:v>15</x:v>
      </x:c>
      <x:c r="B18" s="3" t="s">
        <x:v>804</x:v>
      </x:c>
      <x:c r="C18" s="4"/>
      <x:c r="D18" s="3">
        <x:v>3</x:v>
      </x:c>
      <x:c r="E18" s="3" t="s">
        <x:v>134</x:v>
      </x:c>
      <x:c r="F18" s="3" t="s">
        <x:v>69</x:v>
      </x:c>
      <x:c r="G18" s="3" t="s">
        <x:v>803</x:v>
      </x:c>
      <x:c r="H18" s="4"/>
      <x:c r="I18" s="3" t="s">
        <x:v>57</x:v>
      </x:c>
      <x:c r="J18" s="3" t="s">
        <x:v>669</x:v>
      </x:c>
      <x:c r="K18" s="3" t="s">
        <x:v>669</x:v>
      </x:c>
      <x:c r="L18" s="3" t="s">
        <x:v>55</x:v>
      </x:c>
      <x:c r="M18" s="3" t="s">
        <x:v>849</x:v>
      </x:c>
      <x:c r="N18" s="3" t="s">
        <x:v>713</x:v>
      </x:c>
      <x:c r="O18" s="3" t="s">
        <x:v>677</x:v>
      </x:c>
      <x:c r="P18" s="3"/>
      <x:c r="Q18" s="3">
        <x:v>0.67500000000000004</x:v>
      </x:c>
      <x:c r="R18" s="3" t="s">
        <x:v>713</x:v>
      </x:c>
      <x:c r="S18" s="3" t="s">
        <x:v>677</x:v>
      </x:c>
      <x:c r="T18" s="3"/>
      <x:c r="U18" s="3">
        <x:v>0.67500000000000004</x:v>
      </x:c>
      <x:c r="V18" s="3" t="s">
        <x:v>737</x:v>
      </x:c>
      <x:c r="W18" s="3" t="s">
        <x:v>677</x:v>
      </x:c>
      <x:c r="X18" s="3"/>
      <x:c r="Y18" s="3">
        <x:v>1.3999999999999999</x:v>
      </x:c>
      <x:c r="Z18" s="3" t="s">
        <x:v>700</x:v>
      </x:c>
      <x:c r="AA18" s="3" t="s">
        <x:v>677</x:v>
      </x:c>
      <x:c r="AB18" s="3"/>
      <x:c r="AC18" s="3">
        <x:v>1.3999999999999999</x:v>
      </x:c>
      <x:c r="AD18" s="3" t="s">
        <x:v>908</x:v>
      </x:c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3" t="s">
        <x:v>509</x:v>
      </x:c>
      <x:c r="AP18" s="10" t="s">
        <x:v>227</x:v>
      </x:c>
      <x:c r="AQ18" s="6" t="s">
        <x:v>124</x:v>
      </x:c>
      <x:c r="AR18" s="6" t="s">
        <x:v>124</x:v>
      </x:c>
      <x:c r="AS18" s="7"/>
      <x:c r="AT18" s="7"/>
      <x:c r="AU18" s="7"/>
      <x:c r="AV18" s="7"/>
      <x:c r="AW18" s="7"/>
      <x:c r="AX18" s="7"/>
    </x:row>
    <x:row r="19" spans="1:50" ht="26.35000000000000142109">
      <x:c r="A19" s="3">
        <x:v>16</x:v>
      </x:c>
      <x:c r="B19" s="3" t="s">
        <x:v>971</x:v>
      </x:c>
      <x:c r="C19" s="4"/>
      <x:c r="D19" s="3">
        <x:v>3</x:v>
      </x:c>
      <x:c r="E19" s="3" t="s">
        <x:v>135</x:v>
      </x:c>
      <x:c r="F19" s="3" t="s">
        <x:v>53</x:v>
      </x:c>
      <x:c r="G19" s="3" t="s">
        <x:v>785</x:v>
      </x:c>
      <x:c r="H19" s="4"/>
      <x:c r="I19" s="3" t="s">
        <x:v>57</x:v>
      </x:c>
      <x:c r="J19" s="3" t="s">
        <x:v>669</x:v>
      </x:c>
      <x:c r="K19" s="3" t="s">
        <x:v>669</x:v>
      </x:c>
      <x:c r="L19" s="3" t="s">
        <x:v>55</x:v>
      </x:c>
      <x:c r="M19" s="3" t="s">
        <x:v>294</x:v>
      </x:c>
      <x:c r="N19" s="3" t="s">
        <x:v>531</x:v>
      </x:c>
      <x:c r="O19" s="3" t="s">
        <x:v>677</x:v>
      </x:c>
      <x:c r="P19" s="3"/>
      <x:c r="Q19" s="3">
        <x:v>0.51500000000000001</x:v>
      </x:c>
      <x:c r="R19" s="3" t="s">
        <x:v>531</x:v>
      </x:c>
      <x:c r="S19" s="3" t="s">
        <x:v>677</x:v>
      </x:c>
      <x:c r="T19" s="3"/>
      <x:c r="U19" s="3">
        <x:v>0.54500000000000004</x:v>
      </x:c>
      <x:c r="V19" s="3" t="s">
        <x:v>725</x:v>
      </x:c>
      <x:c r="W19" s="3" t="s">
        <x:v>677</x:v>
      </x:c>
      <x:c r="X19" s="3"/>
      <x:c r="Y19" s="3">
        <x:v>0.20899999999999999</x:v>
      </x:c>
      <x:c r="Z19" s="3" t="s">
        <x:v>526</x:v>
      </x:c>
      <x:c r="AA19" s="3" t="s">
        <x:v>677</x:v>
      </x:c>
      <x:c r="AB19" s="3"/>
      <x:c r="AC19" s="3">
        <x:v>0.96899999999999997</x:v>
      </x:c>
      <x:c r="AD19" s="3" t="s">
        <x:v>916</x:v>
      </x:c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3" t="s">
        <x:v>451</x:v>
      </x:c>
      <x:c r="AP19" s="4"/>
      <x:c r="AQ19" s="6" t="s">
        <x:v>124</x:v>
      </x:c>
      <x:c r="AR19" s="6" t="s">
        <x:v>124</x:v>
      </x:c>
      <x:c r="AS19" s="7"/>
      <x:c r="AT19" s="7"/>
      <x:c r="AU19" s="7"/>
      <x:c r="AV19" s="7"/>
      <x:c r="AW19" s="7"/>
      <x:c r="AX19" s="7"/>
    </x:row>
    <x:row r="20" spans="1:50" ht="39.54999999999999715783">
      <x:c r="A20" s="3">
        <x:v>17</x:v>
      </x:c>
      <x:c r="B20" s="3" t="s">
        <x:v>728</x:v>
      </x:c>
      <x:c r="C20" s="4"/>
      <x:c r="D20" s="3">
        <x:v>3</x:v>
      </x:c>
      <x:c r="E20" s="3" t="s">
        <x:v>119</x:v>
      </x:c>
      <x:c r="F20" s="3" t="s">
        <x:v>69</x:v>
      </x:c>
      <x:c r="G20" s="3" t="s">
        <x:v>777</x:v>
      </x:c>
      <x:c r="H20" s="4"/>
      <x:c r="I20" s="3" t="s">
        <x:v>57</x:v>
      </x:c>
      <x:c r="J20" s="3" t="s">
        <x:v>653</x:v>
      </x:c>
      <x:c r="K20" s="4"/>
      <x:c r="L20" s="4"/>
      <x:c r="M20" s="3" t="s">
        <x:v>9</x:v>
      </x:c>
      <x:c r="N20" s="3" t="s">
        <x:v>697</x:v>
      </x:c>
      <x:c r="O20" s="3" t="s">
        <x:v>677</x:v>
      </x:c>
      <x:c r="P20" s="3"/>
      <x:c r="Q20" s="3">
        <x:v>0.98999999999999999</x:v>
      </x:c>
      <x:c r="R20" s="3" t="s">
        <x:v>697</x:v>
      </x:c>
      <x:c r="S20" s="3" t="s">
        <x:v>677</x:v>
      </x:c>
      <x:c r="T20" s="3"/>
      <x:c r="U20" s="3">
        <x:v>0.98999999999999999</x:v>
      </x:c>
      <x:c r="V20" s="3" t="s">
        <x:v>722</x:v>
      </x:c>
      <x:c r="W20" s="3" t="s">
        <x:v>677</x:v>
      </x:c>
      <x:c r="X20" s="3"/>
      <x:c r="Y20" s="3">
        <x:v>1.2</x:v>
      </x:c>
      <x:c r="Z20" s="3" t="s">
        <x:v>636</x:v>
      </x:c>
      <x:c r="AA20" s="3" t="s">
        <x:v>677</x:v>
      </x:c>
      <x:c r="AB20" s="3"/>
      <x:c r="AC20" s="3">
        <x:v>1.8999999999999999</x:v>
      </x:c>
      <x:c r="AD20" s="3" t="s">
        <x:v>862</x:v>
      </x:c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11" t="s">
        <x:v>209</x:v>
      </x:c>
      <x:c r="AP20" s="3" t="s">
        <x:v>219</x:v>
      </x:c>
      <x:c r="AQ20" s="6" t="s">
        <x:v>127</x:v>
      </x:c>
      <x:c r="AR20" s="6" t="s">
        <x:v>127</x:v>
      </x:c>
      <x:c r="AS20" s="7"/>
      <x:c r="AT20" s="7"/>
      <x:c r="AU20" s="7"/>
      <x:c r="AV20" s="7"/>
      <x:c r="AW20" s="7"/>
      <x:c r="AX20" s="7"/>
    </x:row>
    <x:row r="21" spans="1:50" ht="105.40000000000000568434">
      <x:c r="A21" s="3">
        <x:v>18</x:v>
      </x:c>
      <x:c r="B21" s="3" t="s">
        <x:v>973</x:v>
      </x:c>
      <x:c r="C21" s="3" t="s">
        <x:v>677</x:v>
      </x:c>
      <x:c r="D21" s="3">
        <x:v>3</x:v>
      </x:c>
      <x:c r="E21" s="3" t="s">
        <x:v>140</x:v>
      </x:c>
      <x:c r="F21" s="3" t="s">
        <x:v>69</x:v>
      </x:c>
      <x:c r="G21" s="3" t="s">
        <x:v>779</x:v>
      </x:c>
      <x:c r="H21" s="3" t="s">
        <x:v>57</x:v>
      </x:c>
      <x:c r="I21" s="4"/>
      <x:c r="J21" s="3" t="s">
        <x:v>1051</x:v>
      </x:c>
      <x:c r="K21" s="4"/>
      <x:c r="L21" s="4"/>
      <x:c r="M21" s="3" t="s">
        <x:v>459</x:v>
      </x:c>
      <x:c r="N21" s="3" t="s">
        <x:v>729</x:v>
      </x:c>
      <x:c r="O21" s="3" t="s">
        <x:v>677</x:v>
      </x:c>
      <x:c r="P21" s="3"/>
      <x:c r="Q21" s="3">
        <x:v>0.35999999999999999</x:v>
      </x:c>
      <x:c r="R21" s="3" t="s">
        <x:v>729</x:v>
      </x:c>
      <x:c r="S21" s="3" t="s">
        <x:v>677</x:v>
      </x:c>
      <x:c r="T21" s="3"/>
      <x:c r="U21" s="3">
        <x:v>0.35999999999999999</x:v>
      </x:c>
      <x:c r="V21" s="3" t="s">
        <x:v>615</x:v>
      </x:c>
      <x:c r="W21" s="3" t="s">
        <x:v>677</x:v>
      </x:c>
      <x:c r="X21" s="3"/>
      <x:c r="Y21" s="3">
        <x:v>0.42999999999999999</x:v>
      </x:c>
      <x:c r="Z21" s="3" t="s">
        <x:v>648</x:v>
      </x:c>
      <x:c r="AA21" s="3" t="s">
        <x:v>677</x:v>
      </x:c>
      <x:c r="AB21" s="3"/>
      <x:c r="AC21" s="3">
        <x:v>0.55000000000000004</x:v>
      </x:c>
      <x:c r="AD21" s="3" t="s">
        <x:v>992</x:v>
      </x:c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3" t="s">
        <x:v>4</x:v>
      </x:c>
      <x:c r="AP21" s="3" t="s">
        <x:v>214</x:v>
      </x:c>
      <x:c r="AQ21" s="6" t="s">
        <x:v>124</x:v>
      </x:c>
      <x:c r="AR21" s="6" t="s">
        <x:v>124</x:v>
      </x:c>
      <x:c r="AS21" s="7"/>
      <x:c r="AT21" s="7"/>
      <x:c r="AU21" s="7"/>
      <x:c r="AV21" s="7"/>
      <x:c r="AW21" s="7"/>
      <x:c r="AX21" s="7"/>
    </x:row>
    <x:row r="22" spans="1:50" ht="26.35000000000000142109">
      <x:c r="A22" s="3">
        <x:v>19</x:v>
      </x:c>
      <x:c r="B22" s="3" t="s">
        <x:v>764</x:v>
      </x:c>
      <x:c r="C22" s="4"/>
      <x:c r="D22" s="3">
        <x:v>3</x:v>
      </x:c>
      <x:c r="E22" s="3" t="s">
        <x:v>137</x:v>
      </x:c>
      <x:c r="F22" s="3" t="s">
        <x:v>69</x:v>
      </x:c>
      <x:c r="G22" s="3" t="s">
        <x:v>809</x:v>
      </x:c>
      <x:c r="H22" s="4"/>
      <x:c r="I22" s="3" t="s">
        <x:v>57</x:v>
      </x:c>
      <x:c r="J22" s="3" t="s">
        <x:v>669</x:v>
      </x:c>
      <x:c r="K22" s="3" t="s">
        <x:v>669</x:v>
      </x:c>
      <x:c r="L22" s="3" t="s">
        <x:v>55</x:v>
      </x:c>
      <x:c r="M22" s="3" t="s">
        <x:v>857</x:v>
      </x:c>
      <x:c r="N22" s="3" t="s">
        <x:v>618</x:v>
      </x:c>
      <x:c r="O22" s="3" t="s">
        <x:v>677</x:v>
      </x:c>
      <x:c r="P22" s="3"/>
      <x:c r="Q22" s="3">
        <x:v>0.307</x:v>
      </x:c>
      <x:c r="R22" s="3" t="s">
        <x:v>618</x:v>
      </x:c>
      <x:c r="S22" s="3" t="s">
        <x:v>677</x:v>
      </x:c>
      <x:c r="T22" s="3"/>
      <x:c r="U22" s="3">
        <x:v>0.307</x:v>
      </x:c>
      <x:c r="V22" s="3" t="s">
        <x:v>532</x:v>
      </x:c>
      <x:c r="W22" s="3" t="s">
        <x:v>677</x:v>
      </x:c>
      <x:c r="X22" s="3"/>
      <x:c r="Y22" s="3">
        <x:v>0.86899999999999999</x:v>
      </x:c>
      <x:c r="Z22" s="3" t="s">
        <x:v>530</x:v>
      </x:c>
      <x:c r="AA22" s="3" t="s">
        <x:v>677</x:v>
      </x:c>
      <x:c r="AB22" s="3"/>
      <x:c r="AC22" s="3">
        <x:v>1</x:v>
      </x:c>
      <x:c r="AD22" s="3" t="s">
        <x:v>865</x:v>
      </x:c>
      <x:c r="AE22" s="4"/>
      <x:c r="AF22" s="3" t="s">
        <x:v>671</x:v>
      </x:c>
      <x:c r="AG22" s="3" t="s">
        <x:v>716</x:v>
      </x:c>
      <x:c r="AH22" s="3" t="s">
        <x:v>688</x:v>
      </x:c>
      <x:c r="AI22" s="3" t="s">
        <x:v>671</x:v>
      </x:c>
      <x:c r="AJ22" s="3" t="s">
        <x:v>776</x:v>
      </x:c>
      <x:c r="AK22" s="4"/>
      <x:c r="AL22" s="4"/>
      <x:c r="AM22" s="4"/>
      <x:c r="AN22" s="4"/>
      <x:c r="AO22" s="3" t="s">
        <x:v>519</x:v>
      </x:c>
      <x:c r="AP22" s="3" t="s">
        <x:v>922</x:v>
      </x:c>
      <x:c r="AQ22" s="6" t="s">
        <x:v>124</x:v>
      </x:c>
      <x:c r="AR22" s="6" t="s">
        <x:v>124</x:v>
      </x:c>
      <x:c r="AS22" s="7"/>
      <x:c r="AT22" s="7"/>
      <x:c r="AU22" s="7"/>
      <x:c r="AV22" s="7"/>
      <x:c r="AW22" s="7"/>
      <x:c r="AX22" s="7"/>
    </x:row>
    <x:row r="23" spans="1:50" ht="26.35000000000000142109">
      <x:c r="A23" s="3">
        <x:v>20</x:v>
      </x:c>
      <x:c r="B23" s="3" t="s">
        <x:v>818</x:v>
      </x:c>
      <x:c r="C23" s="4"/>
      <x:c r="D23" s="3">
        <x:v>3</x:v>
      </x:c>
      <x:c r="E23" s="3" t="s">
        <x:v>150</x:v>
      </x:c>
      <x:c r="F23" s="3" t="s">
        <x:v>53</x:v>
      </x:c>
      <x:c r="G23" s="3" t="s">
        <x:v>821</x:v>
      </x:c>
      <x:c r="H23" s="4"/>
      <x:c r="I23" s="3" t="s">
        <x:v>57</x:v>
      </x:c>
      <x:c r="J23" s="3" t="s">
        <x:v>669</x:v>
      </x:c>
      <x:c r="K23" s="3" t="s">
        <x:v>669</x:v>
      </x:c>
      <x:c r="L23" s="3" t="s">
        <x:v>55</x:v>
      </x:c>
      <x:c r="M23" s="3" t="s">
        <x:v>279</x:v>
      </x:c>
      <x:c r="N23" s="3" t="s">
        <x:v>614</x:v>
      </x:c>
      <x:c r="O23" s="3" t="s">
        <x:v>677</x:v>
      </x:c>
      <x:c r="P23" s="3"/>
      <x:c r="Q23" s="3">
        <x:v>0.35899999999999999</x:v>
      </x:c>
      <x:c r="R23" s="3" t="s">
        <x:v>614</x:v>
      </x:c>
      <x:c r="S23" s="3" t="s">
        <x:v>677</x:v>
      </x:c>
      <x:c r="T23" s="3"/>
      <x:c r="U23" s="3">
        <x:v>0.35899999999999999</x:v>
      </x:c>
      <x:c r="V23" s="3" t="s">
        <x:v>697</x:v>
      </x:c>
      <x:c r="W23" s="3" t="s">
        <x:v>677</x:v>
      </x:c>
      <x:c r="X23" s="3"/>
      <x:c r="Y23" s="3">
        <x:v>0.97999999999999998</x:v>
      </x:c>
      <x:c r="Z23" s="3" t="s">
        <x:v>636</x:v>
      </x:c>
      <x:c r="AA23" s="3" t="s">
        <x:v>677</x:v>
      </x:c>
      <x:c r="AB23" s="3"/>
      <x:c r="AC23" s="3">
        <x:v>1.8</x:v>
      </x:c>
      <x:c r="AD23" s="3" t="s">
        <x:v>864</x:v>
      </x:c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12" t="s">
        <x:v>523</x:v>
      </x:c>
      <x:c r="AP23" s="12" t="s">
        <x:v>342</x:v>
      </x:c>
      <x:c r="AQ23" s="6" t="s">
        <x:v>127</x:v>
      </x:c>
      <x:c r="AR23" s="6" t="s">
        <x:v>124</x:v>
      </x:c>
      <x:c r="AS23" s="7"/>
      <x:c r="AT23" s="7"/>
      <x:c r="AU23" s="7"/>
      <x:c r="AV23" s="7"/>
      <x:c r="AW23" s="7"/>
      <x:c r="AX23" s="7"/>
    </x:row>
    <x:row r="24" spans="1:50" ht="118.54999999999999715783">
      <x:c r="A24" s="3">
        <x:v>21</x:v>
      </x:c>
      <x:c r="B24" s="3" t="s">
        <x:v>796</x:v>
      </x:c>
      <x:c r="C24" s="4"/>
      <x:c r="D24" s="3">
        <x:v>3</x:v>
      </x:c>
      <x:c r="E24" s="3" t="s">
        <x:v>112</x:v>
      </x:c>
      <x:c r="F24" s="3" t="s">
        <x:v>53</x:v>
      </x:c>
      <x:c r="G24" s="3" t="s">
        <x:v>793</x:v>
      </x:c>
      <x:c r="H24" s="4"/>
      <x:c r="I24" s="3" t="s">
        <x:v>57</x:v>
      </x:c>
      <x:c r="J24" s="3" t="s">
        <x:v>663</x:v>
      </x:c>
      <x:c r="K24" s="4"/>
      <x:c r="L24" s="4"/>
      <x:c r="M24" s="3" t="s">
        <x:v>514</x:v>
      </x:c>
      <x:c r="N24" s="3" t="s">
        <x:v>668</x:v>
      </x:c>
      <x:c r="O24" s="3" t="s">
        <x:v>677</x:v>
      </x:c>
      <x:c r="P24" s="3"/>
      <x:c r="Q24" s="3">
        <x:v>2.2000000000000002</x:v>
      </x:c>
      <x:c r="R24" s="3" t="s">
        <x:v>668</x:v>
      </x:c>
      <x:c r="S24" s="3" t="s">
        <x:v>677</x:v>
      </x:c>
      <x:c r="T24" s="3"/>
      <x:c r="U24" s="3">
        <x:v>2.2000000000000002</x:v>
      </x:c>
      <x:c r="V24" s="3" t="s">
        <x:v>732</x:v>
      </x:c>
      <x:c r="W24" s="3" t="s">
        <x:v>677</x:v>
      </x:c>
      <x:c r="X24" s="3"/>
      <x:c r="Y24" s="3">
        <x:v>1.3</x:v>
      </x:c>
      <x:c r="Z24" s="3" t="s">
        <x:v>617</x:v>
      </x:c>
      <x:c r="AA24" s="3" t="s">
        <x:v>677</x:v>
      </x:c>
      <x:c r="AB24" s="3"/>
      <x:c r="AC24" s="3">
        <x:v>2.1000000000000001</x:v>
      </x:c>
      <x:c r="AD24" s="3" t="s">
        <x:v>878</x:v>
      </x:c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3" t="s">
        <x:v>202</x:v>
      </x:c>
      <x:c r="AP24" s="9" t="s">
        <x:v>386</x:v>
      </x:c>
      <x:c r="AQ24" s="6" t="s">
        <x:v>127</x:v>
      </x:c>
      <x:c r="AR24" s="6" t="s">
        <x:v>127</x:v>
      </x:c>
      <x:c r="AS24" s="7"/>
      <x:c r="AT24" s="7"/>
      <x:c r="AU24" s="7"/>
      <x:c r="AV24" s="7"/>
      <x:c r="AW24" s="7"/>
      <x:c r="AX24" s="7"/>
    </x:row>
    <x:row r="25" spans="1:50" ht="26.35000000000000142109">
      <x:c r="A25" s="3">
        <x:v>22</x:v>
      </x:c>
      <x:c r="B25" s="3" t="s">
        <x:v>866</x:v>
      </x:c>
      <x:c r="C25" s="4"/>
      <x:c r="D25" s="3">
        <x:v>3</x:v>
      </x:c>
      <x:c r="E25" s="3" t="s">
        <x:v>126</x:v>
      </x:c>
      <x:c r="F25" s="3" t="s">
        <x:v>69</x:v>
      </x:c>
      <x:c r="G25" s="3" t="s">
        <x:v>812</x:v>
      </x:c>
      <x:c r="H25" s="4"/>
      <x:c r="I25" s="3" t="s">
        <x:v>57</x:v>
      </x:c>
      <x:c r="J25" s="3" t="s">
        <x:v>669</x:v>
      </x:c>
      <x:c r="K25" s="3" t="s">
        <x:v>669</x:v>
      </x:c>
      <x:c r="L25" s="3" t="s">
        <x:v>55</x:v>
      </x:c>
      <x:c r="M25" s="3" t="s">
        <x:v>18</x:v>
      </x:c>
      <x:c r="N25" s="3" t="s">
        <x:v>530</x:v>
      </x:c>
      <x:c r="O25" s="3" t="s">
        <x:v>677</x:v>
      </x:c>
      <x:c r="P25" s="3"/>
      <x:c r="Q25" s="3">
        <x:v>0.56999999999999995</x:v>
      </x:c>
      <x:c r="R25" s="3" t="s">
        <x:v>530</x:v>
      </x:c>
      <x:c r="S25" s="3" t="s">
        <x:v>677</x:v>
      </x:c>
      <x:c r="T25" s="3"/>
      <x:c r="U25" s="3">
        <x:v>0.56999999999999995</x:v>
      </x:c>
      <x:c r="V25" s="3" t="s">
        <x:v>618</x:v>
      </x:c>
      <x:c r="W25" s="3" t="s">
        <x:v>677</x:v>
      </x:c>
      <x:c r="X25" s="3"/>
      <x:c r="Y25" s="3">
        <x:v>1.1000000000000001</x:v>
      </x:c>
      <x:c r="Z25" s="3" t="s">
        <x:v>532</x:v>
      </x:c>
      <x:c r="AA25" s="3" t="s">
        <x:v>677</x:v>
      </x:c>
      <x:c r="AB25" s="3"/>
      <x:c r="AC25" s="3">
        <x:v>1.8</x:v>
      </x:c>
      <x:c r="AD25" s="3" t="s">
        <x:v>868</x:v>
      </x:c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3" t="s">
        <x:v>516</x:v>
      </x:c>
      <x:c r="AP25" s="4"/>
      <x:c r="AQ25" s="6" t="s">
        <x:v>124</x:v>
      </x:c>
      <x:c r="AR25" s="6" t="s">
        <x:v>124</x:v>
      </x:c>
      <x:c r="AS25" s="7"/>
      <x:c r="AT25" s="7"/>
      <x:c r="AU25" s="7"/>
      <x:c r="AV25" s="7"/>
      <x:c r="AW25" s="7"/>
      <x:c r="AX25" s="7"/>
    </x:row>
    <x:row r="26" spans="1:50" ht="39.54999999999999715783">
      <x:c r="A26" s="3">
        <x:v>23</x:v>
      </x:c>
      <x:c r="B26" s="3" t="s">
        <x:v>721</x:v>
      </x:c>
      <x:c r="C26" s="4"/>
      <x:c r="D26" s="3">
        <x:v>3</x:v>
      </x:c>
      <x:c r="E26" s="3" t="s">
        <x:v>172</x:v>
      </x:c>
      <x:c r="F26" s="3" t="s">
        <x:v>53</x:v>
      </x:c>
      <x:c r="G26" s="3" t="s">
        <x:v>805</x:v>
      </x:c>
      <x:c r="H26" s="4"/>
      <x:c r="I26" s="3" t="s">
        <x:v>57</x:v>
      </x:c>
      <x:c r="J26" s="3" t="s">
        <x:v>663</x:v>
      </x:c>
      <x:c r="K26" s="3" t="s">
        <x:v>742</x:v>
      </x:c>
      <x:c r="L26" s="3" t="s">
        <x:v>55</x:v>
      </x:c>
      <x:c r="M26" s="3" t="s">
        <x:v>383</x:v>
      </x:c>
      <x:c r="N26" s="3" t="s">
        <x:v>620</x:v>
      </x:c>
      <x:c r="O26" s="3" t="s">
        <x:v>677</x:v>
      </x:c>
      <x:c r="P26" s="3"/>
      <x:c r="Q26" s="3">
        <x:v>0.40000000000000002</x:v>
      </x:c>
      <x:c r="R26" s="3" t="s">
        <x:v>620</x:v>
      </x:c>
      <x:c r="S26" s="3" t="s">
        <x:v>677</x:v>
      </x:c>
      <x:c r="T26" s="3"/>
      <x:c r="U26" s="3">
        <x:v>0.40000000000000002</x:v>
      </x:c>
      <x:c r="V26" s="3" t="s">
        <x:v>707</x:v>
      </x:c>
      <x:c r="W26" s="3" t="s">
        <x:v>677</x:v>
      </x:c>
      <x:c r="X26" s="3"/>
      <x:c r="Y26" s="3">
        <x:v>1.6000000000000001</x:v>
      </x:c>
      <x:c r="Z26" s="3" t="s">
        <x:v>706</x:v>
      </x:c>
      <x:c r="AA26" s="3" t="s">
        <x:v>677</x:v>
      </x:c>
      <x:c r="AB26" s="3"/>
      <x:c r="AC26" s="3">
        <x:v>2.1000000000000001</x:v>
      </x:c>
      <x:c r="AD26" s="3" t="s">
        <x:v>873</x:v>
      </x:c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3" t="s">
        <x:v>369</x:v>
      </x:c>
      <x:c r="AP26" s="3" t="s">
        <x:v>232</x:v>
      </x:c>
      <x:c r="AQ26" s="6" t="s">
        <x:v>127</x:v>
      </x:c>
      <x:c r="AR26" s="6" t="s">
        <x:v>124</x:v>
      </x:c>
      <x:c r="AS26" s="7"/>
      <x:c r="AT26" s="7"/>
      <x:c r="AU26" s="7"/>
      <x:c r="AV26" s="7"/>
      <x:c r="AW26" s="7"/>
      <x:c r="AX26" s="7"/>
    </x:row>
    <x:row r="27" spans="1:50" ht="65.84999999999999431566">
      <x:c r="A27" s="3">
        <x:v>24</x:v>
      </x:c>
      <x:c r="B27" s="3" t="s">
        <x:v>727</x:v>
      </x:c>
      <x:c r="C27" s="4"/>
      <x:c r="D27" s="3">
        <x:v>3</x:v>
      </x:c>
      <x:c r="E27" s="3" t="s">
        <x:v>123</x:v>
      </x:c>
      <x:c r="F27" s="3" t="s">
        <x:v>53</x:v>
      </x:c>
      <x:c r="G27" s="3" t="s">
        <x:v>820</x:v>
      </x:c>
      <x:c r="H27" s="4"/>
      <x:c r="I27" s="3" t="s">
        <x:v>57</x:v>
      </x:c>
      <x:c r="J27" s="8" t="s">
        <x:v>909</x:v>
      </x:c>
      <x:c r="K27" s="4"/>
      <x:c r="L27" s="4"/>
      <x:c r="M27" s="3" t="s">
        <x:v>238</x:v>
      </x:c>
      <x:c r="N27" s="3" t="s">
        <x:v>705</x:v>
      </x:c>
      <x:c r="O27" s="3" t="s">
        <x:v>677</x:v>
      </x:c>
      <x:c r="P27" s="3"/>
      <x:c r="Q27" s="3">
        <x:v>0.22700000000000001</x:v>
      </x:c>
      <x:c r="R27" s="3" t="s">
        <x:v>705</x:v>
      </x:c>
      <x:c r="S27" s="3" t="s">
        <x:v>677</x:v>
      </x:c>
      <x:c r="T27" s="3"/>
      <x:c r="U27" s="3">
        <x:v>0.22700000000000001</x:v>
      </x:c>
      <x:c r="V27" s="3" t="s">
        <x:v>714</x:v>
      </x:c>
      <x:c r="W27" s="3" t="s">
        <x:v>677</x:v>
      </x:c>
      <x:c r="X27" s="3"/>
      <x:c r="Y27" s="3">
        <x:v>0.45000000000000001</x:v>
      </x:c>
      <x:c r="Z27" s="3" t="s">
        <x:v>712</x:v>
      </x:c>
      <x:c r="AA27" s="3" t="s">
        <x:v>677</x:v>
      </x:c>
      <x:c r="AB27" s="3"/>
      <x:c r="AC27" s="3">
        <x:v>0.90000000000000002</x:v>
      </x:c>
      <x:c r="AD27" s="3" t="s">
        <x:v>325</x:v>
      </x:c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8" t="s">
        <x:v>303</x:v>
      </x:c>
      <x:c r="AP27" s="4"/>
      <x:c r="AQ27" s="6" t="s">
        <x:v>124</x:v>
      </x:c>
      <x:c r="AR27" s="6" t="s">
        <x:v>124</x:v>
      </x:c>
      <x:c r="AS27" s="7"/>
      <x:c r="AT27" s="7"/>
      <x:c r="AU27" s="7"/>
      <x:c r="AV27" s="7"/>
      <x:c r="AW27" s="7"/>
      <x:c r="AX27" s="7"/>
    </x:row>
    <x:row r="28" spans="1:50" ht="158.05000000000001136868">
      <x:c r="A28" s="3">
        <x:v>25</x:v>
      </x:c>
      <x:c r="B28" s="3" t="s">
        <x:v>656</x:v>
      </x:c>
      <x:c r="C28" s="4"/>
      <x:c r="D28" s="3">
        <x:v>3</x:v>
      </x:c>
      <x:c r="E28" s="3" t="s">
        <x:v>36</x:v>
      </x:c>
      <x:c r="F28" s="3" t="s">
        <x:v>69</x:v>
      </x:c>
      <x:c r="G28" s="3" t="s">
        <x:v>817</x:v>
      </x:c>
      <x:c r="H28" s="4"/>
      <x:c r="I28" s="3" t="s">
        <x:v>57</x:v>
      </x:c>
      <x:c r="J28" s="3" t="s">
        <x:v>653</x:v>
      </x:c>
      <x:c r="K28" s="4"/>
      <x:c r="L28" s="4"/>
      <x:c r="M28" s="3" t="s">
        <x:v>376</x:v>
      </x:c>
      <x:c r="N28" s="3" t="s">
        <x:v>687</x:v>
      </x:c>
      <x:c r="O28" s="3" t="s">
        <x:v>677</x:v>
      </x:c>
      <x:c r="P28" s="3"/>
      <x:c r="Q28" s="3">
        <x:v>0.65400000000000003</x:v>
      </x:c>
      <x:c r="R28" s="3" t="s">
        <x:v>687</x:v>
      </x:c>
      <x:c r="S28" s="3" t="s">
        <x:v>677</x:v>
      </x:c>
      <x:c r="T28" s="3"/>
      <x:c r="U28" s="3">
        <x:v>0.65400000000000003</x:v>
      </x:c>
      <x:c r="V28" s="3" t="s">
        <x:v>698</x:v>
      </x:c>
      <x:c r="W28" s="3" t="s">
        <x:v>677</x:v>
      </x:c>
      <x:c r="X28" s="3"/>
      <x:c r="Y28" s="3">
        <x:v>2.2000000000000002</x:v>
      </x:c>
      <x:c r="Z28" s="3" t="s">
        <x:v>713</x:v>
      </x:c>
      <x:c r="AA28" s="3" t="s">
        <x:v>677</x:v>
      </x:c>
      <x:c r="AB28" s="3"/>
      <x:c r="AC28" s="3">
        <x:v>3.2999999999999998</x:v>
      </x:c>
      <x:c r="AD28" s="3" t="s">
        <x:v>969</x:v>
      </x:c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3" t="s">
        <x:v>256</x:v>
      </x:c>
      <x:c r="AP28" s="3" t="s">
        <x:v>228</x:v>
      </x:c>
      <x:c r="AQ28" s="6" t="s">
        <x:v>124</x:v>
      </x:c>
      <x:c r="AR28" s="6" t="s">
        <x:v>124</x:v>
      </x:c>
      <x:c r="AS28" s="7"/>
      <x:c r="AT28" s="7"/>
      <x:c r="AU28" s="7"/>
      <x:c r="AV28" s="7"/>
      <x:c r="AW28" s="7"/>
      <x:c r="AX28" s="7"/>
    </x:row>
    <x:row r="29" spans="1:50" ht="26.35000000000000142109">
      <x:c r="A29" s="3">
        <x:v>26</x:v>
      </x:c>
      <x:c r="B29" s="3" t="s">
        <x:v>819</x:v>
      </x:c>
      <x:c r="C29" s="3" t="s">
        <x:v>677</x:v>
      </x:c>
      <x:c r="D29" s="3">
        <x:v>3</x:v>
      </x:c>
      <x:c r="E29" s="3" t="s">
        <x:v>129</x:v>
      </x:c>
      <x:c r="F29" s="3" t="s">
        <x:v>69</x:v>
      </x:c>
      <x:c r="G29" s="3" t="s">
        <x:v>795</x:v>
      </x:c>
      <x:c r="H29" s="3" t="s">
        <x:v>57</x:v>
      </x:c>
      <x:c r="I29" s="4"/>
      <x:c r="J29" s="8" t="s">
        <x:v>421</x:v>
      </x:c>
      <x:c r="K29" s="3" t="s">
        <x:v>822</x:v>
      </x:c>
      <x:c r="L29" s="3" t="s">
        <x:v>55</x:v>
      </x:c>
      <x:c r="M29" s="3" t="s">
        <x:v>297</x:v>
      </x:c>
      <x:c r="N29" s="3" t="s">
        <x:v>532</x:v>
      </x:c>
      <x:c r="O29" s="3" t="s">
        <x:v>677</x:v>
      </x:c>
      <x:c r="P29" s="3"/>
      <x:c r="Q29" s="3">
        <x:v>0.44</x:v>
      </x:c>
      <x:c r="R29" s="3" t="s">
        <x:v>532</x:v>
      </x:c>
      <x:c r="S29" s="3" t="s">
        <x:v>677</x:v>
      </x:c>
      <x:c r="T29" s="3"/>
      <x:c r="U29" s="3">
        <x:v>0.44</x:v>
      </x:c>
      <x:c r="V29" s="3" t="s">
        <x:v>618</x:v>
      </x:c>
      <x:c r="W29" s="3" t="s">
        <x:v>677</x:v>
      </x:c>
      <x:c r="X29" s="3"/>
      <x:c r="Y29" s="3">
        <x:v>0.88</x:v>
      </x:c>
      <x:c r="Z29" s="3" t="s">
        <x:v>530</x:v>
      </x:c>
      <x:c r="AA29" s="3" t="s">
        <x:v>677</x:v>
      </x:c>
      <x:c r="AB29" s="3"/>
      <x:c r="AC29" s="3">
        <x:v>1.3999999999999999</x:v>
      </x:c>
      <x:c r="AD29" s="3" t="s">
        <x:v>975</x:v>
      </x:c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3" t="s">
        <x:v>547</x:v>
      </x:c>
      <x:c r="AP29" s="3" t="s">
        <x:v>993</x:v>
      </x:c>
      <x:c r="AQ29" s="6" t="s">
        <x:v>124</x:v>
      </x:c>
      <x:c r="AR29" s="6" t="s">
        <x:v>124</x:v>
      </x:c>
      <x:c r="AS29" s="7"/>
      <x:c r="AT29" s="7"/>
      <x:c r="AU29" s="7"/>
      <x:c r="AV29" s="7"/>
      <x:c r="AW29" s="7"/>
      <x:c r="AX29" s="7"/>
    </x:row>
    <x:row r="30" spans="1:50" ht="26.35000000000000142109">
      <x:c r="A30" s="3">
        <x:v>27</x:v>
      </x:c>
      <x:c r="B30" s="3" t="s">
        <x:v>632</x:v>
      </x:c>
      <x:c r="C30" s="4"/>
      <x:c r="D30" s="3">
        <x:v>3</x:v>
      </x:c>
      <x:c r="E30" s="3" t="s">
        <x:v>113</x:v>
      </x:c>
      <x:c r="F30" s="3" t="s">
        <x:v>69</x:v>
      </x:c>
      <x:c r="G30" s="3" t="s">
        <x:v>816</x:v>
      </x:c>
      <x:c r="H30" s="4"/>
      <x:c r="I30" s="3" t="s">
        <x:v>57</x:v>
      </x:c>
      <x:c r="J30" s="3" t="s">
        <x:v>669</x:v>
      </x:c>
      <x:c r="K30" s="3" t="s">
        <x:v>669</x:v>
      </x:c>
      <x:c r="L30" s="3" t="s">
        <x:v>61</x:v>
      </x:c>
      <x:c r="M30" s="3" t="s">
        <x:v>11</x:v>
      </x:c>
      <x:c r="N30" s="3" t="s">
        <x:v>711</x:v>
      </x:c>
      <x:c r="O30" s="3" t="s">
        <x:v>677</x:v>
      </x:c>
      <x:c r="P30" s="3"/>
      <x:c r="Q30" s="3">
        <x:v>0.12</x:v>
      </x:c>
      <x:c r="R30" s="3" t="s">
        <x:v>711</x:v>
      </x:c>
      <x:c r="S30" s="3" t="s">
        <x:v>677</x:v>
      </x:c>
      <x:c r="T30" s="3"/>
      <x:c r="U30" s="3">
        <x:v>0.12</x:v>
      </x:c>
      <x:c r="V30" s="3" t="s">
        <x:v>691</x:v>
      </x:c>
      <x:c r="W30" s="3" t="s">
        <x:v>677</x:v>
      </x:c>
      <x:c r="X30" s="3"/>
      <x:c r="Y30" s="3">
        <x:v>2.2000000000000002</x:v>
      </x:c>
      <x:c r="Z30" s="3" t="s">
        <x:v>617</x:v>
      </x:c>
      <x:c r="AA30" s="3" t="s">
        <x:v>677</x:v>
      </x:c>
      <x:c r="AB30" s="3"/>
      <x:c r="AC30" s="3">
        <x:v>2.3999999999999999</x:v>
      </x:c>
      <x:c r="AD30" s="3" t="s">
        <x:v>987</x:v>
      </x:c>
      <x:c r="AE30" s="4"/>
      <x:c r="AF30" s="3" t="s">
        <x:v>671</x:v>
      </x:c>
      <x:c r="AG30" s="3" t="s">
        <x:v>716</x:v>
      </x:c>
      <x:c r="AH30" s="3" t="s">
        <x:v>688</x:v>
      </x:c>
      <x:c r="AI30" s="3" t="s">
        <x:v>125</x:v>
      </x:c>
      <x:c r="AJ30" s="3" t="s">
        <x:v>655</x:v>
      </x:c>
      <x:c r="AK30" s="3" t="s">
        <x:v>688</x:v>
      </x:c>
      <x:c r="AL30" s="3" t="s">
        <x:v>671</x:v>
      </x:c>
      <x:c r="AM30" s="3" t="s">
        <x:v>811</x:v>
      </x:c>
      <x:c r="AN30" s="4"/>
      <x:c r="AO30" s="3" t="s">
        <x:v>359</x:v>
      </x:c>
      <x:c r="AP30" s="4"/>
      <x:c r="AQ30" s="6" t="s">
        <x:v>124</x:v>
      </x:c>
      <x:c r="AR30" s="6" t="s">
        <x:v>124</x:v>
      </x:c>
      <x:c r="AS30" s="7"/>
      <x:c r="AT30" s="7"/>
      <x:c r="AU30" s="7"/>
      <x:c r="AV30" s="7"/>
      <x:c r="AW30" s="7"/>
      <x:c r="AX30" s="7"/>
    </x:row>
    <x:row r="31" spans="1:50" ht="79.04999999999999715783">
      <x:c r="A31" s="3">
        <x:v>28</x:v>
      </x:c>
      <x:c r="B31" s="3" t="s">
        <x:v>420</x:v>
      </x:c>
      <x:c r="C31" s="4"/>
      <x:c r="D31" s="3">
        <x:v>3</x:v>
      </x:c>
      <x:c r="E31" s="3" t="s">
        <x:v>122</x:v>
      </x:c>
      <x:c r="F31" s="3" t="s">
        <x:v>53</x:v>
      </x:c>
      <x:c r="G31" s="3" t="s">
        <x:v>792</x:v>
      </x:c>
      <x:c r="H31" s="4"/>
      <x:c r="I31" s="3" t="s">
        <x:v>57</x:v>
      </x:c>
      <x:c r="J31" s="3" t="s">
        <x:v>663</x:v>
      </x:c>
      <x:c r="K31" s="4"/>
      <x:c r="L31" s="4"/>
      <x:c r="M31" s="3" t="s">
        <x:v>855</x:v>
      </x:c>
      <x:c r="N31" s="3" t="s">
        <x:v>619</x:v>
      </x:c>
      <x:c r="O31" s="3" t="s">
        <x:v>677</x:v>
      </x:c>
      <x:c r="P31" s="3"/>
      <x:c r="Q31" s="3">
        <x:v>0.80000000000000004</x:v>
      </x:c>
      <x:c r="R31" s="3" t="s">
        <x:v>619</x:v>
      </x:c>
      <x:c r="S31" s="3" t="s">
        <x:v>677</x:v>
      </x:c>
      <x:c r="T31" s="3"/>
      <x:c r="U31" s="3">
        <x:v>0.80000000000000004</x:v>
      </x:c>
      <x:c r="V31" s="3" t="s">
        <x:v>645</x:v>
      </x:c>
      <x:c r="W31" s="3" t="s">
        <x:v>677</x:v>
      </x:c>
      <x:c r="X31" s="3"/>
      <x:c r="Y31" s="3">
        <x:v>1.5</x:v>
      </x:c>
      <x:c r="Z31" s="3" t="s">
        <x:v>719</x:v>
      </x:c>
      <x:c r="AA31" s="3" t="s">
        <x:v>677</x:v>
      </x:c>
      <x:c r="AB31" s="3"/>
      <x:c r="AC31" s="3">
        <x:v>1.8</x:v>
      </x:c>
      <x:c r="AD31" s="3" t="s">
        <x:v>867</x:v>
      </x:c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3" t="s">
        <x:v>403</x:v>
      </x:c>
      <x:c r="AP31" s="3" t="s">
        <x:v>296</x:v>
      </x:c>
      <x:c r="AQ31" s="6" t="s">
        <x:v>124</x:v>
      </x:c>
      <x:c r="AR31" s="6" t="s">
        <x:v>124</x:v>
      </x:c>
      <x:c r="AS31" s="7"/>
      <x:c r="AT31" s="7"/>
      <x:c r="AU31" s="7"/>
      <x:c r="AV31" s="7"/>
      <x:c r="AW31" s="7"/>
      <x:c r="AX31" s="7"/>
    </x:row>
    <x:row r="32" spans="1:50" ht="131.69999999999998863132">
      <x:c r="A32" s="3">
        <x:v>29</x:v>
      </x:c>
      <x:c r="B32" s="3" t="s">
        <x:v>794</x:v>
      </x:c>
      <x:c r="C32" s="4"/>
      <x:c r="D32" s="3">
        <x:v>3</x:v>
      </x:c>
      <x:c r="E32" s="3" t="s">
        <x:v>164</x:v>
      </x:c>
      <x:c r="F32" s="3" t="s">
        <x:v>69</x:v>
      </x:c>
      <x:c r="G32" s="3" t="s">
        <x:v>814</x:v>
      </x:c>
      <x:c r="H32" s="4"/>
      <x:c r="I32" s="3" t="s">
        <x:v>57</x:v>
      </x:c>
      <x:c r="J32" s="3" t="s">
        <x:v>653</x:v>
      </x:c>
      <x:c r="K32" s="4"/>
      <x:c r="L32" s="4"/>
      <x:c r="M32" s="3" t="s">
        <x:v>13</x:v>
      </x:c>
      <x:c r="N32" s="3" t="s">
        <x:v>750</x:v>
      </x:c>
      <x:c r="O32" s="3" t="s">
        <x:v>677</x:v>
      </x:c>
      <x:c r="P32" s="3"/>
      <x:c r="Q32" s="3">
        <x:v>0.34999999999999998</x:v>
      </x:c>
      <x:c r="R32" s="3" t="s">
        <x:v>750</x:v>
      </x:c>
      <x:c r="S32" s="3" t="s">
        <x:v>677</x:v>
      </x:c>
      <x:c r="T32" s="3"/>
      <x:c r="U32" s="3">
        <x:v>0.34999999999999998</x:v>
      </x:c>
      <x:c r="V32" s="3" t="s">
        <x:v>745</x:v>
      </x:c>
      <x:c r="W32" s="3" t="s">
        <x:v>677</x:v>
      </x:c>
      <x:c r="X32" s="3"/>
      <x:c r="Y32" s="3">
        <x:v>1.8999999999999999</x:v>
      </x:c>
      <x:c r="Z32" s="3" t="s">
        <x:v>702</x:v>
      </x:c>
      <x:c r="AA32" s="3" t="s">
        <x:v>677</x:v>
      </x:c>
      <x:c r="AB32" s="3"/>
      <x:c r="AC32" s="3">
        <x:v>2.1000000000000001</x:v>
      </x:c>
      <x:c r="AD32" s="3" t="s">
        <x:v>889</x:v>
      </x:c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3" t="s">
        <x:v>0</x:v>
      </x:c>
      <x:c r="AP32" s="3" t="s">
        <x:v>399</x:v>
      </x:c>
      <x:c r="AQ32" s="6" t="s">
        <x:v>124</x:v>
      </x:c>
      <x:c r="AR32" s="6" t="s">
        <x:v>124</x:v>
      </x:c>
      <x:c r="AS32" s="7"/>
      <x:c r="AT32" s="7"/>
      <x:c r="AU32" s="7"/>
      <x:c r="AV32" s="7"/>
      <x:c r="AW32" s="7"/>
      <x:c r="AX32" s="7"/>
    </x:row>
    <x:row r="33" spans="1:50" ht="26.35000000000000142109">
      <x:c r="A33" s="3">
        <x:v>30</x:v>
      </x:c>
      <x:c r="B33" s="3" t="s">
        <x:v>425</x:v>
      </x:c>
      <x:c r="C33" s="3" t="s">
        <x:v>677</x:v>
      </x:c>
      <x:c r="D33" s="3">
        <x:v>3</x:v>
      </x:c>
      <x:c r="E33" s="3" t="s">
        <x:v>156</x:v>
      </x:c>
      <x:c r="F33" s="3" t="s">
        <x:v>69</x:v>
      </x:c>
      <x:c r="G33" s="3" t="s">
        <x:v>430</x:v>
      </x:c>
      <x:c r="H33" s="3" t="s">
        <x:v>57</x:v>
      </x:c>
      <x:c r="I33" s="4"/>
      <x:c r="J33" s="3" t="s">
        <x:v>653</x:v>
      </x:c>
      <x:c r="K33" s="4"/>
      <x:c r="L33" s="4"/>
      <x:c r="M33" s="3" t="s">
        <x:v>856</x:v>
      </x:c>
      <x:c r="N33" s="3" t="s">
        <x:v>704</x:v>
      </x:c>
      <x:c r="O33" s="3" t="s">
        <x:v>677</x:v>
      </x:c>
      <x:c r="P33" s="3"/>
      <x:c r="Q33" s="3">
        <x:v>0.20000000000000001</x:v>
      </x:c>
      <x:c r="R33" s="3" t="s">
        <x:v>704</x:v>
      </x:c>
      <x:c r="S33" s="3" t="s">
        <x:v>677</x:v>
      </x:c>
      <x:c r="T33" s="3"/>
      <x:c r="U33" s="3">
        <x:v>0.20000000000000001</x:v>
      </x:c>
      <x:c r="V33" s="3" t="s">
        <x:v>746</x:v>
      </x:c>
      <x:c r="W33" s="3" t="s">
        <x:v>677</x:v>
      </x:c>
      <x:c r="X33" s="3"/>
      <x:c r="Y33" s="3">
        <x:v>2.2000000000000002</x:v>
      </x:c>
      <x:c r="Z33" s="3" t="s">
        <x:v>713</x:v>
      </x:c>
      <x:c r="AA33" s="3" t="s">
        <x:v>677</x:v>
      </x:c>
      <x:c r="AB33" s="3"/>
      <x:c r="AC33" s="3">
        <x:v>2.5</x:v>
      </x:c>
      <x:c r="AD33" s="3" t="s">
        <x:v>965</x:v>
      </x:c>
      <x:c r="AE33" s="4"/>
      <x:c r="AF33" s="3" t="s">
        <x:v>671</x:v>
      </x:c>
      <x:c r="AG33" s="3" t="s">
        <x:v>716</x:v>
      </x:c>
      <x:c r="AH33" s="3" t="s">
        <x:v>688</x:v>
      </x:c>
      <x:c r="AI33" s="3" t="s">
        <x:v>671</x:v>
      </x:c>
      <x:c r="AJ33" s="3" t="s">
        <x:v>811</x:v>
      </x:c>
      <x:c r="AK33" s="4"/>
      <x:c r="AL33" s="4"/>
      <x:c r="AM33" s="4"/>
      <x:c r="AN33" s="4"/>
      <x:c r="AO33" s="3"/>
      <x:c r="AP33" s="3" t="s">
        <x:v>260</x:v>
      </x:c>
      <x:c r="AQ33" s="6" t="s">
        <x:v>124</x:v>
      </x:c>
      <x:c r="AR33" s="6" t="s">
        <x:v>124</x:v>
      </x:c>
      <x:c r="AS33" s="7"/>
      <x:c r="AT33" s="7"/>
      <x:c r="AU33" s="7"/>
      <x:c r="AV33" s="7"/>
      <x:c r="AW33" s="7"/>
      <x:c r="AX33" s="7"/>
    </x:row>
    <x:row r="34" spans="1:50" ht="26.35000000000000142109">
      <x:c r="A34" s="3">
        <x:v>31</x:v>
      </x:c>
      <x:c r="B34" s="3" t="s">
        <x:v>650</x:v>
      </x:c>
      <x:c r="C34" s="3" t="s">
        <x:v>677</x:v>
      </x:c>
      <x:c r="D34" s="3">
        <x:v>3</x:v>
      </x:c>
      <x:c r="E34" s="3" t="s">
        <x:v>121</x:v>
      </x:c>
      <x:c r="F34" s="3" t="s">
        <x:v>69</x:v>
      </x:c>
      <x:c r="G34" s="3" t="s">
        <x:v>810</x:v>
      </x:c>
      <x:c r="H34" s="3" t="s">
        <x:v>57</x:v>
      </x:c>
      <x:c r="I34" s="4"/>
      <x:c r="J34" s="3" t="s">
        <x:v>653</x:v>
      </x:c>
      <x:c r="K34" s="4"/>
      <x:c r="L34" s="4"/>
      <x:c r="M34" s="3" t="s">
        <x:v>24</x:v>
      </x:c>
      <x:c r="N34" s="3" t="s">
        <x:v>707</x:v>
      </x:c>
      <x:c r="O34" s="3" t="s">
        <x:v>677</x:v>
      </x:c>
      <x:c r="P34" s="3"/>
      <x:c r="Q34" s="3">
        <x:v>0.58899999999999997</x:v>
      </x:c>
      <x:c r="R34" s="3" t="s">
        <x:v>707</x:v>
      </x:c>
      <x:c r="S34" s="3" t="s">
        <x:v>677</x:v>
      </x:c>
      <x:c r="T34" s="3"/>
      <x:c r="U34" s="3">
        <x:v>0.58899999999999997</x:v>
      </x:c>
      <x:c r="V34" s="3" t="s">
        <x:v>691</x:v>
      </x:c>
      <x:c r="W34" s="3" t="s">
        <x:v>677</x:v>
      </x:c>
      <x:c r="X34" s="3"/>
      <x:c r="Y34" s="3">
        <x:v>1.3</x:v>
      </x:c>
      <x:c r="Z34" s="3" t="s">
        <x:v>706</x:v>
      </x:c>
      <x:c r="AA34" s="3" t="s">
        <x:v>677</x:v>
      </x:c>
      <x:c r="AB34" s="3"/>
      <x:c r="AC34" s="3">
        <x:v>1.3</x:v>
      </x:c>
      <x:c r="AD34" s="3" t="s">
        <x:v>966</x:v>
      </x:c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3" t="s">
        <x:v>378</x:v>
      </x:c>
      <x:c r="AQ34" s="6" t="s">
        <x:v>124</x:v>
      </x:c>
      <x:c r="AR34" s="6" t="s">
        <x:v>124</x:v>
      </x:c>
      <x:c r="AS34" s="7"/>
      <x:c r="AT34" s="7"/>
      <x:c r="AU34" s="7"/>
      <x:c r="AV34" s="7"/>
      <x:c r="AW34" s="7"/>
      <x:c r="AX34" s="7"/>
    </x:row>
    <x:row r="35" spans="1:50" ht="26.35000000000000142109">
      <x:c r="A35" s="3">
        <x:v>32</x:v>
      </x:c>
      <x:c r="B35" s="3" t="s">
        <x:v>650</x:v>
      </x:c>
      <x:c r="C35" s="3" t="s">
        <x:v>677</x:v>
      </x:c>
      <x:c r="D35" s="3">
        <x:v>3</x:v>
      </x:c>
      <x:c r="E35" s="3" t="s">
        <x:v>151</x:v>
      </x:c>
      <x:c r="F35" s="3" t="s">
        <x:v>69</x:v>
      </x:c>
      <x:c r="G35" s="3" t="s">
        <x:v>807</x:v>
      </x:c>
      <x:c r="H35" s="3" t="s">
        <x:v>57</x:v>
      </x:c>
      <x:c r="I35" s="4"/>
      <x:c r="J35" s="3" t="s">
        <x:v>669</x:v>
      </x:c>
      <x:c r="K35" s="4"/>
      <x:c r="L35" s="4"/>
      <x:c r="M35" s="3" t="s">
        <x:v>280</x:v>
      </x:c>
      <x:c r="N35" s="3" t="s">
        <x:v>691</x:v>
      </x:c>
      <x:c r="O35" s="3" t="s">
        <x:v>677</x:v>
      </x:c>
      <x:c r="P35" s="3"/>
      <x:c r="Q35" s="3">
        <x:v>0.25</x:v>
      </x:c>
      <x:c r="R35" s="3" t="s">
        <x:v>691</x:v>
      </x:c>
      <x:c r="S35" s="3" t="s">
        <x:v>677</x:v>
      </x:c>
      <x:c r="T35" s="3"/>
      <x:c r="U35" s="3">
        <x:v>0.25</x:v>
      </x:c>
      <x:c r="V35" s="3" t="s">
        <x:v>617</x:v>
      </x:c>
      <x:c r="W35" s="3" t="s">
        <x:v>677</x:v>
      </x:c>
      <x:c r="X35" s="3"/>
      <x:c r="Y35" s="3">
        <x:v>1.1000000000000001</x:v>
      </x:c>
      <x:c r="Z35" s="3" t="s">
        <x:v>707</x:v>
      </x:c>
      <x:c r="AA35" s="3" t="s">
        <x:v>677</x:v>
      </x:c>
      <x:c r="AB35" s="3"/>
      <x:c r="AC35" s="3">
        <x:v>1.3</x:v>
      </x:c>
      <x:c r="AD35" s="3" t="s">
        <x:v>967</x:v>
      </x:c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3" t="s">
        <x:v>521</x:v>
      </x:c>
      <x:c r="AQ35" s="6" t="s">
        <x:v>124</x:v>
      </x:c>
      <x:c r="AR35" s="6" t="s">
        <x:v>124</x:v>
      </x:c>
      <x:c r="AS35" s="7"/>
      <x:c r="AT35" s="7"/>
      <x:c r="AU35" s="7"/>
      <x:c r="AV35" s="7"/>
      <x:c r="AW35" s="7"/>
      <x:c r="AX35" s="7"/>
    </x:row>
    <x:row r="36" spans="1:50" ht="39.54999999999999715783">
      <x:c r="A36" s="3">
        <x:v>33</x:v>
      </x:c>
      <x:c r="B36" s="3" t="s">
        <x:v>650</x:v>
      </x:c>
      <x:c r="C36" s="3" t="s">
        <x:v>677</x:v>
      </x:c>
      <x:c r="D36" s="3">
        <x:v>3</x:v>
      </x:c>
      <x:c r="E36" s="3" t="s">
        <x:v>173</x:v>
      </x:c>
      <x:c r="F36" s="3" t="s">
        <x:v>69</x:v>
      </x:c>
      <x:c r="G36" s="3" t="s">
        <x:v>433</x:v>
      </x:c>
      <x:c r="H36" s="3" t="s">
        <x:v>57</x:v>
      </x:c>
      <x:c r="I36" s="4"/>
      <x:c r="J36" s="3" t="s">
        <x:v>653</x:v>
      </x:c>
      <x:c r="K36" s="4"/>
      <x:c r="L36" s="4"/>
      <x:c r="M36" s="3" t="s">
        <x:v>285</x:v>
      </x:c>
      <x:c r="N36" s="3" t="s">
        <x:v>706</x:v>
      </x:c>
      <x:c r="O36" s="3" t="s">
        <x:v>677</x:v>
      </x:c>
      <x:c r="P36" s="3"/>
      <x:c r="Q36" s="3">
        <x:v>0.76000000000000001</x:v>
      </x:c>
      <x:c r="R36" s="3" t="s">
        <x:v>706</x:v>
      </x:c>
      <x:c r="S36" s="3" t="s">
        <x:v>677</x:v>
      </x:c>
      <x:c r="T36" s="3"/>
      <x:c r="U36" s="3">
        <x:v>0.76000000000000001</x:v>
      </x:c>
      <x:c r="V36" s="3" t="s">
        <x:v>707</x:v>
      </x:c>
      <x:c r="W36" s="3" t="s">
        <x:v>677</x:v>
      </x:c>
      <x:c r="X36" s="3"/>
      <x:c r="Y36" s="3">
        <x:v>0.32000000000000001</x:v>
      </x:c>
      <x:c r="Z36" s="3" t="s">
        <x:v>691</x:v>
      </x:c>
      <x:c r="AA36" s="3" t="s">
        <x:v>677</x:v>
      </x:c>
      <x:c r="AB36" s="3"/>
      <x:c r="AC36" s="3">
        <x:v>1.3</x:v>
      </x:c>
      <x:c r="AD36" s="3" t="s">
        <x:v>869</x:v>
      </x:c>
      <x:c r="AE36" s="4"/>
      <x:c r="AF36" s="3" t="s">
        <x:v>671</x:v>
      </x:c>
      <x:c r="AG36" s="3" t="s">
        <x:v>716</x:v>
      </x:c>
      <x:c r="AH36" s="3" t="s">
        <x:v>688</x:v>
      </x:c>
      <x:c r="AI36" s="3" t="s">
        <x:v>671</x:v>
      </x:c>
      <x:c r="AJ36" s="3" t="s">
        <x:v>811</x:v>
      </x:c>
      <x:c r="AK36" s="4"/>
      <x:c r="AL36" s="3" t="s">
        <x:v>717</x:v>
      </x:c>
      <x:c r="AM36" s="3" t="s">
        <x:v>703</x:v>
      </x:c>
      <x:c r="AN36" s="3" t="s">
        <x:v>688</x:v>
      </x:c>
      <x:c r="AO36" s="4"/>
      <x:c r="AP36" s="3" t="s">
        <x:v>413</x:v>
      </x:c>
      <x:c r="AQ36" s="6" t="s">
        <x:v>124</x:v>
      </x:c>
      <x:c r="AR36" s="6" t="s">
        <x:v>124</x:v>
      </x:c>
      <x:c r="AS36" s="7"/>
      <x:c r="AT36" s="7"/>
      <x:c r="AU36" s="7"/>
      <x:c r="AV36" s="7"/>
      <x:c r="AW36" s="7"/>
      <x:c r="AX36" s="7"/>
    </x:row>
    <x:row r="37" spans="1:50" ht="26.35000000000000142109">
      <x:c r="A37" s="3">
        <x:v>34</x:v>
      </x:c>
      <x:c r="B37" s="3" t="s">
        <x:v>429</x:v>
      </x:c>
      <x:c r="C37" s="3" t="s">
        <x:v>666</x:v>
      </x:c>
      <x:c r="D37" s="3">
        <x:v>3</x:v>
      </x:c>
      <x:c r="E37" s="3" t="s">
        <x:v>161</x:v>
      </x:c>
      <x:c r="F37" s="3" t="s">
        <x:v>69</x:v>
      </x:c>
      <x:c r="G37" s="3" t="s">
        <x:v>808</x:v>
      </x:c>
      <x:c r="H37" s="3" t="s">
        <x:v>57</x:v>
      </x:c>
      <x:c r="I37" s="4"/>
      <x:c r="J37" s="3" t="s">
        <x:v>653</x:v>
      </x:c>
      <x:c r="K37" s="4"/>
      <x:c r="L37" s="4"/>
      <x:c r="M37" s="3" t="s">
        <x:v>522</x:v>
      </x:c>
      <x:c r="N37" s="3" t="s">
        <x:v>744</x:v>
      </x:c>
      <x:c r="O37" s="3" t="s">
        <x:v>677</x:v>
      </x:c>
      <x:c r="P37" s="3"/>
      <x:c r="Q37" s="3">
        <x:v>0.46999999999999997</x:v>
      </x:c>
      <x:c r="R37" s="3" t="s">
        <x:v>744</x:v>
      </x:c>
      <x:c r="S37" s="3" t="s">
        <x:v>677</x:v>
      </x:c>
      <x:c r="T37" s="48"/>
      <x:c r="U37" s="13">
        <x:v>0.46999999999999997</x:v>
      </x:c>
      <x:c r="V37" s="3" t="s">
        <x:v>712</x:v>
      </x:c>
      <x:c r="W37" s="3" t="s">
        <x:v>677</x:v>
      </x:c>
      <x:c r="X37" s="3"/>
      <x:c r="Y37" s="3">
        <x:v>0.96999999999999997</x:v>
      </x:c>
      <x:c r="Z37" s="3" t="s">
        <x:v>730</x:v>
      </x:c>
      <x:c r="AA37" s="3" t="s">
        <x:v>677</x:v>
      </x:c>
      <x:c r="AB37" s="3"/>
      <x:c r="AC37" s="3">
        <x:v>1.1000000000000001</x:v>
      </x:c>
      <x:c r="AD37" s="3" t="s">
        <x:v>885</x:v>
      </x:c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3" t="s">
        <x:v>241</x:v>
      </x:c>
      <x:c r="AQ37" s="6" t="s">
        <x:v>124</x:v>
      </x:c>
      <x:c r="AR37" s="6" t="s">
        <x:v>124</x:v>
      </x:c>
      <x:c r="AS37" s="7"/>
      <x:c r="AT37" s="7"/>
      <x:c r="AU37" s="7"/>
      <x:c r="AV37" s="7"/>
      <x:c r="AW37" s="7"/>
      <x:c r="AX37" s="7"/>
    </x:row>
    <x:row r="38" spans="1:50" ht="65.84999999999999431566">
      <x:c r="A38" s="3">
        <x:v>35</x:v>
      </x:c>
      <x:c r="B38" s="3" t="s">
        <x:v>309</x:v>
      </x:c>
      <x:c r="C38" s="4"/>
      <x:c r="D38" s="3">
        <x:v>1</x:v>
      </x:c>
      <x:c r="E38" s="3" t="s">
        <x:v>182</x:v>
      </x:c>
      <x:c r="F38" s="3" t="s">
        <x:v>53</x:v>
      </x:c>
      <x:c r="G38" s="3" t="s">
        <x:v>431</x:v>
      </x:c>
      <x:c r="H38" s="4"/>
      <x:c r="I38" s="3" t="s">
        <x:v>57</x:v>
      </x:c>
      <x:c r="J38" s="3" t="s">
        <x:v>663</x:v>
      </x:c>
      <x:c r="K38" s="4"/>
      <x:c r="L38" s="4"/>
      <x:c r="M38" s="3" t="s">
        <x:v>371</x:v>
      </x:c>
      <x:c r="N38" s="3" t="s">
        <x:v>531</x:v>
      </x:c>
      <x:c r="O38" s="3" t="s">
        <x:v>677</x:v>
      </x:c>
      <x:c r="P38" s="3"/>
      <x:c r="Q38" s="3">
        <x:v>0.32100000000000001</x:v>
      </x:c>
      <x:c r="R38" s="3" t="s">
        <x:v>531</x:v>
      </x:c>
      <x:c r="S38" s="3" t="s">
        <x:v>677</x:v>
      </x:c>
      <x:c r="T38" s="3"/>
      <x:c r="U38" s="3">
        <x:v>0.32100000000000001</x:v>
      </x:c>
      <x:c r="V38" s="3" t="s">
        <x:v>532</x:v>
      </x:c>
      <x:c r="W38" s="3" t="s">
        <x:v>677</x:v>
      </x:c>
      <x:c r="X38" s="3"/>
      <x:c r="Y38" s="3">
        <x:v>0.69999999999999996</x:v>
      </x:c>
      <x:c r="Z38" s="3" t="s">
        <x:v>725</x:v>
      </x:c>
      <x:c r="AA38" s="3" t="s">
        <x:v>677</x:v>
      </x:c>
      <x:c r="AB38" s="3"/>
      <x:c r="AC38" s="3">
        <x:v>0.83299999999999996</x:v>
      </x:c>
      <x:c r="AD38" s="3" t="s">
        <x:v>870</x:v>
      </x:c>
      <x:c r="AE38" s="4"/>
      <x:c r="AF38" s="3" t="s">
        <x:v>671</x:v>
      </x:c>
      <x:c r="AG38" s="3" t="s">
        <x:v>716</x:v>
      </x:c>
      <x:c r="AH38" s="3" t="s">
        <x:v>688</x:v>
      </x:c>
      <x:c r="AI38" s="4"/>
      <x:c r="AJ38" s="4"/>
      <x:c r="AK38" s="4"/>
      <x:c r="AL38" s="4"/>
      <x:c r="AM38" s="4"/>
      <x:c r="AN38" s="4"/>
      <x:c r="AO38" s="3" t="s">
        <x:v>304</x:v>
      </x:c>
      <x:c r="AP38" s="3" t="s">
        <x:v>288</x:v>
      </x:c>
      <x:c r="AQ38" s="6" t="s">
        <x:v>124</x:v>
      </x:c>
      <x:c r="AR38" s="6" t="s">
        <x:v>124</x:v>
      </x:c>
      <x:c r="AS38" s="7"/>
      <x:c r="AT38" s="7"/>
      <x:c r="AU38" s="7"/>
      <x:c r="AV38" s="7"/>
      <x:c r="AW38" s="7"/>
      <x:c r="AX38" s="7"/>
    </x:row>
    <x:row r="39" spans="1:50" ht="39.54999999999999715783">
      <x:c r="A39" s="3">
        <x:v>36</x:v>
      </x:c>
      <x:c r="B39" s="3" t="s">
        <x:v>815</x:v>
      </x:c>
      <x:c r="C39" s="4"/>
      <x:c r="D39" s="3">
        <x:v>3</x:v>
      </x:c>
      <x:c r="E39" s="3" t="s">
        <x:v>145</x:v>
      </x:c>
      <x:c r="F39" s="3" t="s">
        <x:v>69</x:v>
      </x:c>
      <x:c r="G39" s="3" t="s">
        <x:v>813</x:v>
      </x:c>
      <x:c r="H39" s="4"/>
      <x:c r="I39" s="3" t="s">
        <x:v>57</x:v>
      </x:c>
      <x:c r="J39" s="3" t="s">
        <x:v>701</x:v>
      </x:c>
      <x:c r="K39" s="3" t="s">
        <x:v>790</x:v>
      </x:c>
      <x:c r="L39" s="3" t="s">
        <x:v>55</x:v>
      </x:c>
      <x:c r="M39" s="3" t="s">
        <x:v>379</x:v>
      </x:c>
      <x:c r="N39" s="3" t="s">
        <x:v>617</x:v>
      </x:c>
      <x:c r="O39" s="3" t="s">
        <x:v>677</x:v>
      </x:c>
      <x:c r="P39" s="3"/>
      <x:c r="Q39" s="3">
        <x:v>0.629</x:v>
      </x:c>
      <x:c r="R39" s="3" t="s">
        <x:v>617</x:v>
      </x:c>
      <x:c r="S39" s="3" t="s">
        <x:v>677</x:v>
      </x:c>
      <x:c r="T39" s="3"/>
      <x:c r="U39" s="3">
        <x:v>0.629</x:v>
      </x:c>
      <x:c r="V39" s="3" t="s">
        <x:v>706</x:v>
      </x:c>
      <x:c r="W39" s="3" t="s">
        <x:v>677</x:v>
      </x:c>
      <x:c r="X39" s="3"/>
      <x:c r="Y39" s="3">
        <x:v>1.3</x:v>
      </x:c>
      <x:c r="Z39" s="3" t="s">
        <x:v>691</x:v>
      </x:c>
      <x:c r="AA39" s="3" t="s">
        <x:v>677</x:v>
      </x:c>
      <x:c r="AB39" s="3"/>
      <x:c r="AC39" s="3">
        <x:v>1.3999999999999999</x:v>
      </x:c>
      <x:c r="AD39" s="3" t="s">
        <x:v>323</x:v>
      </x:c>
      <x:c r="AE39" s="4"/>
      <x:c r="AF39" s="3" t="s">
        <x:v>671</x:v>
      </x:c>
      <x:c r="AG39" s="3" t="s">
        <x:v>716</x:v>
      </x:c>
      <x:c r="AH39" s="3" t="s">
        <x:v>688</x:v>
      </x:c>
      <x:c r="AI39" s="4"/>
      <x:c r="AJ39" s="4"/>
      <x:c r="AK39" s="4"/>
      <x:c r="AL39" s="4"/>
      <x:c r="AM39" s="4"/>
      <x:c r="AN39" s="4"/>
      <x:c r="AO39" s="3" t="s">
        <x:v>269</x:v>
      </x:c>
      <x:c r="AP39" s="3" t="s">
        <x:v>354</x:v>
      </x:c>
      <x:c r="AQ39" s="6" t="s">
        <x:v>124</x:v>
      </x:c>
      <x:c r="AR39" s="6" t="s">
        <x:v>124</x:v>
      </x:c>
      <x:c r="AS39" s="7"/>
      <x:c r="AT39" s="7"/>
      <x:c r="AU39" s="7"/>
      <x:c r="AV39" s="7"/>
      <x:c r="AW39" s="7"/>
      <x:c r="AX39" s="7"/>
    </x:row>
    <x:row r="40" spans="1:50" ht="26.35000000000000142109">
      <x:c r="A40" s="3">
        <x:v>37</x:v>
      </x:c>
      <x:c r="B40" s="3" t="s">
        <x:v>426</x:v>
      </x:c>
      <x:c r="C40" s="3" t="s">
        <x:v>670</x:v>
      </x:c>
      <x:c r="D40" s="3">
        <x:v>3</x:v>
      </x:c>
      <x:c r="E40" s="3" t="s">
        <x:v>158</x:v>
      </x:c>
      <x:c r="F40" s="3" t="s">
        <x:v>53</x:v>
      </x:c>
      <x:c r="G40" s="3" t="s">
        <x:v>435</x:v>
      </x:c>
      <x:c r="H40" s="3" t="s">
        <x:v>57</x:v>
      </x:c>
      <x:c r="I40" s="4"/>
      <x:c r="J40" s="3" t="s">
        <x:v>686</x:v>
      </x:c>
      <x:c r="K40" s="3" t="s">
        <x:v>141</x:v>
      </x:c>
      <x:c r="L40" s="3" t="s">
        <x:v>55</x:v>
      </x:c>
      <x:c r="M40" s="3" t="s">
        <x:v>17</x:v>
      </x:c>
      <x:c r="N40" s="3" t="s">
        <x:v>707</x:v>
      </x:c>
      <x:c r="O40" s="3" t="s">
        <x:v>677</x:v>
      </x:c>
      <x:c r="P40" s="3"/>
      <x:c r="Q40" s="3">
        <x:v>0.31</x:v>
      </x:c>
      <x:c r="R40" s="3" t="s">
        <x:v>706</x:v>
      </x:c>
      <x:c r="S40" s="3" t="s">
        <x:v>670</x:v>
      </x:c>
      <x:c r="T40" s="3"/>
      <x:c r="U40" s="3">
        <x:v>0.98399999999999999</x:v>
      </x:c>
      <x:c r="V40" s="3" t="s">
        <x:v>738</x:v>
      </x:c>
      <x:c r="W40" s="3" t="s">
        <x:v>670</x:v>
      </x:c>
      <x:c r="X40" s="3"/>
      <x:c r="Y40" s="3">
        <x:v>6.0999999999999996</x:v>
      </x:c>
      <x:c r="Z40" s="3" t="s">
        <x:v>616</x:v>
      </x:c>
      <x:c r="AA40" s="3" t="s">
        <x:v>670</x:v>
      </x:c>
      <x:c r="AB40" s="3"/>
      <x:c r="AC40" s="3">
        <x:v>11</x:v>
      </x:c>
      <x:c r="AD40" s="3" t="s">
        <x:v>322</x:v>
      </x:c>
      <x:c r="AE40" s="4"/>
      <x:c r="AF40" s="3" t="s">
        <x:v>671</x:v>
      </x:c>
      <x:c r="AG40" s="3" t="s">
        <x:v>811</x:v>
      </x:c>
      <x:c r="AH40" s="4"/>
      <x:c r="AI40" s="4"/>
      <x:c r="AJ40" s="4"/>
      <x:c r="AK40" s="4"/>
      <x:c r="AL40" s="4"/>
      <x:c r="AM40" s="4"/>
      <x:c r="AN40" s="4"/>
      <x:c r="AO40" s="3" t="s">
        <x:v>398</x:v>
      </x:c>
      <x:c r="AP40" s="8" t="s">
        <x:v>670</x:v>
      </x:c>
      <x:c r="AQ40" s="6" t="s">
        <x:v>124</x:v>
      </x:c>
      <x:c r="AR40" s="6" t="s">
        <x:v>124</x:v>
      </x:c>
      <x:c r="AS40" s="7"/>
      <x:c r="AT40" s="7"/>
      <x:c r="AU40" s="7"/>
      <x:c r="AV40" s="7"/>
      <x:c r="AW40" s="7"/>
      <x:c r="AX40" s="7"/>
    </x:row>
    <x:row r="41" spans="1:50" ht="26.35000000000000142109">
      <x:c r="A41" s="3">
        <x:v>38</x:v>
      </x:c>
      <x:c r="B41" s="3" t="s">
        <x:v>317</x:v>
      </x:c>
      <x:c r="C41" s="3" t="s">
        <x:v>677</x:v>
      </x:c>
      <x:c r="D41" s="3">
        <x:v>3</x:v>
      </x:c>
      <x:c r="E41" s="3" t="s">
        <x:v>144</x:v>
      </x:c>
      <x:c r="F41" s="3" t="s">
        <x:v>69</x:v>
      </x:c>
      <x:c r="G41" s="3" t="s">
        <x:v>831</x:v>
      </x:c>
      <x:c r="H41" s="3" t="s">
        <x:v>57</x:v>
      </x:c>
      <x:c r="I41" s="4"/>
      <x:c r="J41" s="3" t="s">
        <x:v>653</x:v>
      </x:c>
      <x:c r="K41" s="3" t="s">
        <x:v>664</x:v>
      </x:c>
      <x:c r="L41" s="3" t="s">
        <x:v>55</x:v>
      </x:c>
      <x:c r="M41" s="3" t="s">
        <x:v>262</x:v>
      </x:c>
      <x:c r="N41" s="3" t="s">
        <x:v>732</x:v>
      </x:c>
      <x:c r="O41" s="3" t="s">
        <x:v>666</x:v>
      </x:c>
      <x:c r="P41" s="3"/>
      <x:c r="Q41" s="3">
        <x:v>0.79000000000000004</x:v>
      </x:c>
      <x:c r="R41" s="4"/>
      <x:c r="S41" s="4"/>
      <x:c r="T41" s="3"/>
      <x:c r="U41" s="4"/>
      <x:c r="V41" s="4"/>
      <x:c r="W41" s="4"/>
      <x:c r="X41" s="3"/>
      <x:c r="Y41" s="4"/>
      <x:c r="Z41" s="4"/>
      <x:c r="AA41" s="4"/>
      <x:c r="AB41" s="3"/>
      <x:c r="AC41" s="4"/>
      <x:c r="AD41" s="3" t="s">
        <x:v>319</x:v>
      </x:c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3" t="s">
        <x:v>1039</x:v>
      </x:c>
      <x:c r="AP41" s="4"/>
      <x:c r="AQ41" s="6" t="s">
        <x:v>124</x:v>
      </x:c>
      <x:c r="AR41" s="6" t="s">
        <x:v>124</x:v>
      </x:c>
      <x:c r="AS41" s="7"/>
      <x:c r="AT41" s="7"/>
      <x:c r="AU41" s="7"/>
      <x:c r="AV41" s="7"/>
      <x:c r="AW41" s="7"/>
      <x:c r="AX41" s="7"/>
    </x:row>
    <x:row r="42" spans="1:50" ht="26.35000000000000142109">
      <x:c r="A42" s="3">
        <x:v>39</x:v>
      </x:c>
      <x:c r="B42" s="3" t="s">
        <x:v>881</x:v>
      </x:c>
      <x:c r="C42" s="3" t="s">
        <x:v>677</x:v>
      </x:c>
      <x:c r="D42" s="3">
        <x:v>3</x:v>
      </x:c>
      <x:c r="E42" s="3" t="s">
        <x:v>116</x:v>
      </x:c>
      <x:c r="F42" s="3" t="s">
        <x:v>69</x:v>
      </x:c>
      <x:c r="G42" s="3" t="s">
        <x:v>824</x:v>
      </x:c>
      <x:c r="H42" s="3" t="s">
        <x:v>57</x:v>
      </x:c>
      <x:c r="I42" s="4"/>
      <x:c r="J42" s="3" t="s">
        <x:v>653</x:v>
      </x:c>
      <x:c r="K42" s="4"/>
      <x:c r="L42" s="4"/>
      <x:c r="M42" s="3" t="s">
        <x:v>271</x:v>
      </x:c>
      <x:c r="N42" s="3" t="s">
        <x:v>732</x:v>
      </x:c>
      <x:c r="O42" s="3" t="s">
        <x:v>677</x:v>
      </x:c>
      <x:c r="P42" s="3"/>
      <x:c r="Q42" s="3">
        <x:v>0.79000000000000004</x:v>
      </x:c>
      <x:c r="R42" s="3" t="s">
        <x:v>732</x:v>
      </x:c>
      <x:c r="S42" s="3" t="s">
        <x:v>677</x:v>
      </x:c>
      <x:c r="T42" s="3"/>
      <x:c r="U42" s="3">
        <x:v>0.79000000000000004</x:v>
      </x:c>
      <x:c r="V42" s="3" t="s">
        <x:v>617</x:v>
      </x:c>
      <x:c r="W42" s="3" t="s">
        <x:v>677</x:v>
      </x:c>
      <x:c r="X42" s="3"/>
      <x:c r="Y42" s="3">
        <x:v>2.1000000000000001</x:v>
      </x:c>
      <x:c r="Z42" s="3" t="s">
        <x:v>706</x:v>
      </x:c>
      <x:c r="AA42" s="3" t="s">
        <x:v>677</x:v>
      </x:c>
      <x:c r="AB42" s="3"/>
      <x:c r="AC42" s="3">
        <x:v>2.5</x:v>
      </x:c>
      <x:c r="AD42" s="3" t="s">
        <x:v>308</x:v>
      </x:c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3"/>
      <x:c r="AP42" s="4"/>
      <x:c r="AQ42" s="6" t="s">
        <x:v>124</x:v>
      </x:c>
      <x:c r="AR42" s="6" t="s">
        <x:v>124</x:v>
      </x:c>
      <x:c r="AS42" s="7"/>
      <x:c r="AT42" s="7"/>
      <x:c r="AU42" s="7"/>
      <x:c r="AV42" s="7"/>
      <x:c r="AW42" s="7"/>
      <x:c r="AX42" s="7"/>
    </x:row>
    <x:row r="43" spans="1:50" ht="26.35000000000000142109">
      <x:c r="A43" s="3">
        <x:v>40</x:v>
      </x:c>
      <x:c r="B43" s="3" t="s">
        <x:v>825</x:v>
      </x:c>
      <x:c r="C43" s="3" t="s">
        <x:v>666</x:v>
      </x:c>
      <x:c r="D43" s="3">
        <x:v>3</x:v>
      </x:c>
      <x:c r="E43" s="3" t="s">
        <x:v>189</x:v>
      </x:c>
      <x:c r="F43" s="3" t="s">
        <x:v>69</x:v>
      </x:c>
      <x:c r="G43" s="3" t="s">
        <x:v>830</x:v>
      </x:c>
      <x:c r="H43" s="3" t="s">
        <x:v>57</x:v>
      </x:c>
      <x:c r="I43" s="4"/>
      <x:c r="J43" s="3" t="s">
        <x:v>669</x:v>
      </x:c>
      <x:c r="K43" s="3" t="s">
        <x:v>669</x:v>
      </x:c>
      <x:c r="L43" s="3" t="s">
        <x:v>55</x:v>
      </x:c>
      <x:c r="M43" s="3" t="s">
        <x:v>236</x:v>
      </x:c>
      <x:c r="N43" s="3" t="s">
        <x:v>697</x:v>
      </x:c>
      <x:c r="O43" s="3" t="s">
        <x:v>677</x:v>
      </x:c>
      <x:c r="P43" s="3"/>
      <x:c r="Q43" s="3">
        <x:v>0.34000000000000002</x:v>
      </x:c>
      <x:c r="R43" s="3" t="s">
        <x:v>697</x:v>
      </x:c>
      <x:c r="S43" s="3" t="s">
        <x:v>677</x:v>
      </x:c>
      <x:c r="T43" s="3"/>
      <x:c r="U43" s="3">
        <x:v>0.34000000000000002</x:v>
      </x:c>
      <x:c r="V43" s="3" t="s">
        <x:v>636</x:v>
      </x:c>
      <x:c r="W43" s="3" t="s">
        <x:v>677</x:v>
      </x:c>
      <x:c r="X43" s="3"/>
      <x:c r="Y43" s="3">
        <x:v>1.3999999999999999</x:v>
      </x:c>
      <x:c r="Z43" s="3" t="s">
        <x:v>614</x:v>
      </x:c>
      <x:c r="AA43" s="3" t="s">
        <x:v>677</x:v>
      </x:c>
      <x:c r="AB43" s="3"/>
      <x:c r="AC43" s="3">
        <x:v>1.3999999999999999</x:v>
      </x:c>
      <x:c r="AD43" s="3" t="s">
        <x:v>310</x:v>
      </x:c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3" t="s">
        <x:v>1033</x:v>
      </x:c>
      <x:c r="AP43" s="4"/>
      <x:c r="AQ43" s="6" t="s">
        <x:v>124</x:v>
      </x:c>
      <x:c r="AR43" s="6" t="s">
        <x:v>124</x:v>
      </x:c>
      <x:c r="AS43" s="7"/>
      <x:c r="AT43" s="7"/>
      <x:c r="AU43" s="7"/>
      <x:c r="AV43" s="7"/>
      <x:c r="AW43" s="7"/>
      <x:c r="AX43" s="7"/>
    </x:row>
    <x:row r="44" spans="1:50" ht="39.54999999999999715783">
      <x:c r="A44" s="3">
        <x:v>41</x:v>
      </x:c>
      <x:c r="B44" s="3" t="s">
        <x:v>829</x:v>
      </x:c>
      <x:c r="C44" s="3"/>
      <x:c r="D44" s="3">
        <x:v>3</x:v>
      </x:c>
      <x:c r="E44" s="3" t="s">
        <x:v>155</x:v>
      </x:c>
      <x:c r="F44" s="3" t="s">
        <x:v>53</x:v>
      </x:c>
      <x:c r="G44" s="3" t="s">
        <x:v>834</x:v>
      </x:c>
      <x:c r="H44" s="4"/>
      <x:c r="I44" s="3" t="s">
        <x:v>57</x:v>
      </x:c>
      <x:c r="J44" s="3" t="s">
        <x:v>701</x:v>
      </x:c>
      <x:c r="K44" s="3" t="s">
        <x:v>674</x:v>
      </x:c>
      <x:c r="L44" s="3" t="s">
        <x:v>55</x:v>
      </x:c>
      <x:c r="M44" s="3" t="s">
        <x:v>1040</x:v>
      </x:c>
      <x:c r="N44" s="3" t="s">
        <x:v>690</x:v>
      </x:c>
      <x:c r="O44" s="3" t="s">
        <x:v>677</x:v>
      </x:c>
      <x:c r="P44" s="3"/>
      <x:c r="Q44" s="3">
        <x:v>1.5</x:v>
      </x:c>
      <x:c r="R44" s="3" t="s">
        <x:v>690</x:v>
      </x:c>
      <x:c r="S44" s="3" t="s">
        <x:v>677</x:v>
      </x:c>
      <x:c r="T44" s="3"/>
      <x:c r="U44" s="3">
        <x:v>1.5</x:v>
      </x:c>
      <x:c r="V44" s="3" t="s">
        <x:v>614</x:v>
      </x:c>
      <x:c r="W44" s="3" t="s">
        <x:v>677</x:v>
      </x:c>
      <x:c r="X44" s="3"/>
      <x:c r="Y44" s="3">
        <x:v>0.99399999999999999</x:v>
      </x:c>
      <x:c r="Z44" s="3" t="s">
        <x:v>697</x:v>
      </x:c>
      <x:c r="AA44" s="3" t="s">
        <x:v>677</x:v>
      </x:c>
      <x:c r="AB44" s="3"/>
      <x:c r="AC44" s="3">
        <x:v>2</x:v>
      </x:c>
      <x:c r="AD44" s="3" t="s">
        <x:v>318</x:v>
      </x:c>
      <x:c r="AE44" s="4"/>
      <x:c r="AF44" s="3" t="s">
        <x:v>671</x:v>
      </x:c>
      <x:c r="AG44" s="3" t="s">
        <x:v>716</x:v>
      </x:c>
      <x:c r="AH44" s="3" t="s">
        <x:v>688</x:v>
      </x:c>
      <x:c r="AI44" s="3" t="s">
        <x:v>671</x:v>
      </x:c>
      <x:c r="AJ44" s="3" t="s">
        <x:v>776</x:v>
      </x:c>
      <x:c r="AK44" s="3" t="s">
        <x:v>692</x:v>
      </x:c>
      <x:c r="AL44" s="4"/>
      <x:c r="AM44" s="4"/>
      <x:c r="AN44" s="4"/>
      <x:c r="AO44" s="3" t="s">
        <x:v>218</x:v>
      </x:c>
      <x:c r="AP44" s="3" t="s">
        <x:v>397</x:v>
      </x:c>
      <x:c r="AQ44" s="6" t="s">
        <x:v>124</x:v>
      </x:c>
      <x:c r="AR44" s="6" t="s">
        <x:v>124</x:v>
      </x:c>
      <x:c r="AS44" s="7"/>
      <x:c r="AT44" s="7"/>
      <x:c r="AU44" s="7"/>
      <x:c r="AV44" s="7"/>
      <x:c r="AW44" s="7"/>
      <x:c r="AX44" s="7"/>
    </x:row>
    <x:row r="45" spans="1:50" ht="144.90000000000000568434">
      <x:c r="A45" s="3">
        <x:v>42</x:v>
      </x:c>
      <x:c r="B45" s="3" t="s">
        <x:v>845</x:v>
      </x:c>
      <x:c r="C45" s="4"/>
      <x:c r="D45" s="3">
        <x:v>3</x:v>
      </x:c>
      <x:c r="E45" s="3" t="s">
        <x:v>169</x:v>
      </x:c>
      <x:c r="F45" s="3" t="s">
        <x:v>69</x:v>
      </x:c>
      <x:c r="G45" s="3" t="s">
        <x:v>778</x:v>
      </x:c>
      <x:c r="H45" s="4"/>
      <x:c r="I45" s="3" t="s">
        <x:v>57</x:v>
      </x:c>
      <x:c r="J45" s="3" t="s">
        <x:v>669</x:v>
      </x:c>
      <x:c r="K45" s="4"/>
      <x:c r="L45" s="4"/>
      <x:c r="M45" s="3" t="s">
        <x:v>374</x:v>
      </x:c>
      <x:c r="N45" s="3" t="s">
        <x:v>643</x:v>
      </x:c>
      <x:c r="O45" s="3" t="s">
        <x:v>677</x:v>
      </x:c>
      <x:c r="P45" s="3"/>
      <x:c r="Q45" s="3">
        <x:v>0.83199999999999996</x:v>
      </x:c>
      <x:c r="R45" s="3" t="s">
        <x:v>720</x:v>
      </x:c>
      <x:c r="S45" s="3" t="s">
        <x:v>677</x:v>
      </x:c>
      <x:c r="T45" s="3"/>
      <x:c r="U45" s="3">
        <x:v>0.69899999999999995</x:v>
      </x:c>
      <x:c r="V45" s="3" t="s">
        <x:v>643</x:v>
      </x:c>
      <x:c r="W45" s="3" t="s">
        <x:v>677</x:v>
      </x:c>
      <x:c r="X45" s="3"/>
      <x:c r="Y45" s="3">
        <x:v>0.83199999999999996</x:v>
      </x:c>
      <x:c r="Z45" s="3" t="s">
        <x:v>719</x:v>
      </x:c>
      <x:c r="AA45" s="3" t="s">
        <x:v>677</x:v>
      </x:c>
      <x:c r="AB45" s="3"/>
      <x:c r="AC45" s="3">
        <x:v>1.8999999999999999</x:v>
      </x:c>
      <x:c r="AD45" s="3" t="s">
        <x:v>307</x:v>
      </x:c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3" t="s">
        <x:v>5</x:v>
      </x:c>
      <x:c r="AP45" s="4"/>
      <x:c r="AQ45" s="6" t="s">
        <x:v>124</x:v>
      </x:c>
      <x:c r="AR45" s="6" t="s">
        <x:v>124</x:v>
      </x:c>
      <x:c r="AS45" s="7"/>
      <x:c r="AT45" s="7"/>
      <x:c r="AU45" s="7"/>
      <x:c r="AV45" s="7"/>
      <x:c r="AW45" s="7"/>
      <x:c r="AX45" s="7"/>
    </x:row>
    <x:row r="46" spans="1:50" ht="26.35000000000000142109">
      <x:c r="A46" s="3">
        <x:v>43</x:v>
      </x:c>
      <x:c r="B46" s="3" t="s">
        <x:v>836</x:v>
      </x:c>
      <x:c r="C46" s="3" t="s">
        <x:v>677</x:v>
      </x:c>
      <x:c r="D46" s="3">
        <x:v>3</x:v>
      </x:c>
      <x:c r="E46" s="3" t="s">
        <x:v>149</x:v>
      </x:c>
      <x:c r="F46" s="3" t="s">
        <x:v>53</x:v>
      </x:c>
      <x:c r="G46" s="3" t="s">
        <x:v>832</x:v>
      </x:c>
      <x:c r="H46" s="3" t="s">
        <x:v>57</x:v>
      </x:c>
      <x:c r="I46" s="4"/>
      <x:c r="J46" s="3" t="s">
        <x:v>669</x:v>
      </x:c>
      <x:c r="K46" s="3" t="s">
        <x:v>669</x:v>
      </x:c>
      <x:c r="L46" s="3" t="s">
        <x:v>55</x:v>
      </x:c>
      <x:c r="M46" s="3" t="s">
        <x:v>1035</x:v>
      </x:c>
      <x:c r="N46" s="3" t="s">
        <x:v>709</x:v>
      </x:c>
      <x:c r="O46" s="3" t="s">
        <x:v>677</x:v>
      </x:c>
      <x:c r="P46" s="3"/>
      <x:c r="Q46" s="3">
        <x:v>0.14599999999999999</x:v>
      </x:c>
      <x:c r="R46" s="3" t="s">
        <x:v>709</x:v>
      </x:c>
      <x:c r="S46" s="3" t="s">
        <x:v>677</x:v>
      </x:c>
      <x:c r="T46" s="3"/>
      <x:c r="U46" s="3">
        <x:v>0.14599999999999999</x:v>
      </x:c>
      <x:c r="V46" s="3" t="s">
        <x:v>740</x:v>
      </x:c>
      <x:c r="W46" s="3" t="s">
        <x:v>677</x:v>
      </x:c>
      <x:c r="X46" s="3"/>
      <x:c r="Y46" s="3">
        <x:v>1.2</x:v>
      </x:c>
      <x:c r="Z46" s="3" t="s">
        <x:v>739</x:v>
      </x:c>
      <x:c r="AA46" s="3" t="s">
        <x:v>677</x:v>
      </x:c>
      <x:c r="AB46" s="3"/>
      <x:c r="AC46" s="3">
        <x:v>1.3999999999999999</x:v>
      </x:c>
      <x:c r="AD46" s="3" t="s">
        <x:v>324</x:v>
      </x:c>
      <x:c r="AE46" s="3" t="s">
        <x:v>171</x:v>
      </x:c>
      <x:c r="AF46" s="3" t="s">
        <x:v>671</x:v>
      </x:c>
      <x:c r="AG46" s="3" t="s">
        <x:v>716</x:v>
      </x:c>
      <x:c r="AH46" s="3" t="s">
        <x:v>688</x:v>
      </x:c>
      <x:c r="AI46" s="4"/>
      <x:c r="AJ46" s="4"/>
      <x:c r="AK46" s="4"/>
      <x:c r="AL46" s="4"/>
      <x:c r="AM46" s="4"/>
      <x:c r="AN46" s="4"/>
      <x:c r="AO46" s="3" t="s">
        <x:v>1034</x:v>
      </x:c>
      <x:c r="AP46" s="4"/>
      <x:c r="AQ46" s="6" t="s">
        <x:v>124</x:v>
      </x:c>
      <x:c r="AR46" s="6" t="s">
        <x:v>124</x:v>
      </x:c>
      <x:c r="AS46" s="7"/>
      <x:c r="AT46" s="7"/>
      <x:c r="AU46" s="7"/>
      <x:c r="AV46" s="7"/>
      <x:c r="AW46" s="7"/>
      <x:c r="AX46" s="7"/>
    </x:row>
    <x:row r="47" spans="1:50" ht="39.54999999999999715783">
      <x:c r="A47" s="3">
        <x:v>44</x:v>
      </x:c>
      <x:c r="B47" s="3" t="s">
        <x:v>836</x:v>
      </x:c>
      <x:c r="C47" s="3" t="s">
        <x:v>677</x:v>
      </x:c>
      <x:c r="D47" s="3">
        <x:v>3</x:v>
      </x:c>
      <x:c r="E47" s="3" t="s">
        <x:v>166</x:v>
      </x:c>
      <x:c r="F47" s="3" t="s">
        <x:v>69</x:v>
      </x:c>
      <x:c r="G47" s="3" t="s">
        <x:v>833</x:v>
      </x:c>
      <x:c r="H47" s="3" t="s">
        <x:v>57</x:v>
      </x:c>
      <x:c r="I47" s="4"/>
      <x:c r="J47" s="3" t="s">
        <x:v>653</x:v>
      </x:c>
      <x:c r="K47" s="4"/>
      <x:c r="L47" s="4"/>
      <x:c r="M47" s="3" t="s">
        <x:v>242</x:v>
      </x:c>
      <x:c r="N47" s="3" t="s">
        <x:v>739</x:v>
      </x:c>
      <x:c r="O47" s="3" t="s">
        <x:v>677</x:v>
      </x:c>
      <x:c r="P47" s="3"/>
      <x:c r="Q47" s="3">
        <x:v>0.22</x:v>
      </x:c>
      <x:c r="R47" s="3" t="s">
        <x:v>740</x:v>
      </x:c>
      <x:c r="S47" s="3" t="s">
        <x:v>677</x:v>
      </x:c>
      <x:c r="T47" s="3"/>
      <x:c r="U47" s="3">
        <x:v>0.42799999999999999</x:v>
      </x:c>
      <x:c r="V47" s="3" t="s">
        <x:v>739</x:v>
      </x:c>
      <x:c r="W47" s="3" t="s">
        <x:v>677</x:v>
      </x:c>
      <x:c r="X47" s="3"/>
      <x:c r="Y47" s="3">
        <x:v>0.22</x:v>
      </x:c>
      <x:c r="Z47" s="3" t="s">
        <x:v>710</x:v>
      </x:c>
      <x:c r="AA47" s="3" t="s">
        <x:v>677</x:v>
      </x:c>
      <x:c r="AB47" s="3"/>
      <x:c r="AC47" s="3">
        <x:v>1.3999999999999999</x:v>
      </x:c>
      <x:c r="AD47" s="3" t="s">
        <x:v>321</x:v>
      </x:c>
      <x:c r="AE47" s="3" t="s">
        <x:v>171</x:v>
      </x:c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3" t="s">
        <x:v>270</x:v>
      </x:c>
      <x:c r="AQ47" s="6" t="s">
        <x:v>124</x:v>
      </x:c>
      <x:c r="AR47" s="6" t="s">
        <x:v>124</x:v>
      </x:c>
      <x:c r="AS47" s="7"/>
      <x:c r="AT47" s="7"/>
      <x:c r="AU47" s="7"/>
      <x:c r="AV47" s="7"/>
      <x:c r="AW47" s="7"/>
      <x:c r="AX47" s="7"/>
    </x:row>
    <x:row r="48" spans="1:50" ht="79.04999999999999715783">
      <x:c r="A48" s="3">
        <x:v>45</x:v>
      </x:c>
      <x:c r="B48" s="3" t="s">
        <x:v>828</x:v>
      </x:c>
      <x:c r="C48" s="3" t="s">
        <x:v>677</x:v>
      </x:c>
      <x:c r="D48" s="3">
        <x:v>3</x:v>
      </x:c>
      <x:c r="E48" s="3" t="s">
        <x:v>154</x:v>
      </x:c>
      <x:c r="F48" s="3" t="s">
        <x:v>53</x:v>
      </x:c>
      <x:c r="G48" s="3" t="s">
        <x:v>827</x:v>
      </x:c>
      <x:c r="H48" s="3" t="s">
        <x:v>57</x:v>
      </x:c>
      <x:c r="I48" s="4"/>
      <x:c r="J48" s="8" t="s">
        <x:v>421</x:v>
      </x:c>
      <x:c r="K48" s="4"/>
      <x:c r="L48" s="4"/>
      <x:c r="M48" s="3" t="s">
        <x:v>247</x:v>
      </x:c>
      <x:c r="N48" s="14" t="s">
        <x:v>643</x:v>
      </x:c>
      <x:c r="O48" s="3" t="s">
        <x:v>677</x:v>
      </x:c>
      <x:c r="P48" s="3"/>
      <x:c r="Q48" s="3">
        <x:v>1.6000000000000001</x:v>
      </x:c>
      <x:c r="R48" s="14" t="s">
        <x:v>719</x:v>
      </x:c>
      <x:c r="S48" s="3" t="s">
        <x:v>677</x:v>
      </x:c>
      <x:c r="T48" s="3"/>
      <x:c r="U48" s="3">
        <x:v>2.2999999999999998</x:v>
      </x:c>
      <x:c r="V48" s="3" t="s">
        <x:v>643</x:v>
      </x:c>
      <x:c r="W48" s="3" t="s">
        <x:v>677</x:v>
      </x:c>
      <x:c r="X48" s="3"/>
      <x:c r="Y48" s="3">
        <x:v>1.6000000000000001</x:v>
      </x:c>
      <x:c r="Z48" s="3" t="s">
        <x:v>645</x:v>
      </x:c>
      <x:c r="AA48" s="3" t="s">
        <x:v>677</x:v>
      </x:c>
      <x:c r="AB48" s="3"/>
      <x:c r="AC48" s="3">
        <x:v>1.8999999999999999</x:v>
      </x:c>
      <x:c r="AD48" s="3" t="s">
        <x:v>314</x:v>
      </x:c>
      <x:c r="AE48" s="3" t="s">
        <x:v>142</x:v>
      </x:c>
      <x:c r="AF48" s="4"/>
      <x:c r="AG48" s="4"/>
      <x:c r="AH48" s="4"/>
      <x:c r="AI48" s="4"/>
      <x:c r="AJ48" s="4"/>
      <x:c r="AK48" s="4"/>
      <x:c r="AL48" s="4"/>
      <x:c r="AM48" s="4"/>
      <x:c r="AN48" s="4"/>
      <x:c r="AO48" s="3" t="s">
        <x:v>401</x:v>
      </x:c>
      <x:c r="AP48" s="3" t="s">
        <x:v>221</x:v>
      </x:c>
      <x:c r="AQ48" s="6" t="s">
        <x:v>124</x:v>
      </x:c>
      <x:c r="AR48" s="6" t="s">
        <x:v>124</x:v>
      </x:c>
      <x:c r="AS48" s="7"/>
      <x:c r="AT48" s="7"/>
      <x:c r="AU48" s="7"/>
      <x:c r="AV48" s="7"/>
      <x:c r="AW48" s="7"/>
      <x:c r="AX48" s="7"/>
    </x:row>
    <x:row r="49" spans="1:50" ht="52.70000000000000284217">
      <x:c r="A49" s="3">
        <x:v>46</x:v>
      </x:c>
      <x:c r="B49" s="3" t="s">
        <x:v>818</x:v>
      </x:c>
      <x:c r="C49" s="4"/>
      <x:c r="D49" s="3">
        <x:v>3</x:v>
      </x:c>
      <x:c r="E49" s="3" t="s">
        <x:v>118</x:v>
      </x:c>
      <x:c r="F49" s="3" t="s">
        <x:v>53</x:v>
      </x:c>
      <x:c r="G49" s="3" t="s">
        <x:v>755</x:v>
      </x:c>
      <x:c r="H49" s="4"/>
      <x:c r="I49" s="3" t="s">
        <x:v>57</x:v>
      </x:c>
      <x:c r="J49" s="3" t="s">
        <x:v>663</x:v>
      </x:c>
      <x:c r="K49" s="3" t="s">
        <x:v>674</x:v>
      </x:c>
      <x:c r="L49" s="3" t="s">
        <x:v>55</x:v>
      </x:c>
      <x:c r="M49" s="3" t="s">
        <x:v>1049</x:v>
      </x:c>
      <x:c r="N49" s="3" t="s">
        <x:v>697</x:v>
      </x:c>
      <x:c r="O49" s="3" t="s">
        <x:v>677</x:v>
      </x:c>
      <x:c r="P49" s="3"/>
      <x:c r="Q49" s="3">
        <x:v>0.53000000000000003</x:v>
      </x:c>
      <x:c r="R49" s="3" t="s">
        <x:v>697</x:v>
      </x:c>
      <x:c r="S49" s="3" t="s">
        <x:v>677</x:v>
      </x:c>
      <x:c r="T49" s="3"/>
      <x:c r="U49" s="3">
        <x:v>0.53000000000000003</x:v>
      </x:c>
      <x:c r="V49" s="3" t="s">
        <x:v>614</x:v>
      </x:c>
      <x:c r="W49" s="3" t="s">
        <x:v>677</x:v>
      </x:c>
      <x:c r="X49" s="3"/>
      <x:c r="Y49" s="3">
        <x:v>1.3</x:v>
      </x:c>
      <x:c r="Z49" s="3" t="s">
        <x:v>636</x:v>
      </x:c>
      <x:c r="AA49" s="3" t="s">
        <x:v>677</x:v>
      </x:c>
      <x:c r="AB49" s="3"/>
      <x:c r="AC49" s="3">
        <x:v>1.3</x:v>
      </x:c>
      <x:c r="AD49" s="3" t="s">
        <x:v>312</x:v>
      </x:c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15" t="s">
        <x:v>1047</x:v>
      </x:c>
      <x:c r="AP49" s="3" t="s">
        <x:v>2</x:v>
      </x:c>
      <x:c r="AQ49" s="6" t="s">
        <x:v>127</x:v>
      </x:c>
      <x:c r="AR49" s="6" t="s">
        <x:v>127</x:v>
      </x:c>
      <x:c r="AS49" s="7"/>
      <x:c r="AT49" s="7"/>
      <x:c r="AU49" s="7"/>
      <x:c r="AV49" s="7"/>
      <x:c r="AW49" s="7"/>
      <x:c r="AX49" s="7"/>
    </x:row>
    <x:row r="50" spans="1:50" ht="39.54999999999999715783">
      <x:c r="A50" s="3">
        <x:v>47</x:v>
      </x:c>
      <x:c r="B50" s="3" t="s">
        <x:v>716</x:v>
      </x:c>
      <x:c r="C50" s="3" t="s">
        <x:v>688</x:v>
      </x:c>
      <x:c r="D50" s="3">
        <x:v>3</x:v>
      </x:c>
      <x:c r="E50" s="3" t="s">
        <x:v>147</x:v>
      </x:c>
      <x:c r="F50" s="3" t="s">
        <x:v>69</x:v>
      </x:c>
      <x:c r="G50" s="3" t="s">
        <x:v>841</x:v>
      </x:c>
      <x:c r="H50" s="3" t="s">
        <x:v>57</x:v>
      </x:c>
      <x:c r="I50" s="4"/>
      <x:c r="J50" s="8" t="s">
        <x:v>421</x:v>
      </x:c>
      <x:c r="K50" s="3" t="s">
        <x:v>669</x:v>
      </x:c>
      <x:c r="L50" s="3" t="s">
        <x:v>55</x:v>
      </x:c>
      <x:c r="M50" s="3" t="s">
        <x:v>366</x:v>
      </x:c>
      <x:c r="N50" s="3" t="s">
        <x:v>699</x:v>
      </x:c>
      <x:c r="O50" s="3" t="s">
        <x:v>677</x:v>
      </x:c>
      <x:c r="P50" s="3"/>
      <x:c r="Q50" s="3">
        <x:v>0.71099999999999997</x:v>
      </x:c>
      <x:c r="R50" s="3" t="s">
        <x:v>699</x:v>
      </x:c>
      <x:c r="S50" s="3" t="s">
        <x:v>677</x:v>
      </x:c>
      <x:c r="T50" s="3"/>
      <x:c r="U50" s="3">
        <x:v>0.71099999999999997</x:v>
      </x:c>
      <x:c r="V50" s="3" t="s">
        <x:v>645</x:v>
      </x:c>
      <x:c r="W50" s="3" t="s">
        <x:v>677</x:v>
      </x:c>
      <x:c r="X50" s="3"/>
      <x:c r="Y50" s="3">
        <x:v>5.5</x:v>
      </x:c>
      <x:c r="Z50" s="3" t="s">
        <x:v>619</x:v>
      </x:c>
      <x:c r="AA50" s="3" t="s">
        <x:v>677</x:v>
      </x:c>
      <x:c r="AB50" s="3"/>
      <x:c r="AC50" s="3">
        <x:v>6.2000000000000002</x:v>
      </x:c>
      <x:c r="AD50" s="3" t="s">
        <x:v>313</x:v>
      </x:c>
      <x:c r="AE50" s="3" t="s">
        <x:v>146</x:v>
      </x:c>
      <x:c r="AF50" s="3" t="s">
        <x:v>671</x:v>
      </x:c>
      <x:c r="AG50" s="3" t="s">
        <x:v>716</x:v>
      </x:c>
      <x:c r="AH50" s="3" t="s">
        <x:v>688</x:v>
      </x:c>
      <x:c r="AI50" s="4"/>
      <x:c r="AJ50" s="4"/>
      <x:c r="AK50" s="4"/>
      <x:c r="AL50" s="4"/>
      <x:c r="AM50" s="4"/>
      <x:c r="AN50" s="4"/>
      <x:c r="AO50" s="3" t="s">
        <x:v>1043</x:v>
      </x:c>
      <x:c r="AP50" s="3" t="s">
        <x:v>229</x:v>
      </x:c>
      <x:c r="AQ50" s="6" t="s">
        <x:v>124</x:v>
      </x:c>
      <x:c r="AR50" s="6" t="s">
        <x:v>124</x:v>
      </x:c>
      <x:c r="AS50" s="7"/>
      <x:c r="AT50" s="7"/>
      <x:c r="AU50" s="7"/>
      <x:c r="AV50" s="7"/>
      <x:c r="AW50" s="7"/>
      <x:c r="AX50" s="7"/>
    </x:row>
    <x:row r="51" spans="1:50" ht="39.54999999999999715783">
      <x:c r="A51" s="3">
        <x:v>48</x:v>
      </x:c>
      <x:c r="B51" s="3" t="s">
        <x:v>879</x:v>
      </x:c>
      <x:c r="C51" s="3" t="s">
        <x:v>677</x:v>
      </x:c>
      <x:c r="D51" s="3">
        <x:v>3</x:v>
      </x:c>
      <x:c r="E51" s="3" t="s">
        <x:v>180</x:v>
      </x:c>
      <x:c r="F51" s="3" t="s">
        <x:v>69</x:v>
      </x:c>
      <x:c r="G51" s="3" t="s">
        <x:v>826</x:v>
      </x:c>
      <x:c r="H51" s="3" t="s">
        <x:v>57</x:v>
      </x:c>
      <x:c r="I51" s="4"/>
      <x:c r="J51" s="3" t="s">
        <x:v>653</x:v>
      </x:c>
      <x:c r="K51" s="4"/>
      <x:c r="L51" s="4"/>
      <x:c r="M51" s="3" t="s">
        <x:v>266</x:v>
      </x:c>
      <x:c r="N51" s="3" t="s">
        <x:v>528</x:v>
      </x:c>
      <x:c r="O51" s="3" t="s">
        <x:v>677</x:v>
      </x:c>
      <x:c r="P51" s="3"/>
      <x:c r="Q51" s="3">
        <x:v>0.40000000000000002</x:v>
      </x:c>
      <x:c r="R51" s="3" t="s">
        <x:v>530</x:v>
      </x:c>
      <x:c r="S51" s="3" t="s">
        <x:v>677</x:v>
      </x:c>
      <x:c r="T51" s="3"/>
      <x:c r="U51" s="3">
        <x:v>0.91100000000000003</x:v>
      </x:c>
      <x:c r="V51" s="3" t="s">
        <x:v>528</x:v>
      </x:c>
      <x:c r="W51" s="3" t="s">
        <x:v>677</x:v>
      </x:c>
      <x:c r="X51" s="3"/>
      <x:c r="Y51" s="3">
        <x:v>0.40000000000000002</x:v>
      </x:c>
      <x:c r="Z51" s="3" t="s">
        <x:v>532</x:v>
      </x:c>
      <x:c r="AA51" s="3" t="s">
        <x:v>677</x:v>
      </x:c>
      <x:c r="AB51" s="3"/>
      <x:c r="AC51" s="3">
        <x:v>0.92000000000000004</x:v>
      </x:c>
      <x:c r="AD51" s="3" t="s">
        <x:v>886</x:v>
      </x:c>
      <x:c r="AE51" s="3" t="s">
        <x:v>199</x:v>
      </x:c>
      <x:c r="AF51" s="4"/>
      <x:c r="AG51" s="4"/>
      <x:c r="AH51" s="4"/>
      <x:c r="AI51" s="4"/>
      <x:c r="AJ51" s="4"/>
      <x:c r="AK51" s="4"/>
      <x:c r="AL51" s="4"/>
      <x:c r="AM51" s="4"/>
      <x:c r="AN51" s="4"/>
      <x:c r="AO51" s="3"/>
      <x:c r="AP51" s="3" t="s">
        <x:v>414</x:v>
      </x:c>
      <x:c r="AQ51" s="6" t="s">
        <x:v>124</x:v>
      </x:c>
      <x:c r="AR51" s="6" t="s">
        <x:v>124</x:v>
      </x:c>
      <x:c r="AS51" s="7"/>
      <x:c r="AT51" s="7"/>
      <x:c r="AU51" s="7"/>
      <x:c r="AV51" s="7"/>
      <x:c r="AW51" s="7"/>
      <x:c r="AX51" s="7"/>
    </x:row>
    <x:row r="52" spans="1:50" ht="79.04999999999999715783">
      <x:c r="A52" s="3">
        <x:v>49</x:v>
      </x:c>
      <x:c r="B52" s="3" t="s">
        <x:v>764</x:v>
      </x:c>
      <x:c r="C52" s="4"/>
      <x:c r="D52" s="3">
        <x:v>3</x:v>
      </x:c>
      <x:c r="E52" s="3" t="s">
        <x:v>170</x:v>
      </x:c>
      <x:c r="F52" s="3" t="s">
        <x:v>53</x:v>
      </x:c>
      <x:c r="G52" s="3" t="s">
        <x:v>823</x:v>
      </x:c>
      <x:c r="H52" s="4"/>
      <x:c r="I52" s="3" t="s">
        <x:v>57</x:v>
      </x:c>
      <x:c r="J52" s="3" t="s">
        <x:v>1053</x:v>
      </x:c>
      <x:c r="K52" s="4"/>
      <x:c r="L52" s="4"/>
      <x:c r="M52" s="3" t="s">
        <x:v>368</x:v>
      </x:c>
      <x:c r="N52" s="3" t="s">
        <x:v>735</x:v>
      </x:c>
      <x:c r="O52" s="3" t="s">
        <x:v>637</x:v>
      </x:c>
      <x:c r="P52" s="48"/>
      <x:c r="Q52" s="13">
        <x:v>0.63400000000000001</x:v>
      </x:c>
      <x:c r="R52" s="3" t="s">
        <x:v>735</x:v>
      </x:c>
      <x:c r="S52" s="3" t="s">
        <x:v>666</x:v>
      </x:c>
      <x:c r="T52" s="3"/>
      <x:c r="U52" s="3">
        <x:v>0.63400000000000001</x:v>
      </x:c>
      <x:c r="V52" s="4"/>
      <x:c r="W52" s="4"/>
      <x:c r="X52" s="3"/>
      <x:c r="Y52" s="4"/>
      <x:c r="Z52" s="4"/>
      <x:c r="AA52" s="4"/>
      <x:c r="AB52" s="3"/>
      <x:c r="AC52" s="4"/>
      <x:c r="AD52" s="3" t="s">
        <x:v>320</x:v>
      </x:c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3" t="s">
        <x:v>405</x:v>
      </x:c>
      <x:c r="AP52" s="3" t="s">
        <x:v>380</x:v>
      </x:c>
      <x:c r="AQ52" s="6" t="s">
        <x:v>127</x:v>
      </x:c>
      <x:c r="AR52" s="6" t="s">
        <x:v>124</x:v>
      </x:c>
      <x:c r="AS52" s="7"/>
      <x:c r="AT52" s="7"/>
      <x:c r="AU52" s="7"/>
      <x:c r="AV52" s="7"/>
      <x:c r="AW52" s="7"/>
      <x:c r="AX52" s="7"/>
    </x:row>
    <x:row r="53" spans="1:50" ht="26.35000000000000142109">
      <x:c r="A53" s="3">
        <x:v>50</x:v>
      </x:c>
      <x:c r="B53" s="3" t="s">
        <x:v>801</x:v>
      </x:c>
      <x:c r="C53" s="4"/>
      <x:c r="D53" s="3">
        <x:v>3</x:v>
      </x:c>
      <x:c r="E53" s="3" t="s">
        <x:v>160</x:v>
      </x:c>
      <x:c r="F53" s="3" t="s">
        <x:v>69</x:v>
      </x:c>
      <x:c r="G53" s="3" t="s">
        <x:v>760</x:v>
      </x:c>
      <x:c r="H53" s="4"/>
      <x:c r="I53" s="3" t="s">
        <x:v>57</x:v>
      </x:c>
      <x:c r="J53" s="3" t="s">
        <x:v>663</x:v>
      </x:c>
      <x:c r="K53" s="3" t="s">
        <x:v>790</x:v>
      </x:c>
      <x:c r="L53" s="3" t="s">
        <x:v>61</x:v>
      </x:c>
      <x:c r="M53" s="3" t="s">
        <x:v>1042</x:v>
      </x:c>
      <x:c r="N53" s="3" t="s">
        <x:v>712</x:v>
      </x:c>
      <x:c r="O53" s="3" t="s">
        <x:v>677</x:v>
      </x:c>
      <x:c r="P53" s="3"/>
      <x:c r="Q53" s="3">
        <x:v>0.81000000000000005</x:v>
      </x:c>
      <x:c r="R53" s="3" t="s">
        <x:v>712</x:v>
      </x:c>
      <x:c r="S53" s="3" t="s">
        <x:v>677</x:v>
      </x:c>
      <x:c r="T53" s="3"/>
      <x:c r="U53" s="3">
        <x:v>0.81000000000000005</x:v>
      </x:c>
      <x:c r="V53" s="3" t="s">
        <x:v>714</x:v>
      </x:c>
      <x:c r="W53" s="3" t="s">
        <x:v>677</x:v>
      </x:c>
      <x:c r="X53" s="3"/>
      <x:c r="Y53" s="3">
        <x:v>0.88</x:v>
      </x:c>
      <x:c r="Z53" s="3" t="s">
        <x:v>705</x:v>
      </x:c>
      <x:c r="AA53" s="3" t="s">
        <x:v>677</x:v>
      </x:c>
      <x:c r="AB53" s="3"/>
      <x:c r="AC53" s="3">
        <x:v>1.1000000000000001</x:v>
      </x:c>
      <x:c r="AD53" s="3" t="s">
        <x:v>860</x:v>
      </x:c>
      <x:c r="AE53" s="4"/>
      <x:c r="AF53" s="3" t="s">
        <x:v>671</x:v>
      </x:c>
      <x:c r="AG53" s="3" t="s">
        <x:v>716</x:v>
      </x:c>
      <x:c r="AH53" s="3" t="s">
        <x:v>688</x:v>
      </x:c>
      <x:c r="AI53" s="3" t="s">
        <x:v>671</x:v>
      </x:c>
      <x:c r="AJ53" s="3" t="s">
        <x:v>776</x:v>
      </x:c>
      <x:c r="AK53" s="3" t="s">
        <x:v>692</x:v>
      </x:c>
      <x:c r="AL53" s="3" t="s">
        <x:v>125</x:v>
      </x:c>
      <x:c r="AM53" s="3" t="s">
        <x:v>655</x:v>
      </x:c>
      <x:c r="AN53" s="3" t="s">
        <x:v>688</x:v>
      </x:c>
      <x:c r="AO53" s="3" t="s">
        <x:v>261</x:v>
      </x:c>
      <x:c r="AP53" s="3" t="s">
        <x:v>1032</x:v>
      </x:c>
      <x:c r="AQ53" s="6" t="s">
        <x:v>124</x:v>
      </x:c>
      <x:c r="AR53" s="6" t="s">
        <x:v>124</x:v>
      </x:c>
      <x:c r="AS53" s="7"/>
      <x:c r="AT53" s="7"/>
      <x:c r="AU53" s="7"/>
      <x:c r="AV53" s="7"/>
      <x:c r="AW53" s="7"/>
      <x:c r="AX53" s="7"/>
    </x:row>
    <x:row r="54" spans="1:50" ht="26.35000000000000142109">
      <x:c r="A54" s="3">
        <x:v>51</x:v>
      </x:c>
      <x:c r="B54" s="3" t="s">
        <x:v>753</x:v>
      </x:c>
      <x:c r="C54" s="4"/>
      <x:c r="D54" s="3">
        <x:v>3</x:v>
      </x:c>
      <x:c r="E54" s="3" t="s">
        <x:v>157</x:v>
      </x:c>
      <x:c r="F54" s="3" t="s">
        <x:v>69</x:v>
      </x:c>
      <x:c r="G54" s="3" t="s">
        <x:v>774</x:v>
      </x:c>
      <x:c r="I54" s="3" t="s">
        <x:v>57</x:v>
      </x:c>
      <x:c r="J54" s="3" t="s">
        <x:v>669</x:v>
      </x:c>
      <x:c r="K54" s="3" t="s">
        <x:v>669</x:v>
      </x:c>
      <x:c r="L54" s="3" t="s">
        <x:v>61</x:v>
      </x:c>
      <x:c r="M54" s="3" t="s">
        <x:v>375</x:v>
      </x:c>
      <x:c r="N54" s="3" t="s">
        <x:v>706</x:v>
      </x:c>
      <x:c r="O54" s="3" t="s">
        <x:v>677</x:v>
      </x:c>
      <x:c r="P54" s="3"/>
      <x:c r="Q54" s="3">
        <x:v>0.311</x:v>
      </x:c>
      <x:c r="R54" s="3" t="s">
        <x:v>706</x:v>
      </x:c>
      <x:c r="S54" s="3" t="s">
        <x:v>677</x:v>
      </x:c>
      <x:c r="T54" s="3"/>
      <x:c r="U54" s="3">
        <x:v>0.311</x:v>
      </x:c>
      <x:c r="V54" s="3" t="s">
        <x:v>707</x:v>
      </x:c>
      <x:c r="W54" s="3" t="s">
        <x:v>677</x:v>
      </x:c>
      <x:c r="X54" s="3"/>
      <x:c r="Y54" s="3">
        <x:v>0.76800000000000002</x:v>
      </x:c>
      <x:c r="Z54" s="3" t="s">
        <x:v>617</x:v>
      </x:c>
      <x:c r="AA54" s="3" t="s">
        <x:v>677</x:v>
      </x:c>
      <x:c r="AB54" s="3"/>
      <x:c r="AC54" s="3">
        <x:v>0.85799999999999998</x:v>
      </x:c>
      <x:c r="AD54" s="3" t="s">
        <x:v>875</x:v>
      </x:c>
      <x:c r="AE54" s="4"/>
      <x:c r="AF54" s="3" t="s">
        <x:v>671</x:v>
      </x:c>
      <x:c r="AG54" s="3" t="s">
        <x:v>716</x:v>
      </x:c>
      <x:c r="AH54" s="3" t="s">
        <x:v>688</x:v>
      </x:c>
      <x:c r="AI54" s="4"/>
      <x:c r="AJ54" s="4"/>
      <x:c r="AK54" s="4"/>
      <x:c r="AL54" s="4"/>
      <x:c r="AM54" s="4"/>
      <x:c r="AN54" s="4"/>
      <x:c r="AO54" s="3" t="s">
        <x:v>1036</x:v>
      </x:c>
      <x:c r="AP54" s="3" t="s">
        <x:v>352</x:v>
      </x:c>
      <x:c r="AQ54" s="6" t="s">
        <x:v>124</x:v>
      </x:c>
      <x:c r="AR54" s="6" t="s">
        <x:v>124</x:v>
      </x:c>
      <x:c r="AS54" s="7"/>
      <x:c r="AT54" s="7"/>
      <x:c r="AU54" s="7"/>
      <x:c r="AV54" s="7"/>
      <x:c r="AW54" s="7"/>
      <x:c r="AX54" s="7"/>
    </x:row>
    <x:row r="55" spans="1:50" ht="131.69999999999998863132">
      <x:c r="A55" s="3">
        <x:v>52</x:v>
      </x:c>
      <x:c r="B55" s="3" t="s">
        <x:v>771</x:v>
      </x:c>
      <x:c r="C55" s="4"/>
      <x:c r="D55" s="3">
        <x:v>3</x:v>
      </x:c>
      <x:c r="E55" s="3" t="s">
        <x:v>178</x:v>
      </x:c>
      <x:c r="F55" s="3" t="s">
        <x:v>69</x:v>
      </x:c>
      <x:c r="G55" s="3" t="s">
        <x:v>762</x:v>
      </x:c>
      <x:c r="H55" s="4"/>
      <x:c r="I55" s="3" t="s">
        <x:v>57</x:v>
      </x:c>
      <x:c r="J55" s="3" t="s">
        <x:v>663</x:v>
      </x:c>
      <x:c r="K55" s="4"/>
      <x:c r="L55" s="4"/>
      <x:c r="M55" s="3" t="s">
        <x:v>923</x:v>
      </x:c>
      <x:c r="N55" s="3" t="s">
        <x:v>643</x:v>
      </x:c>
      <x:c r="O55" s="3" t="s">
        <x:v>677</x:v>
      </x:c>
      <x:c r="P55" s="3"/>
      <x:c r="Q55" s="3">
        <x:v>2</x:v>
      </x:c>
      <x:c r="R55" s="3" t="s">
        <x:v>643</x:v>
      </x:c>
      <x:c r="S55" s="3" t="s">
        <x:v>677</x:v>
      </x:c>
      <x:c r="T55" s="3"/>
      <x:c r="U55" s="3">
        <x:v>2</x:v>
      </x:c>
      <x:c r="V55" s="3" t="s">
        <x:v>733</x:v>
      </x:c>
      <x:c r="W55" s="3" t="s">
        <x:v>677</x:v>
      </x:c>
      <x:c r="X55" s="3"/>
      <x:c r="Y55" s="3">
        <x:v>1.8</x:v>
      </x:c>
      <x:c r="Z55" s="3" t="s">
        <x:v>719</x:v>
      </x:c>
      <x:c r="AA55" s="3" t="s">
        <x:v>677</x:v>
      </x:c>
      <x:c r="AB55" s="3"/>
      <x:c r="AC55" s="3">
        <x:v>3.2000000000000002</x:v>
      </x:c>
      <x:c r="AD55" s="3" t="s">
        <x:v>316</x:v>
      </x:c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3" t="s">
        <x:v>300</x:v>
      </x:c>
      <x:c r="AP55" s="3" t="s">
        <x:v>8</x:v>
      </x:c>
      <x:c r="AQ55" s="6" t="s">
        <x:v>127</x:v>
      </x:c>
      <x:c r="AR55" s="6" t="s">
        <x:v>127</x:v>
      </x:c>
      <x:c r="AS55" s="7"/>
      <x:c r="AT55" s="7"/>
      <x:c r="AU55" s="7"/>
      <x:c r="AV55" s="7"/>
      <x:c r="AW55" s="7"/>
      <x:c r="AX55" s="7"/>
    </x:row>
    <x:row r="56" spans="1:50" ht="26.35000000000000142109">
      <x:c r="A56" s="3">
        <x:v>53</x:v>
      </x:c>
      <x:c r="B56" s="3" t="s">
        <x:v>767</x:v>
      </x:c>
      <x:c r="C56" s="4"/>
      <x:c r="D56" s="3">
        <x:v>3</x:v>
      </x:c>
      <x:c r="E56" s="3" t="s">
        <x:v>162</x:v>
      </x:c>
      <x:c r="F56" s="3" t="s">
        <x:v>69</x:v>
      </x:c>
      <x:c r="G56" s="3" t="s">
        <x:v>759</x:v>
      </x:c>
      <x:c r="H56" s="4"/>
      <x:c r="I56" s="3" t="s">
        <x:v>57</x:v>
      </x:c>
      <x:c r="J56" s="3" t="s">
        <x:v>669</x:v>
      </x:c>
      <x:c r="K56" s="3" t="s">
        <x:v>669</x:v>
      </x:c>
      <x:c r="L56" s="3" t="s">
        <x:v>55</x:v>
      </x:c>
      <x:c r="M56" s="3" t="s">
        <x:v>370</x:v>
      </x:c>
      <x:c r="N56" s="3" t="s">
        <x:v>694</x:v>
      </x:c>
      <x:c r="O56" s="3" t="s">
        <x:v>677</x:v>
      </x:c>
      <x:c r="P56" s="3"/>
      <x:c r="Q56" s="3">
        <x:v>0.11</x:v>
      </x:c>
      <x:c r="R56" s="3" t="s">
        <x:v>694</x:v>
      </x:c>
      <x:c r="S56" s="3" t="s">
        <x:v>677</x:v>
      </x:c>
      <x:c r="T56" s="3"/>
      <x:c r="U56" s="3">
        <x:v>0.11</x:v>
      </x:c>
      <x:c r="V56" s="3" t="s">
        <x:v>694</x:v>
      </x:c>
      <x:c r="W56" s="3" t="s">
        <x:v>666</x:v>
      </x:c>
      <x:c r="X56" s="3"/>
      <x:c r="Y56" s="3">
        <x:v>0.11</x:v>
      </x:c>
      <x:c r="Z56" s="4"/>
      <x:c r="AA56" s="4"/>
      <x:c r="AB56" s="3"/>
      <x:c r="AC56" s="4"/>
      <x:c r="AD56" s="3" t="s">
        <x:v>872</x:v>
      </x:c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3" t="s">
        <x:v>454</x:v>
      </x:c>
      <x:c r="AP56" s="3" t="s">
        <x:v>277</x:v>
      </x:c>
      <x:c r="AQ56" s="6" t="s">
        <x:v>124</x:v>
      </x:c>
      <x:c r="AR56" s="6" t="s">
        <x:v>124</x:v>
      </x:c>
      <x:c r="AS56" s="7"/>
      <x:c r="AT56" s="7"/>
      <x:c r="AU56" s="7"/>
      <x:c r="AV56" s="7"/>
      <x:c r="AW56" s="7"/>
      <x:c r="AX56" s="7"/>
    </x:row>
    <x:row r="57" spans="1:50" ht="26.35000000000000142109">
      <x:c r="A57" s="3">
        <x:v>54</x:v>
      </x:c>
      <x:c r="B57" s="3" t="s">
        <x:v>628</x:v>
      </x:c>
      <x:c r="C57" s="4"/>
      <x:c r="D57" s="3">
        <x:v>3</x:v>
      </x:c>
      <x:c r="E57" s="3" t="s">
        <x:v>143</x:v>
      </x:c>
      <x:c r="F57" s="3" t="s">
        <x:v>69</x:v>
      </x:c>
      <x:c r="G57" s="3" t="s">
        <x:v>756</x:v>
      </x:c>
      <x:c r="H57" s="4"/>
      <x:c r="I57" s="3" t="s">
        <x:v>57</x:v>
      </x:c>
      <x:c r="J57" s="3" t="s">
        <x:v>669</x:v>
      </x:c>
      <x:c r="K57" s="3" t="s">
        <x:v>669</x:v>
      </x:c>
      <x:c r="L57" s="3" t="s">
        <x:v>55</x:v>
      </x:c>
      <x:c r="M57" s="3" t="s">
        <x:v>525</x:v>
      </x:c>
      <x:c r="N57" s="3" t="s">
        <x:v>698</x:v>
      </x:c>
      <x:c r="O57" s="3" t="s">
        <x:v>666</x:v>
      </x:c>
      <x:c r="P57" s="3"/>
      <x:c r="Q57" s="3">
        <x:v>0.44</x:v>
      </x:c>
      <x:c r="R57" s="3" t="s">
        <x:v>698</x:v>
      </x:c>
      <x:c r="S57" s="3" t="s">
        <x:v>666</x:v>
      </x:c>
      <x:c r="T57" s="3"/>
      <x:c r="U57" s="3">
        <x:v>0.44</x:v>
      </x:c>
      <x:c r="V57" s="4"/>
      <x:c r="W57" s="4"/>
      <x:c r="X57" s="3"/>
      <x:c r="Y57" s="4"/>
      <x:c r="Z57" s="4"/>
      <x:c r="AA57" s="4"/>
      <x:c r="AB57" s="3"/>
      <x:c r="AC57" s="4"/>
      <x:c r="AD57" s="3" t="s">
        <x:v>315</x:v>
      </x:c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3" t="s">
        <x:v>455</x:v>
      </x:c>
      <x:c r="AP57" s="4"/>
      <x:c r="AQ57" s="6" t="s">
        <x:v>124</x:v>
      </x:c>
      <x:c r="AR57" s="6" t="s">
        <x:v>124</x:v>
      </x:c>
      <x:c r="AS57" s="7"/>
      <x:c r="AT57" s="7"/>
      <x:c r="AU57" s="7"/>
      <x:c r="AV57" s="7"/>
      <x:c r="AW57" s="7"/>
      <x:c r="AX57" s="7"/>
    </x:row>
    <x:row r="58" spans="1:50" ht="26.35000000000000142109">
      <x:c r="A58" s="3">
        <x:v>55</x:v>
      </x:c>
      <x:c r="B58" s="3" t="s">
        <x:v>758</x:v>
      </x:c>
      <x:c r="C58" s="3" t="s">
        <x:v>677</x:v>
      </x:c>
      <x:c r="D58" s="3">
        <x:v>3</x:v>
      </x:c>
      <x:c r="E58" s="3" t="s">
        <x:v>167</x:v>
      </x:c>
      <x:c r="F58" s="3" t="s">
        <x:v>53</x:v>
      </x:c>
      <x:c r="G58" s="3" t="s">
        <x:v>757</x:v>
      </x:c>
      <x:c r="H58" s="3" t="s">
        <x:v>57</x:v>
      </x:c>
      <x:c r="I58" s="4"/>
      <x:c r="J58" s="3" t="s">
        <x:v>743</x:v>
      </x:c>
      <x:c r="K58" s="3" t="s">
        <x:v>743</x:v>
      </x:c>
      <x:c r="L58" s="3" t="s">
        <x:v>55</x:v>
      </x:c>
      <x:c r="M58" s="3" t="s">
        <x:v>453</x:v>
      </x:c>
      <x:c r="N58" s="3" t="s">
        <x:v>618</x:v>
      </x:c>
      <x:c r="O58" s="3" t="s">
        <x:v>677</x:v>
      </x:c>
      <x:c r="P58" s="3"/>
      <x:c r="Q58" s="3">
        <x:v>0.80000000000000004</x:v>
      </x:c>
      <x:c r="R58" s="3" t="s">
        <x:v>618</x:v>
      </x:c>
      <x:c r="S58" s="3" t="s">
        <x:v>677</x:v>
      </x:c>
      <x:c r="T58" s="3"/>
      <x:c r="U58" s="3">
        <x:v>0.80000000000000004</x:v>
      </x:c>
      <x:c r="V58" s="3" t="s">
        <x:v>530</x:v>
      </x:c>
      <x:c r="W58" s="3" t="s">
        <x:v>677</x:v>
      </x:c>
      <x:c r="X58" s="3"/>
      <x:c r="Y58" s="3">
        <x:v>0.92600000000000005</x:v>
      </x:c>
      <x:c r="Z58" s="3" t="s">
        <x:v>532</x:v>
      </x:c>
      <x:c r="AA58" s="3" t="s">
        <x:v>677</x:v>
      </x:c>
      <x:c r="AB58" s="3"/>
      <x:c r="AC58" s="3">
        <x:v>1.3</x:v>
      </x:c>
      <x:c r="AD58" s="3" t="s">
        <x:v>311</x:v>
      </x:c>
      <x:c r="AE58" s="3" t="s">
        <x:v>185</x:v>
      </x:c>
      <x:c r="AF58" s="4"/>
      <x:c r="AG58" s="4"/>
      <x:c r="AH58" s="4"/>
      <x:c r="AI58" s="4"/>
      <x:c r="AJ58" s="4"/>
      <x:c r="AK58" s="4"/>
      <x:c r="AL58" s="4"/>
      <x:c r="AM58" s="4"/>
      <x:c r="AN58" s="4"/>
      <x:c r="AO58" s="3" t="s">
        <x:v>920</x:v>
      </x:c>
      <x:c r="AP58" s="4"/>
      <x:c r="AQ58" s="6" t="s">
        <x:v>124</x:v>
      </x:c>
      <x:c r="AR58" s="6" t="s">
        <x:v>124</x:v>
      </x:c>
      <x:c r="AS58" s="7"/>
      <x:c r="AT58" s="7"/>
      <x:c r="AU58" s="7"/>
      <x:c r="AV58" s="7"/>
      <x:c r="AW58" s="7"/>
      <x:c r="AX58" s="7"/>
    </x:row>
    <x:row r="59" spans="1:50" ht="26.35000000000000142109">
      <x:c r="A59" s="3">
        <x:v>56</x:v>
      </x:c>
      <x:c r="B59" s="3" t="s">
        <x:v>758</x:v>
      </x:c>
      <x:c r="C59" s="3" t="s">
        <x:v>677</x:v>
      </x:c>
      <x:c r="D59" s="3">
        <x:v>3</x:v>
      </x:c>
      <x:c r="E59" s="3" t="s">
        <x:v>186</x:v>
      </x:c>
      <x:c r="F59" s="3" t="s">
        <x:v>69</x:v>
      </x:c>
      <x:c r="G59" s="3" t="s">
        <x:v>772</x:v>
      </x:c>
      <x:c r="H59" s="3" t="s">
        <x:v>57</x:v>
      </x:c>
      <x:c r="I59" s="4"/>
      <x:c r="J59" s="3" t="s">
        <x:v>653</x:v>
      </x:c>
      <x:c r="K59" s="4"/>
      <x:c r="L59" s="4"/>
      <x:c r="M59" s="3" t="s">
        <x:v>243</x:v>
      </x:c>
      <x:c r="N59" s="3" t="s">
        <x:v>618</x:v>
      </x:c>
      <x:c r="O59" s="3" t="s">
        <x:v>677</x:v>
      </x:c>
      <x:c r="P59" s="3"/>
      <x:c r="Q59" s="3">
        <x:v>0.20000000000000001</x:v>
      </x:c>
      <x:c r="R59" s="3" t="s">
        <x:v>618</x:v>
      </x:c>
      <x:c r="S59" s="3" t="s">
        <x:v>677</x:v>
      </x:c>
      <x:c r="T59" s="3"/>
      <x:c r="U59" s="3">
        <x:v>0.20000000000000001</x:v>
      </x:c>
      <x:c r="V59" s="3" t="s">
        <x:v>532</x:v>
      </x:c>
      <x:c r="W59" s="3" t="s">
        <x:v>677</x:v>
      </x:c>
      <x:c r="X59" s="3"/>
      <x:c r="Y59" s="3">
        <x:v>0.86599999999999999</x:v>
      </x:c>
      <x:c r="Z59" s="3" t="s">
        <x:v>530</x:v>
      </x:c>
      <x:c r="AA59" s="3" t="s">
        <x:v>677</x:v>
      </x:c>
      <x:c r="AB59" s="3"/>
      <x:c r="AC59" s="3">
        <x:v>1.2</x:v>
      </x:c>
      <x:c r="AD59" s="3" t="s">
        <x:v>306</x:v>
      </x:c>
      <x:c r="AE59" s="3" t="s">
        <x:v>185</x:v>
      </x:c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6" t="s">
        <x:v>124</x:v>
      </x:c>
      <x:c r="AR59" s="6" t="s">
        <x:v>124</x:v>
      </x:c>
      <x:c r="AS59" s="7"/>
      <x:c r="AT59" s="7"/>
      <x:c r="AU59" s="7"/>
      <x:c r="AV59" s="7"/>
      <x:c r="AW59" s="7"/>
      <x:c r="AX59" s="7"/>
    </x:row>
    <x:row r="60" spans="1:50" ht="65.84999999999999431566">
      <x:c r="A60" s="3">
        <x:v>57</x:v>
      </x:c>
      <x:c r="B60" s="3" t="s">
        <x:v>758</x:v>
      </x:c>
      <x:c r="C60" s="3" t="s">
        <x:v>677</x:v>
      </x:c>
      <x:c r="D60" s="3">
        <x:v>3</x:v>
      </x:c>
      <x:c r="E60" s="3" t="s">
        <x:v>193</x:v>
      </x:c>
      <x:c r="F60" s="3" t="s">
        <x:v>69</x:v>
      </x:c>
      <x:c r="G60" s="3" t="s">
        <x:v>754</x:v>
      </x:c>
      <x:c r="H60" s="3" t="s">
        <x:v>57</x:v>
      </x:c>
      <x:c r="I60" s="4"/>
      <x:c r="J60" s="3" t="s">
        <x:v>653</x:v>
      </x:c>
      <x:c r="K60" s="4"/>
      <x:c r="L60" s="4"/>
      <x:c r="M60" s="3" t="s">
        <x:v>449</x:v>
      </x:c>
      <x:c r="N60" s="3" t="s">
        <x:v>618</x:v>
      </x:c>
      <x:c r="O60" s="3" t="s">
        <x:v>677</x:v>
      </x:c>
      <x:c r="P60" s="3"/>
      <x:c r="Q60" s="3">
        <x:v>0.63400000000000001</x:v>
      </x:c>
      <x:c r="R60" s="3" t="s">
        <x:v>618</x:v>
      </x:c>
      <x:c r="S60" s="3" t="s">
        <x:v>677</x:v>
      </x:c>
      <x:c r="T60" s="3"/>
      <x:c r="U60" s="3">
        <x:v>0.63400000000000001</x:v>
      </x:c>
      <x:c r="V60" s="3" t="s">
        <x:v>530</x:v>
      </x:c>
      <x:c r="W60" s="3" t="s">
        <x:v>677</x:v>
      </x:c>
      <x:c r="X60" s="3"/>
      <x:c r="Y60" s="3">
        <x:v>0.85499999999999998</x:v>
      </x:c>
      <x:c r="Z60" s="3" t="s">
        <x:v>532</x:v>
      </x:c>
      <x:c r="AA60" s="3" t="s">
        <x:v>677</x:v>
      </x:c>
      <x:c r="AB60" s="3"/>
      <x:c r="AC60" s="14">
        <x:v>1.1000000000000001</x:v>
      </x:c>
      <x:c r="AD60" s="3" t="s">
        <x:v>871</x:v>
      </x:c>
      <x:c r="AE60" s="3" t="s">
        <x:v>185</x:v>
      </x:c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3" t="s">
        <x:v>415</x:v>
      </x:c>
      <x:c r="AQ60" s="6" t="s">
        <x:v>124</x:v>
      </x:c>
      <x:c r="AR60" s="6" t="s">
        <x:v>124</x:v>
      </x:c>
      <x:c r="AS60" s="7"/>
      <x:c r="AT60" s="7"/>
      <x:c r="AU60" s="7"/>
      <x:c r="AV60" s="7"/>
      <x:c r="AW60" s="7"/>
      <x:c r="AX60" s="7"/>
    </x:row>
    <x:row r="61" spans="1:50" ht="26.35000000000000142109">
      <x:c r="A61" s="3">
        <x:v>58</x:v>
      </x:c>
      <x:c r="B61" s="3" t="s">
        <x:v>815</x:v>
      </x:c>
      <x:c r="C61" s="4"/>
      <x:c r="D61" s="3">
        <x:v>3</x:v>
      </x:c>
      <x:c r="E61" s="3" t="s">
        <x:v>184</x:v>
      </x:c>
      <x:c r="F61" s="3" t="s">
        <x:v>69</x:v>
      </x:c>
      <x:c r="G61" s="3" t="s">
        <x:v>770</x:v>
      </x:c>
      <x:c r="H61" s="4"/>
      <x:c r="I61" s="3" t="s">
        <x:v>57</x:v>
      </x:c>
      <x:c r="J61" s="3" t="s">
        <x:v>663</x:v>
      </x:c>
      <x:c r="K61" s="9" t="s">
        <x:v>761</x:v>
      </x:c>
      <x:c r="L61" s="3"/>
      <x:c r="M61" s="3" t="s">
        <x:v>362</x:v>
      </x:c>
      <x:c r="N61" s="3" t="s">
        <x:v>763</x:v>
      </x:c>
      <x:c r="O61" s="3" t="s">
        <x:v>677</x:v>
      </x:c>
      <x:c r="P61" s="3"/>
      <x:c r="Q61" s="3">
        <x:v>0.375</x:v>
      </x:c>
      <x:c r="R61" s="3" t="s">
        <x:v>763</x:v>
      </x:c>
      <x:c r="S61" s="3" t="s">
        <x:v>677</x:v>
      </x:c>
      <x:c r="T61" s="3"/>
      <x:c r="U61" s="3">
        <x:v>0.375</x:v>
      </x:c>
      <x:c r="V61" s="3" t="s">
        <x:v>706</x:v>
      </x:c>
      <x:c r="W61" s="3" t="s">
        <x:v>677</x:v>
      </x:c>
      <x:c r="X61" s="3"/>
      <x:c r="Y61" s="3">
        <x:v>3.8999999999999999</x:v>
      </x:c>
      <x:c r="Z61" s="3" t="s">
        <x:v>617</x:v>
      </x:c>
      <x:c r="AA61" s="3" t="s">
        <x:v>677</x:v>
      </x:c>
      <x:c r="AB61" s="3"/>
      <x:c r="AC61" s="3">
        <x:v>4.5</x:v>
      </x:c>
      <x:c r="AD61" s="3" t="s">
        <x:v>880</x:v>
      </x:c>
      <x:c r="AE61" s="4"/>
      <x:c r="AF61" s="3" t="s">
        <x:v>671</x:v>
      </x:c>
      <x:c r="AG61" s="3" t="s">
        <x:v>716</x:v>
      </x:c>
      <x:c r="AH61" s="3" t="s">
        <x:v>688</x:v>
      </x:c>
      <x:c r="AI61" s="4"/>
      <x:c r="AJ61" s="4"/>
      <x:c r="AK61" s="4"/>
      <x:c r="AL61" s="4"/>
      <x:c r="AM61" s="4"/>
      <x:c r="AN61" s="4"/>
      <x:c r="AO61" s="3" t="s">
        <x:v>226</x:v>
      </x:c>
      <x:c r="AP61" s="3" t="s">
        <x:v>931</x:v>
      </x:c>
      <x:c r="AQ61" s="6" t="s">
        <x:v>124</x:v>
      </x:c>
      <x:c r="AR61" s="6" t="s">
        <x:v>124</x:v>
      </x:c>
      <x:c r="AS61" s="7"/>
      <x:c r="AT61" s="7"/>
      <x:c r="AU61" s="7"/>
      <x:c r="AV61" s="7"/>
      <x:c r="AW61" s="7"/>
      <x:c r="AX61" s="7"/>
    </x:row>
    <x:row r="62" spans="1:50" ht="65.84999999999999431566">
      <x:c r="A62" s="3">
        <x:v>59</x:v>
      </x:c>
      <x:c r="B62" s="3" t="s">
        <x:v>764</x:v>
      </x:c>
      <x:c r="C62" s="4"/>
      <x:c r="D62" s="3">
        <x:v>3</x:v>
      </x:c>
      <x:c r="E62" s="3" t="s">
        <x:v>177</x:v>
      </x:c>
      <x:c r="F62" s="3" t="s">
        <x:v>69</x:v>
      </x:c>
      <x:c r="G62" s="3" t="s">
        <x:v>782</x:v>
      </x:c>
      <x:c r="H62" s="4"/>
      <x:c r="I62" s="3" t="s">
        <x:v>57</x:v>
      </x:c>
      <x:c r="J62" s="3" t="s">
        <x:v>686</x:v>
      </x:c>
      <x:c r="K62" s="4"/>
      <x:c r="L62" s="4"/>
      <x:c r="M62" s="3" t="s">
        <x:v>239</x:v>
      </x:c>
      <x:c r="N62" s="3" t="s">
        <x:v>709</x:v>
      </x:c>
      <x:c r="O62" s="3" t="s">
        <x:v>677</x:v>
      </x:c>
      <x:c r="P62" s="3"/>
      <x:c r="Q62" s="3">
        <x:v>0.67500000000000004</x:v>
      </x:c>
      <x:c r="R62" s="3" t="s">
        <x:v>709</x:v>
      </x:c>
      <x:c r="S62" s="3" t="s">
        <x:v>677</x:v>
      </x:c>
      <x:c r="T62" s="3"/>
      <x:c r="U62" s="3">
        <x:v>0.67500000000000004</x:v>
      </x:c>
      <x:c r="V62" s="3" t="s">
        <x:v>740</x:v>
      </x:c>
      <x:c r="W62" s="3" t="s">
        <x:v>677</x:v>
      </x:c>
      <x:c r="X62" s="3"/>
      <x:c r="Y62" s="3">
        <x:v>1</x:v>
      </x:c>
      <x:c r="Z62" s="3" t="s">
        <x:v>705</x:v>
      </x:c>
      <x:c r="AA62" s="3" t="s">
        <x:v>677</x:v>
      </x:c>
      <x:c r="AB62" s="3"/>
      <x:c r="AC62" s="3">
        <x:v>1.1000000000000001</x:v>
      </x:c>
      <x:c r="AD62" s="3" t="s">
        <x:v>861</x:v>
      </x:c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3" t="s">
        <x:v>25</x:v>
      </x:c>
      <x:c r="AP62" s="3" t="s">
        <x:v>357</x:v>
      </x:c>
      <x:c r="AQ62" s="6" t="s">
        <x:v>127</x:v>
      </x:c>
      <x:c r="AR62" s="6" t="s">
        <x:v>127</x:v>
      </x:c>
      <x:c r="AS62" s="7"/>
      <x:c r="AT62" s="7"/>
      <x:c r="AU62" s="7"/>
      <x:c r="AV62" s="7"/>
      <x:c r="AW62" s="7"/>
      <x:c r="AX62" s="7"/>
    </x:row>
    <x:row r="63" spans="1:50" ht="65.84999999999999431566">
      <x:c r="A63" s="3">
        <x:v>60</x:v>
      </x:c>
      <x:c r="B63" s="3" t="s">
        <x:v>631</x:v>
      </x:c>
      <x:c r="C63" s="4"/>
      <x:c r="D63" s="3">
        <x:v>3</x:v>
      </x:c>
      <x:c r="E63" s="3" t="s">
        <x:v>187</x:v>
      </x:c>
      <x:c r="F63" s="3" t="s">
        <x:v>69</x:v>
      </x:c>
      <x:c r="G63" s="3" t="s">
        <x:v>773</x:v>
      </x:c>
      <x:c r="H63" s="4"/>
      <x:c r="I63" s="3" t="s">
        <x:v>57</x:v>
      </x:c>
      <x:c r="J63" s="3" t="s">
        <x:v>663</x:v>
      </x:c>
      <x:c r="K63" s="4"/>
      <x:c r="L63" s="4"/>
      <x:c r="M63" s="3" t="s">
        <x:v>210</x:v>
      </x:c>
      <x:c r="N63" s="3" t="s">
        <x:v>697</x:v>
      </x:c>
      <x:c r="O63" s="3" t="s">
        <x:v>677</x:v>
      </x:c>
      <x:c r="P63" s="3"/>
      <x:c r="Q63" s="3">
        <x:v>0.45200000000000001</x:v>
      </x:c>
      <x:c r="R63" s="3" t="s">
        <x:v>697</x:v>
      </x:c>
      <x:c r="S63" s="3" t="s">
        <x:v>677</x:v>
      </x:c>
      <x:c r="T63" s="3"/>
      <x:c r="U63" s="3">
        <x:v>0.45200000000000001</x:v>
      </x:c>
      <x:c r="V63" s="3" t="s">
        <x:v>722</x:v>
      </x:c>
      <x:c r="W63" s="3" t="s">
        <x:v>677</x:v>
      </x:c>
      <x:c r="X63" s="3"/>
      <x:c r="Y63" s="3">
        <x:v>1.1000000000000001</x:v>
      </x:c>
      <x:c r="Z63" s="3" t="s">
        <x:v>636</x:v>
      </x:c>
      <x:c r="AA63" s="3" t="s">
        <x:v>677</x:v>
      </x:c>
      <x:c r="AB63" s="3"/>
      <x:c r="AC63" s="3">
        <x:v>1.3</x:v>
      </x:c>
      <x:c r="AD63" s="3" t="s">
        <x:v>874</x:v>
      </x:c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3" t="s">
        <x:v>301</x:v>
      </x:c>
      <x:c r="AP63" s="3" t="s">
        <x:v>258</x:v>
      </x:c>
      <x:c r="AQ63" s="6" t="s">
        <x:v>124</x:v>
      </x:c>
      <x:c r="AR63" s="6" t="s">
        <x:v>124</x:v>
      </x:c>
      <x:c r="AS63" s="7"/>
      <x:c r="AT63" s="7"/>
      <x:c r="AU63" s="7"/>
      <x:c r="AV63" s="7"/>
      <x:c r="AW63" s="7"/>
      <x:c r="AX63" s="7"/>
    </x:row>
    <x:row r="64" spans="1:50" ht="39.54999999999999715783">
      <x:c r="A64" s="3">
        <x:v>61</x:v>
      </x:c>
      <x:c r="B64" s="3" t="s">
        <x:v>613</x:v>
      </x:c>
      <x:c r="C64" s="4"/>
      <x:c r="D64" s="3">
        <x:v>3</x:v>
      </x:c>
      <x:c r="E64" s="3" t="s">
        <x:v>176</x:v>
      </x:c>
      <x:c r="F64" s="3" t="s">
        <x:v>53</x:v>
      </x:c>
      <x:c r="G64" s="3" t="s">
        <x:v>608</x:v>
      </x:c>
      <x:c r="H64" s="4"/>
      <x:c r="I64" s="3" t="s">
        <x:v>57</x:v>
      </x:c>
      <x:c r="J64" s="3" t="s">
        <x:v>669</x:v>
      </x:c>
      <x:c r="K64" s="3" t="s">
        <x:v>669</x:v>
      </x:c>
      <x:c r="L64" s="3" t="s">
        <x:v>55</x:v>
      </x:c>
      <x:c r="M64" s="3" t="s">
        <x:v>249</x:v>
      </x:c>
      <x:c r="N64" s="3" t="s">
        <x:v>736</x:v>
      </x:c>
      <x:c r="O64" s="3" t="s">
        <x:v>677</x:v>
      </x:c>
      <x:c r="P64" s="3"/>
      <x:c r="Q64" s="3">
        <x:v>0.63900000000000001</x:v>
      </x:c>
      <x:c r="R64" s="3" t="s">
        <x:v>738</x:v>
      </x:c>
      <x:c r="S64" s="3" t="s">
        <x:v>677</x:v>
      </x:c>
      <x:c r="T64" s="3"/>
      <x:c r="U64" s="3">
        <x:v>0.98399999999999999</x:v>
      </x:c>
      <x:c r="V64" s="3" t="s">
        <x:v>702</x:v>
      </x:c>
      <x:c r="W64" s="3" t="s">
        <x:v>677</x:v>
      </x:c>
      <x:c r="X64" s="3"/>
      <x:c r="Y64" s="3">
        <x:v>1.2</x:v>
      </x:c>
      <x:c r="Z64" s="3" t="s">
        <x:v>724</x:v>
      </x:c>
      <x:c r="AA64" s="3" t="s">
        <x:v>677</x:v>
      </x:c>
      <x:c r="AB64" s="3"/>
      <x:c r="AC64" s="3">
        <x:v>1.8999999999999999</x:v>
      </x:c>
      <x:c r="AD64" s="3" t="s">
        <x:v>884</x:v>
      </x:c>
      <x:c r="AE64" s="4"/>
      <x:c r="AF64" s="3" t="s">
        <x:v>671</x:v>
      </x:c>
      <x:c r="AG64" s="3" t="s">
        <x:v>716</x:v>
      </x:c>
      <x:c r="AH64" s="3" t="s">
        <x:v>688</x:v>
      </x:c>
      <x:c r="AI64" s="3" t="s">
        <x:v>671</x:v>
      </x:c>
      <x:c r="AJ64" s="3" t="s">
        <x:v>776</x:v>
      </x:c>
      <x:c r="AK64" s="3" t="s">
        <x:v>692</x:v>
      </x:c>
      <x:c r="AL64" s="4"/>
      <x:c r="AM64" s="4"/>
      <x:c r="AN64" s="4"/>
      <x:c r="AO64" s="3" t="s">
        <x:v>460</x:v>
      </x:c>
      <x:c r="AP64" s="3" t="s">
        <x:v>934</x:v>
      </x:c>
      <x:c r="AQ64" s="6" t="s">
        <x:v>124</x:v>
      </x:c>
      <x:c r="AR64" s="6" t="s">
        <x:v>124</x:v>
      </x:c>
      <x:c r="AS64" s="7"/>
      <x:c r="AT64" s="7"/>
      <x:c r="AU64" s="7"/>
      <x:c r="AV64" s="7"/>
      <x:c r="AW64" s="7"/>
      <x:c r="AX64" s="7"/>
    </x:row>
    <x:row r="65" spans="1:50" ht="26.35000000000000142109">
      <x:c r="A65" s="3">
        <x:v>62</x:v>
      </x:c>
      <x:c r="B65" s="3" t="s">
        <x:v>609</x:v>
      </x:c>
      <x:c r="C65" s="4"/>
      <x:c r="D65" s="3">
        <x:v>3</x:v>
      </x:c>
      <x:c r="E65" s="3" t="s">
        <x:v>174</x:v>
      </x:c>
      <x:c r="F65" s="3" t="s">
        <x:v>69</x:v>
      </x:c>
      <x:c r="G65" s="3" t="s">
        <x:v>567</x:v>
      </x:c>
      <x:c r="H65" s="4"/>
      <x:c r="I65" s="3" t="s">
        <x:v>57</x:v>
      </x:c>
      <x:c r="J65" s="3" t="s">
        <x:v>669</x:v>
      </x:c>
      <x:c r="K65" s="3" t="s">
        <x:v>669</x:v>
      </x:c>
      <x:c r="L65" s="3" t="s">
        <x:v>55</x:v>
      </x:c>
      <x:c r="M65" s="3" t="s">
        <x:v>458</x:v>
      </x:c>
      <x:c r="N65" s="3" t="s">
        <x:v>719</x:v>
      </x:c>
      <x:c r="O65" s="3" t="s">
        <x:v>677</x:v>
      </x:c>
      <x:c r="P65" s="3"/>
      <x:c r="Q65" s="3">
        <x:v>0.010000000000000001</x:v>
      </x:c>
      <x:c r="R65" s="3" t="s">
        <x:v>719</x:v>
      </x:c>
      <x:c r="S65" s="3" t="s">
        <x:v>677</x:v>
      </x:c>
      <x:c r="T65" s="3"/>
      <x:c r="U65" s="3">
        <x:v>0.010000000000000001</x:v>
      </x:c>
      <x:c r="V65" s="3" t="s">
        <x:v>643</x:v>
      </x:c>
      <x:c r="W65" s="3" t="s">
        <x:v>677</x:v>
      </x:c>
      <x:c r="X65" s="3"/>
      <x:c r="Y65" s="3">
        <x:v>1.1000000000000001</x:v>
      </x:c>
      <x:c r="Z65" s="3" t="s">
        <x:v>720</x:v>
      </x:c>
      <x:c r="AA65" s="3" t="s">
        <x:v>677</x:v>
      </x:c>
      <x:c r="AB65" s="3"/>
      <x:c r="AC65" s="3">
        <x:v>2</x:v>
      </x:c>
      <x:c r="AD65" s="3" t="s">
        <x:v>877</x:v>
      </x:c>
      <x:c r="AE65" s="16" t="s">
        <x:v>606</x:v>
      </x:c>
      <x:c r="AF65" s="3" t="s">
        <x:v>671</x:v>
      </x:c>
      <x:c r="AG65" s="3" t="s">
        <x:v>716</x:v>
      </x:c>
      <x:c r="AH65" s="3" t="s">
        <x:v>688</x:v>
      </x:c>
      <x:c r="AI65" s="3" t="s">
        <x:v>671</x:v>
      </x:c>
      <x:c r="AJ65" s="3" t="s">
        <x:v>776</x:v>
      </x:c>
      <x:c r="AK65" s="3" t="s">
        <x:v>692</x:v>
      </x:c>
      <x:c r="AL65" s="3" t="s">
        <x:v>125</x:v>
      </x:c>
      <x:c r="AM65" s="3" t="s">
        <x:v>655</x:v>
      </x:c>
      <x:c r="AN65" s="3" t="s">
        <x:v>688</x:v>
      </x:c>
      <x:c r="AO65" s="3" t="s">
        <x:v>456</x:v>
      </x:c>
      <x:c r="AP65" s="4"/>
      <x:c r="AQ65" s="6" t="s">
        <x:v>124</x:v>
      </x:c>
      <x:c r="AR65" s="6" t="s">
        <x:v>124</x:v>
      </x:c>
      <x:c r="AS65" s="7"/>
      <x:c r="AT65" s="7"/>
      <x:c r="AU65" s="7"/>
      <x:c r="AV65" s="7"/>
      <x:c r="AW65" s="7"/>
      <x:c r="AX65" s="7"/>
    </x:row>
    <x:row r="66" spans="1:50" ht="26.35000000000000142109">
      <x:c r="A66" s="3">
        <x:v>63</x:v>
      </x:c>
      <x:c r="B66" s="3" t="s">
        <x:v>610</x:v>
      </x:c>
      <x:c r="C66" s="4"/>
      <x:c r="D66" s="3">
        <x:v>3</x:v>
      </x:c>
      <x:c r="E66" s="3" t="s">
        <x:v>159</x:v>
      </x:c>
      <x:c r="F66" s="3" t="s">
        <x:v>69</x:v>
      </x:c>
      <x:c r="G66" s="3" t="s">
        <x:v>611</x:v>
      </x:c>
      <x:c r="H66" s="4"/>
      <x:c r="I66" s="3" t="s">
        <x:v>57</x:v>
      </x:c>
      <x:c r="J66" s="3" t="s">
        <x:v>669</x:v>
      </x:c>
      <x:c r="K66" s="4"/>
      <x:c r="L66" s="4"/>
      <x:c r="M66" s="3" t="s">
        <x:v>248</x:v>
      </x:c>
      <x:c r="N66" s="3" t="s">
        <x:v>736</x:v>
      </x:c>
      <x:c r="O66" s="3" t="s">
        <x:v>677</x:v>
      </x:c>
      <x:c r="P66" s="3"/>
      <x:c r="Q66" s="3">
        <x:v>0.246</x:v>
      </x:c>
      <x:c r="R66" s="3" t="s">
        <x:v>736</x:v>
      </x:c>
      <x:c r="S66" s="3" t="s">
        <x:v>677</x:v>
      </x:c>
      <x:c r="T66" s="3"/>
      <x:c r="U66" s="3">
        <x:v>0.246</x:v>
      </x:c>
      <x:c r="V66" s="3" t="s">
        <x:v>738</x:v>
      </x:c>
      <x:c r="W66" s="3" t="s">
        <x:v>677</x:v>
      </x:c>
      <x:c r="X66" s="3"/>
      <x:c r="Y66" s="3">
        <x:v>1</x:v>
      </x:c>
      <x:c r="Z66" s="3" t="s">
        <x:v>702</x:v>
      </x:c>
      <x:c r="AA66" s="3" t="s">
        <x:v>677</x:v>
      </x:c>
      <x:c r="AB66" s="3"/>
      <x:c r="AC66" s="3">
        <x:v>1.3</x:v>
      </x:c>
      <x:c r="AD66" s="3" t="s">
        <x:v>911</x:v>
      </x:c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8" t="s">
        <x:v>658</x:v>
      </x:c>
      <x:c r="AP66" s="4"/>
      <x:c r="AQ66" s="6" t="s">
        <x:v>124</x:v>
      </x:c>
      <x:c r="AR66" s="6" t="s">
        <x:v>124</x:v>
      </x:c>
      <x:c r="AS66" s="7"/>
      <x:c r="AT66" s="7"/>
      <x:c r="AU66" s="7"/>
      <x:c r="AV66" s="7"/>
      <x:c r="AW66" s="7"/>
      <x:c r="AX66" s="7"/>
    </x:row>
    <x:row r="67" spans="1:50" ht="26.35000000000000142109">
      <x:c r="A67" s="3">
        <x:v>64</x:v>
      </x:c>
      <x:c r="B67" s="3" t="s">
        <x:v>815</x:v>
      </x:c>
      <x:c r="C67" s="4"/>
      <x:c r="D67" s="3">
        <x:v>3</x:v>
      </x:c>
      <x:c r="E67" s="3" t="s">
        <x:v>168</x:v>
      </x:c>
      <x:c r="F67" s="3" t="s">
        <x:v>69</x:v>
      </x:c>
      <x:c r="G67" s="3" t="s">
        <x:v>560</x:v>
      </x:c>
      <x:c r="H67" s="4"/>
      <x:c r="I67" s="3" t="s">
        <x:v>57</x:v>
      </x:c>
      <x:c r="J67" s="3" t="s">
        <x:v>669</x:v>
      </x:c>
      <x:c r="K67" s="3" t="s">
        <x:v>669</x:v>
      </x:c>
      <x:c r="L67" s="3" t="s">
        <x:v>55</x:v>
      </x:c>
      <x:c r="M67" s="3" t="s">
        <x:v>543</x:v>
      </x:c>
      <x:c r="N67" s="3" t="s">
        <x:v>763</x:v>
      </x:c>
      <x:c r="O67" s="3" t="s">
        <x:v>677</x:v>
      </x:c>
      <x:c r="P67" s="3"/>
      <x:c r="Q67" s="3">
        <x:v>0.187</x:v>
      </x:c>
      <x:c r="R67" s="3" t="s">
        <x:v>763</x:v>
      </x:c>
      <x:c r="S67" s="3" t="s">
        <x:v>677</x:v>
      </x:c>
      <x:c r="T67" s="3"/>
      <x:c r="U67" s="3">
        <x:v>0.187</x:v>
      </x:c>
      <x:c r="V67" s="3" t="s">
        <x:v>706</x:v>
      </x:c>
      <x:c r="W67" s="3" t="s">
        <x:v>677</x:v>
      </x:c>
      <x:c r="X67" s="3"/>
      <x:c r="Y67" s="3">
        <x:v>3.7999999999999998</x:v>
      </x:c>
      <x:c r="Z67" s="3" t="s">
        <x:v>617</x:v>
      </x:c>
      <x:c r="AA67" s="3" t="s">
        <x:v>677</x:v>
      </x:c>
      <x:c r="AB67" s="3"/>
      <x:c r="AC67" s="3">
        <x:v>4.4000000000000004</x:v>
      </x:c>
      <x:c r="AD67" s="3" t="s">
        <x:v>915</x:v>
      </x:c>
      <x:c r="AE67" s="4"/>
      <x:c r="AF67" s="3" t="s">
        <x:v>671</x:v>
      </x:c>
      <x:c r="AG67" s="3" t="s">
        <x:v>716</x:v>
      </x:c>
      <x:c r="AH67" s="3" t="s">
        <x:v>688</x:v>
      </x:c>
      <x:c r="AI67" s="3" t="s">
        <x:v>671</x:v>
      </x:c>
      <x:c r="AJ67" s="3" t="s">
        <x:v>811</x:v>
      </x:c>
      <x:c r="AK67" s="4"/>
      <x:c r="AL67" s="4"/>
      <x:c r="AM67" s="4"/>
      <x:c r="AN67" s="4"/>
      <x:c r="AO67" s="3" t="s">
        <x:v>450</x:v>
      </x:c>
      <x:c r="AP67" s="3" t="s">
        <x:v>355</x:v>
      </x:c>
      <x:c r="AQ67" s="6" t="s">
        <x:v>124</x:v>
      </x:c>
      <x:c r="AR67" s="6" t="s">
        <x:v>124</x:v>
      </x:c>
      <x:c r="AS67" s="7"/>
      <x:c r="AT67" s="7"/>
      <x:c r="AU67" s="7"/>
      <x:c r="AV67" s="7"/>
      <x:c r="AW67" s="7"/>
      <x:c r="AX67" s="7"/>
    </x:row>
    <x:row r="68" spans="1:50" ht="26.35000000000000142109">
      <x:c r="A68" s="3">
        <x:v>65</x:v>
      </x:c>
      <x:c r="B68" s="3" t="s">
        <x:v>815</x:v>
      </x:c>
      <x:c r="C68" s="4"/>
      <x:c r="D68" s="3">
        <x:v>3</x:v>
      </x:c>
      <x:c r="E68" s="3" t="s">
        <x:v>196</x:v>
      </x:c>
      <x:c r="F68" s="3" t="s">
        <x:v>53</x:v>
      </x:c>
      <x:c r="G68" s="3" t="s">
        <x:v>569</x:v>
      </x:c>
      <x:c r="H68" s="4"/>
      <x:c r="I68" s="3" t="s">
        <x:v>57</x:v>
      </x:c>
      <x:c r="J68" s="3" t="s">
        <x:v>686</x:v>
      </x:c>
      <x:c r="K68" s="3" t="s">
        <x:v>674</x:v>
      </x:c>
      <x:c r="L68" s="3" t="s">
        <x:v>61</x:v>
      </x:c>
      <x:c r="M68" s="3" t="s">
        <x:v>457</x:v>
      </x:c>
      <x:c r="N68" s="3" t="s">
        <x:v>617</x:v>
      </x:c>
      <x:c r="O68" s="3" t="s">
        <x:v>677</x:v>
      </x:c>
      <x:c r="P68" s="3"/>
      <x:c r="Q68" s="3">
        <x:v>0.29999999999999999</x:v>
      </x:c>
      <x:c r="R68" s="3" t="s">
        <x:v>617</x:v>
      </x:c>
      <x:c r="S68" s="3" t="s">
        <x:v>677</x:v>
      </x:c>
      <x:c r="T68" s="3"/>
      <x:c r="U68" s="3">
        <x:v>0.29999999999999999</x:v>
      </x:c>
      <x:c r="V68" s="3" t="s">
        <x:v>706</x:v>
      </x:c>
      <x:c r="W68" s="3" t="s">
        <x:v>677</x:v>
      </x:c>
      <x:c r="X68" s="3"/>
      <x:c r="Y68" s="3">
        <x:v>1.3</x:v>
      </x:c>
      <x:c r="Z68" s="3" t="s">
        <x:v>732</x:v>
      </x:c>
      <x:c r="AA68" s="3" t="s">
        <x:v>677</x:v>
      </x:c>
      <x:c r="AB68" s="3"/>
      <x:c r="AC68" s="3">
        <x:v>1.6000000000000001</x:v>
      </x:c>
      <x:c r="AD68" s="3" t="s">
        <x:v>898</x:v>
      </x:c>
      <x:c r="AE68" s="4"/>
      <x:c r="AF68" s="3" t="s">
        <x:v>671</x:v>
      </x:c>
      <x:c r="AG68" s="3" t="s">
        <x:v>716</x:v>
      </x:c>
      <x:c r="AH68" s="3" t="s">
        <x:v>688</x:v>
      </x:c>
      <x:c r="AI68" s="4"/>
      <x:c r="AJ68" s="4"/>
      <x:c r="AK68" s="4"/>
      <x:c r="AL68" s="4"/>
      <x:c r="AM68" s="4"/>
      <x:c r="AN68" s="4"/>
      <x:c r="AO68" s="3" t="s">
        <x:v>353</x:v>
      </x:c>
      <x:c r="AP68" s="3" t="s">
        <x:v>237</x:v>
      </x:c>
      <x:c r="AQ68" s="6" t="s">
        <x:v>124</x:v>
      </x:c>
      <x:c r="AR68" s="6" t="s">
        <x:v>124</x:v>
      </x:c>
      <x:c r="AS68" s="7"/>
      <x:c r="AT68" s="7"/>
      <x:c r="AU68" s="7"/>
      <x:c r="AV68" s="7"/>
      <x:c r="AW68" s="7"/>
      <x:c r="AX68" s="7"/>
    </x:row>
    <x:row r="69" spans="1:50" ht="65.84999999999999431566">
      <x:c r="A69" s="3">
        <x:v>66</x:v>
      </x:c>
      <x:c r="B69" s="3" t="s">
        <x:v>818</x:v>
      </x:c>
      <x:c r="C69" s="4"/>
      <x:c r="D69" s="3">
        <x:v>3</x:v>
      </x:c>
      <x:c r="E69" s="3" t="s">
        <x:v>32</x:v>
      </x:c>
      <x:c r="F69" s="3" t="s">
        <x:v>53</x:v>
      </x:c>
      <x:c r="G69" s="3" t="s">
        <x:v>566</x:v>
      </x:c>
      <x:c r="H69" s="4"/>
      <x:c r="I69" s="3" t="s">
        <x:v>57</x:v>
      </x:c>
      <x:c r="J69" s="3" t="s">
        <x:v>663</x:v>
      </x:c>
      <x:c r="K69" s="4"/>
      <x:c r="L69" s="4"/>
      <x:c r="M69" s="3" t="s">
        <x:v>461</x:v>
      </x:c>
      <x:c r="N69" s="3" t="s">
        <x:v>614</x:v>
      </x:c>
      <x:c r="O69" s="3" t="s">
        <x:v>677</x:v>
      </x:c>
      <x:c r="P69" s="3"/>
      <x:c r="Q69" s="3">
        <x:v>0.47999999999999998</x:v>
      </x:c>
      <x:c r="R69" s="3" t="s">
        <x:v>614</x:v>
      </x:c>
      <x:c r="S69" s="3" t="s">
        <x:v>677</x:v>
      </x:c>
      <x:c r="T69" s="3"/>
      <x:c r="U69" s="3">
        <x:v>0.47999999999999998</x:v>
      </x:c>
      <x:c r="V69" s="3" t="s">
        <x:v>697</x:v>
      </x:c>
      <x:c r="W69" s="3" t="s">
        <x:v>677</x:v>
      </x:c>
      <x:c r="X69" s="3"/>
      <x:c r="Y69" s="3">
        <x:v>1.3</x:v>
      </x:c>
      <x:c r="Z69" s="3" t="s">
        <x:v>690</x:v>
      </x:c>
      <x:c r="AA69" s="3" t="s">
        <x:v>677</x:v>
      </x:c>
      <x:c r="AB69" s="3"/>
      <x:c r="AC69" s="3">
        <x:v>1.8999999999999999</x:v>
      </x:c>
      <x:c r="AD69" s="3" t="s">
        <x:v>913</x:v>
      </x:c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3" t="s">
        <x:v>26</x:v>
      </x:c>
      <x:c r="AP69" s="4"/>
      <x:c r="AQ69" s="6" t="s">
        <x:v>124</x:v>
      </x:c>
      <x:c r="AR69" s="6" t="s">
        <x:v>124</x:v>
      </x:c>
      <x:c r="AS69" s="7"/>
      <x:c r="AT69" s="7"/>
      <x:c r="AU69" s="7"/>
      <x:c r="AV69" s="7"/>
      <x:c r="AW69" s="7"/>
      <x:c r="AX69" s="7"/>
    </x:row>
    <x:row r="70" spans="1:50" ht="39.54999999999999715783">
      <x:c r="A70" s="3">
        <x:v>67</x:v>
      </x:c>
      <x:c r="B70" s="17" t="s">
        <x:v>621</x:v>
      </x:c>
      <x:c r="C70" s="3" t="s">
        <x:v>677</x:v>
      </x:c>
      <x:c r="D70" s="3">
        <x:v>3</x:v>
      </x:c>
      <x:c r="E70" s="3" t="s">
        <x:v>197</x:v>
      </x:c>
      <x:c r="F70" s="3" t="s">
        <x:v>69</x:v>
      </x:c>
      <x:c r="G70" s="3" t="s">
        <x:v>823</x:v>
      </x:c>
      <x:c r="H70" s="3" t="s">
        <x:v>57</x:v>
      </x:c>
      <x:c r="I70" s="4"/>
      <x:c r="J70" s="8" t="s">
        <x:v>421</x:v>
      </x:c>
      <x:c r="K70" s="3" t="s">
        <x:v>669</x:v>
      </x:c>
      <x:c r="L70" s="3" t="s">
        <x:v>55</x:v>
      </x:c>
      <x:c r="M70" s="3" t="s">
        <x:v>452</x:v>
      </x:c>
      <x:c r="N70" s="3" t="s">
        <x:v>619</x:v>
      </x:c>
      <x:c r="O70" s="3" t="s">
        <x:v>677</x:v>
      </x:c>
      <x:c r="P70" s="3"/>
      <x:c r="Q70" s="3">
        <x:v>0.66000000000000003</x:v>
      </x:c>
      <x:c r="R70" s="3" t="s">
        <x:v>619</x:v>
      </x:c>
      <x:c r="S70" s="3" t="s">
        <x:v>677</x:v>
      </x:c>
      <x:c r="T70" s="3"/>
      <x:c r="U70" s="3">
        <x:v>0.66000000000000003</x:v>
      </x:c>
      <x:c r="V70" s="3" t="s">
        <x:v>645</x:v>
      </x:c>
      <x:c r="W70" s="3" t="s">
        <x:v>677</x:v>
      </x:c>
      <x:c r="X70" s="3"/>
      <x:c r="Y70" s="3">
        <x:v>1.8</x:v>
      </x:c>
      <x:c r="Z70" s="3" t="s">
        <x:v>719</x:v>
      </x:c>
      <x:c r="AA70" s="3" t="s">
        <x:v>677</x:v>
      </x:c>
      <x:c r="AB70" s="3"/>
      <x:c r="AC70" s="3">
        <x:v>1.7</x:v>
      </x:c>
      <x:c r="AD70" s="3" t="s">
        <x:v>912</x:v>
      </x:c>
      <x:c r="AE70" s="3" t="s">
        <x:v>198</x:v>
      </x:c>
      <x:c r="AF70" s="4"/>
      <x:c r="AG70" s="4"/>
      <x:c r="AH70" s="4"/>
      <x:c r="AI70" s="4"/>
      <x:c r="AJ70" s="4"/>
      <x:c r="AK70" s="4"/>
      <x:c r="AL70" s="4"/>
      <x:c r="AM70" s="4"/>
      <x:c r="AN70" s="4"/>
      <x:c r="AO70" s="3" t="s">
        <x:v>462</x:v>
      </x:c>
      <x:c r="AP70" s="3" t="s">
        <x:v>220</x:v>
      </x:c>
      <x:c r="AQ70" s="6" t="s">
        <x:v>124</x:v>
      </x:c>
      <x:c r="AR70" s="6" t="s">
        <x:v>124</x:v>
      </x:c>
      <x:c r="AS70" s="7"/>
      <x:c r="AT70" s="7"/>
      <x:c r="AU70" s="7"/>
      <x:c r="AV70" s="7"/>
      <x:c r="AW70" s="7"/>
      <x:c r="AX70" s="7"/>
    </x:row>
    <x:row r="71" spans="1:50" ht="26.35000000000000142109">
      <x:c r="A71" s="3">
        <x:v>68</x:v>
      </x:c>
      <x:c r="B71" s="3" t="s">
        <x:v>914</x:v>
      </x:c>
      <x:c r="C71" s="3" t="s">
        <x:v>677</x:v>
      </x:c>
      <x:c r="D71" s="3">
        <x:v>3</x:v>
      </x:c>
      <x:c r="E71" s="3" t="s">
        <x:v>200</x:v>
      </x:c>
      <x:c r="F71" s="3" t="s">
        <x:v>53</x:v>
      </x:c>
      <x:c r="G71" s="3" t="s">
        <x:v>607</x:v>
      </x:c>
      <x:c r="H71" s="3" t="s">
        <x:v>57</x:v>
      </x:c>
      <x:c r="I71" s="4"/>
      <x:c r="J71" s="3" t="s">
        <x:v>653</x:v>
      </x:c>
      <x:c r="K71" s="4"/>
      <x:c r="L71" s="4"/>
      <x:c r="M71" s="3" t="s">
        <x:v>361</x:v>
      </x:c>
      <x:c r="N71" s="3" t="s">
        <x:v>531</x:v>
      </x:c>
      <x:c r="O71" s="3" t="s">
        <x:v>666</x:v>
      </x:c>
      <x:c r="P71" s="3"/>
      <x:c r="Q71" s="3">
        <x:v>0.621</x:v>
      </x:c>
      <x:c r="R71" s="3" t="s">
        <x:v>531</x:v>
      </x:c>
      <x:c r="S71" s="3" t="s">
        <x:v>666</x:v>
      </x:c>
      <x:c r="T71" s="3"/>
      <x:c r="U71" s="3">
        <x:v>0.621</x:v>
      </x:c>
      <x:c r="V71" s="4"/>
      <x:c r="W71" s="4"/>
      <x:c r="X71" s="3"/>
      <x:c r="Y71" s="4"/>
      <x:c r="Z71" s="4"/>
      <x:c r="AA71" s="4"/>
      <x:c r="AB71" s="3"/>
      <x:c r="AC71" s="4"/>
      <x:c r="AD71" s="3" t="s">
        <x:v>894</x:v>
      </x:c>
      <x:c r="AE71" s="3" t="s">
        <x:v>181</x:v>
      </x:c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3"/>
      <x:c r="AQ71" s="6" t="s">
        <x:v>124</x:v>
      </x:c>
      <x:c r="AR71" s="6" t="s">
        <x:v>124</x:v>
      </x:c>
      <x:c r="AS71" s="7"/>
      <x:c r="AT71" s="7"/>
      <x:c r="AU71" s="7"/>
      <x:c r="AV71" s="7"/>
      <x:c r="AW71" s="7"/>
      <x:c r="AX71" s="7"/>
    </x:row>
    <x:row r="72" spans="1:50" ht="26.35000000000000142109">
      <x:c r="A72" s="3">
        <x:v>69</x:v>
      </x:c>
      <x:c r="B72" s="3" t="s">
        <x:v>914</x:v>
      </x:c>
      <x:c r="C72" s="3" t="s">
        <x:v>666</x:v>
      </x:c>
      <x:c r="D72" s="3">
        <x:v>3</x:v>
      </x:c>
      <x:c r="E72" s="3" t="s">
        <x:v>191</x:v>
      </x:c>
      <x:c r="F72" s="3" t="s">
        <x:v>69</x:v>
      </x:c>
      <x:c r="G72" s="3" t="s">
        <x:v>573</x:v>
      </x:c>
      <x:c r="H72" s="3" t="s">
        <x:v>57</x:v>
      </x:c>
      <x:c r="I72" s="4"/>
      <x:c r="J72" s="3" t="s">
        <x:v>653</x:v>
      </x:c>
      <x:c r="K72" s="4"/>
      <x:c r="L72" s="4"/>
      <x:c r="M72" s="3" t="s">
        <x:v>373</x:v>
      </x:c>
      <x:c r="N72" s="3" t="s">
        <x:v>532</x:v>
      </x:c>
      <x:c r="O72" s="3" t="s">
        <x:v>666</x:v>
      </x:c>
      <x:c r="P72" s="3"/>
      <x:c r="Q72" s="3">
        <x:v>0.38500000000000001</x:v>
      </x:c>
      <x:c r="R72" s="3" t="s">
        <x:v>532</x:v>
      </x:c>
      <x:c r="S72" s="3" t="s">
        <x:v>666</x:v>
      </x:c>
      <x:c r="T72" s="3"/>
      <x:c r="U72" s="3">
        <x:v>0.38500000000000001</x:v>
      </x:c>
      <x:c r="V72" s="4"/>
      <x:c r="W72" s="4"/>
      <x:c r="X72" s="3"/>
      <x:c r="Y72" s="4"/>
      <x:c r="Z72" s="4"/>
      <x:c r="AA72" s="4"/>
      <x:c r="AB72" s="3"/>
      <x:c r="AC72" s="4"/>
      <x:c r="AD72" s="3" t="s">
        <x:v>338</x:v>
      </x:c>
      <x:c r="AE72" s="3" t="s">
        <x:v>181</x:v>
      </x:c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3" t="s">
        <x:v>16</x:v>
      </x:c>
      <x:c r="AQ72" s="6" t="s">
        <x:v>124</x:v>
      </x:c>
      <x:c r="AR72" s="6" t="s">
        <x:v>124</x:v>
      </x:c>
      <x:c r="AS72" s="7"/>
      <x:c r="AT72" s="7"/>
      <x:c r="AU72" s="7"/>
      <x:c r="AV72" s="7"/>
      <x:c r="AW72" s="7"/>
      <x:c r="AX72" s="7"/>
    </x:row>
    <x:row r="73" spans="1:50" ht="26.35000000000000142109">
      <x:c r="A73" s="3">
        <x:v>70</x:v>
      </x:c>
      <x:c r="B73" s="3" t="s">
        <x:v>723</x:v>
      </x:c>
      <x:c r="C73" s="3" t="s">
        <x:v>677</x:v>
      </x:c>
      <x:c r="D73" s="3">
        <x:v>3</x:v>
      </x:c>
      <x:c r="E73" s="3" t="s">
        <x:v>175</x:v>
      </x:c>
      <x:c r="F73" s="3" t="s">
        <x:v>69</x:v>
      </x:c>
      <x:c r="G73" s="3" t="s">
        <x:v>759</x:v>
      </x:c>
      <x:c r="H73" s="3" t="s">
        <x:v>57</x:v>
      </x:c>
      <x:c r="I73" s="4"/>
      <x:c r="J73" s="3" t="s">
        <x:v>669</x:v>
      </x:c>
      <x:c r="K73" s="3" t="s">
        <x:v>822</x:v>
      </x:c>
      <x:c r="L73" s="3" t="s">
        <x:v>55</x:v>
      </x:c>
      <x:c r="M73" s="3" t="s">
        <x:v>372</x:v>
      </x:c>
      <x:c r="N73" s="3" t="s">
        <x:v>529</x:v>
      </x:c>
      <x:c r="O73" s="3" t="s">
        <x:v>677</x:v>
      </x:c>
      <x:c r="P73" s="3"/>
      <x:c r="Q73" s="3">
        <x:v>0.23000000000000001</x:v>
      </x:c>
      <x:c r="R73" s="3" t="s">
        <x:v>529</x:v>
      </x:c>
      <x:c r="S73" s="3" t="s">
        <x:v>677</x:v>
      </x:c>
      <x:c r="T73" s="3"/>
      <x:c r="U73" s="3">
        <x:v>0.23000000000000001</x:v>
      </x:c>
      <x:c r="V73" s="3" t="s">
        <x:v>676</x:v>
      </x:c>
      <x:c r="W73" s="3" t="s">
        <x:v>677</x:v>
      </x:c>
      <x:c r="X73" s="3"/>
      <x:c r="Y73" s="3">
        <x:v>1.8</x:v>
      </x:c>
      <x:c r="Z73" s="3" t="s">
        <x:v>629</x:v>
      </x:c>
      <x:c r="AA73" s="3" t="s">
        <x:v>677</x:v>
      </x:c>
      <x:c r="AB73" s="3"/>
      <x:c r="AC73" s="3">
        <x:v>2.2999999999999998</x:v>
      </x:c>
      <x:c r="AD73" s="3" t="s">
        <x:v>904</x:v>
      </x:c>
      <x:c r="AE73" s="3" t="s">
        <x:v>192</x:v>
      </x:c>
      <x:c r="AF73" s="3" t="s">
        <x:v>671</x:v>
      </x:c>
      <x:c r="AG73" s="3" t="s">
        <x:v>716</x:v>
      </x:c>
      <x:c r="AH73" s="3" t="s">
        <x:v>688</x:v>
      </x:c>
      <x:c r="AI73" s="3" t="s">
        <x:v>717</x:v>
      </x:c>
      <x:c r="AJ73" s="3" t="s">
        <x:v>703</x:v>
      </x:c>
      <x:c r="AK73" s="3" t="s">
        <x:v>688</x:v>
      </x:c>
      <x:c r="AL73" s="3" t="s">
        <x:v>671</x:v>
      </x:c>
      <x:c r="AM73" s="3" t="s">
        <x:v>649</x:v>
      </x:c>
      <x:c r="AN73" s="3" t="s">
        <x:v>692</x:v>
      </x:c>
      <x:c r="AO73" s="3" t="s">
        <x:v>382</x:v>
      </x:c>
      <x:c r="AP73" s="3"/>
      <x:c r="AQ73" s="6" t="s">
        <x:v>124</x:v>
      </x:c>
      <x:c r="AR73" s="6" t="s">
        <x:v>124</x:v>
      </x:c>
      <x:c r="AS73" s="7"/>
      <x:c r="AT73" s="7"/>
      <x:c r="AU73" s="7"/>
      <x:c r="AV73" s="7"/>
      <x:c r="AW73" s="7"/>
      <x:c r="AX73" s="7"/>
    </x:row>
    <x:row r="74" spans="1:50" ht="26.35000000000000142109">
      <x:c r="A74" s="3">
        <x:v>71</x:v>
      </x:c>
      <x:c r="B74" s="3" t="s">
        <x:v>723</x:v>
      </x:c>
      <x:c r="C74" s="3" t="s">
        <x:v>677</x:v>
      </x:c>
      <x:c r="D74" s="3">
        <x:v>3</x:v>
      </x:c>
      <x:c r="E74" s="3" t="s">
        <x:v>190</x:v>
      </x:c>
      <x:c r="F74" s="3" t="s">
        <x:v>53</x:v>
      </x:c>
      <x:c r="G74" s="3" t="s">
        <x:v>582</x:v>
      </x:c>
      <x:c r="H74" s="3" t="s">
        <x:v>57</x:v>
      </x:c>
      <x:c r="I74" s="4"/>
      <x:c r="J74" s="8" t="s">
        <x:v>421</x:v>
      </x:c>
      <x:c r="K74" s="3" t="s">
        <x:v>669</x:v>
      </x:c>
      <x:c r="L74" s="3" t="s">
        <x:v>55</x:v>
      </x:c>
      <x:c r="M74" s="3" t="s">
        <x:v>363</x:v>
      </x:c>
      <x:c r="N74" s="3" t="s">
        <x:v>529</x:v>
      </x:c>
      <x:c r="O74" s="3" t="s">
        <x:v>677</x:v>
      </x:c>
      <x:c r="P74" s="3"/>
      <x:c r="Q74" s="3">
        <x:v>0.035999999999999999</x:v>
      </x:c>
      <x:c r="R74" s="3" t="s">
        <x:v>529</x:v>
      </x:c>
      <x:c r="S74" s="3" t="s">
        <x:v>677</x:v>
      </x:c>
      <x:c r="T74" s="3"/>
      <x:c r="U74" s="3">
        <x:v>0.035999999999999999</x:v>
      </x:c>
      <x:c r="V74" s="3" t="s">
        <x:v>526</x:v>
      </x:c>
      <x:c r="W74" s="3" t="s">
        <x:v>677</x:v>
      </x:c>
      <x:c r="X74" s="3"/>
      <x:c r="Y74" s="3">
        <x:v>2.3999999999999999</x:v>
      </x:c>
      <x:c r="Z74" s="3" t="s">
        <x:v>689</x:v>
      </x:c>
      <x:c r="AA74" s="3" t="s">
        <x:v>677</x:v>
      </x:c>
      <x:c r="AB74" s="3"/>
      <x:c r="AC74" s="3">
        <x:v>3</x:v>
      </x:c>
      <x:c r="AD74" s="3" t="s">
        <x:v>327</x:v>
      </x:c>
      <x:c r="AE74" s="3" t="s">
        <x:v>192</x:v>
      </x:c>
      <x:c r="AF74" s="3" t="s">
        <x:v>671</x:v>
      </x:c>
      <x:c r="AG74" s="3" t="s">
        <x:v>716</x:v>
      </x:c>
      <x:c r="AH74" s="3" t="s">
        <x:v>688</x:v>
      </x:c>
      <x:c r="AI74" s="4"/>
      <x:c r="AJ74" s="4"/>
      <x:c r="AK74" s="4"/>
      <x:c r="AL74" s="4"/>
      <x:c r="AM74" s="4"/>
      <x:c r="AN74" s="4"/>
      <x:c r="AO74" s="3" t="s">
        <x:v>477</x:v>
      </x:c>
      <x:c r="AP74" s="3" t="s">
        <x:v>340</x:v>
      </x:c>
      <x:c r="AQ74" s="6" t="s">
        <x:v>124</x:v>
      </x:c>
      <x:c r="AR74" s="6" t="s">
        <x:v>124</x:v>
      </x:c>
      <x:c r="AS74" s="7"/>
      <x:c r="AT74" s="7"/>
      <x:c r="AU74" s="7"/>
      <x:c r="AV74" s="7"/>
      <x:c r="AW74" s="7"/>
      <x:c r="AX74" s="7"/>
    </x:row>
    <x:row r="75" spans="1:50" ht="26.35000000000000142109">
      <x:c r="A75" s="3">
        <x:v>72</x:v>
      </x:c>
      <x:c r="B75" s="3" t="s">
        <x:v>723</x:v>
      </x:c>
      <x:c r="C75" s="3" t="s">
        <x:v>677</x:v>
      </x:c>
      <x:c r="D75" s="3">
        <x:v>3</x:v>
      </x:c>
      <x:c r="E75" s="3" t="s">
        <x:v>188</x:v>
      </x:c>
      <x:c r="F75" s="3" t="s">
        <x:v>69</x:v>
      </x:c>
      <x:c r="G75" s="3" t="s">
        <x:v>570</x:v>
      </x:c>
      <x:c r="H75" s="3" t="s">
        <x:v>57</x:v>
      </x:c>
      <x:c r="I75" s="4"/>
      <x:c r="J75" s="3" t="s">
        <x:v>653</x:v>
      </x:c>
      <x:c r="K75" s="4"/>
      <x:c r="L75" s="4"/>
      <x:c r="M75" s="3" t="s">
        <x:v>367</x:v>
      </x:c>
      <x:c r="N75" s="3" t="s">
        <x:v>529</x:v>
      </x:c>
      <x:c r="O75" s="3" t="s">
        <x:v>677</x:v>
      </x:c>
      <x:c r="P75" s="3"/>
      <x:c r="Q75" s="3">
        <x:v>0.56000000000000005</x:v>
      </x:c>
      <x:c r="R75" s="3" t="s">
        <x:v>529</x:v>
      </x:c>
      <x:c r="S75" s="3" t="s">
        <x:v>677</x:v>
      </x:c>
      <x:c r="T75" s="3"/>
      <x:c r="U75" s="3">
        <x:v>0.56000000000000005</x:v>
      </x:c>
      <x:c r="V75" s="3" t="s">
        <x:v>526</x:v>
      </x:c>
      <x:c r="W75" s="3" t="s">
        <x:v>677</x:v>
      </x:c>
      <x:c r="X75" s="3"/>
      <x:c r="Y75" s="3">
        <x:v>1.8</x:v>
      </x:c>
      <x:c r="Z75" s="3" t="s">
        <x:v>676</x:v>
      </x:c>
      <x:c r="AA75" s="3" t="s">
        <x:v>677</x:v>
      </x:c>
      <x:c r="AB75" s="3"/>
      <x:c r="AC75" s="3">
        <x:v>3</x:v>
      </x:c>
      <x:c r="AD75" s="3" t="s">
        <x:v>903</x:v>
      </x:c>
      <x:c r="AE75" s="3" t="s">
        <x:v>192</x:v>
      </x:c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3" t="s">
        <x:v>927</x:v>
      </x:c>
      <x:c r="AQ75" s="6" t="s">
        <x:v>124</x:v>
      </x:c>
      <x:c r="AR75" s="6" t="s">
        <x:v>124</x:v>
      </x:c>
      <x:c r="AS75" s="7"/>
      <x:c r="AT75" s="7"/>
      <x:c r="AU75" s="7"/>
      <x:c r="AV75" s="7"/>
      <x:c r="AW75" s="7"/>
      <x:c r="AX75" s="7"/>
    </x:row>
    <x:row r="76" spans="1:50" ht="26.35000000000000142109">
      <x:c r="A76" s="3">
        <x:v>73</x:v>
      </x:c>
      <x:c r="B76" s="3" t="s">
        <x:v>723</x:v>
      </x:c>
      <x:c r="C76" s="3" t="s">
        <x:v>666</x:v>
      </x:c>
      <x:c r="D76" s="3">
        <x:v>3</x:v>
      </x:c>
      <x:c r="E76" s="3" t="s">
        <x:v>179</x:v>
      </x:c>
      <x:c r="F76" s="3" t="s">
        <x:v>53</x:v>
      </x:c>
      <x:c r="G76" s="3" t="s">
        <x:v>561</x:v>
      </x:c>
      <x:c r="H76" s="3" t="s">
        <x:v>57</x:v>
      </x:c>
      <x:c r="I76" s="4"/>
      <x:c r="J76" s="3" t="s">
        <x:v>653</x:v>
      </x:c>
      <x:c r="K76" s="4"/>
      <x:c r="L76" s="4"/>
      <x:c r="M76" s="3" t="s">
        <x:v>23</x:v>
      </x:c>
      <x:c r="N76" s="3" t="s">
        <x:v>529</x:v>
      </x:c>
      <x:c r="O76" s="3" t="s">
        <x:v>666</x:v>
      </x:c>
      <x:c r="P76" s="3"/>
      <x:c r="Q76" s="3">
        <x:v>0.91000000000000003</x:v>
      </x:c>
      <x:c r="R76" s="3" t="s">
        <x:v>529</x:v>
      </x:c>
      <x:c r="S76" s="3" t="s">
        <x:v>666</x:v>
      </x:c>
      <x:c r="T76" s="3"/>
      <x:c r="U76" s="3">
        <x:v>0.91000000000000003</x:v>
      </x:c>
      <x:c r="V76" s="4"/>
      <x:c r="W76" s="4"/>
      <x:c r="X76" s="3"/>
      <x:c r="Y76" s="4"/>
      <x:c r="Z76" s="4"/>
      <x:c r="AA76" s="4"/>
      <x:c r="AB76" s="3"/>
      <x:c r="AC76" s="4"/>
      <x:c r="AD76" s="3" t="s">
        <x:v>918</x:v>
      </x:c>
      <x:c r="AE76" s="3" t="s">
        <x:v>192</x:v>
      </x:c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3" t="s">
        <x:v>639</x:v>
      </x:c>
      <x:c r="AQ76" s="6" t="s">
        <x:v>124</x:v>
      </x:c>
      <x:c r="AR76" s="6" t="s">
        <x:v>124</x:v>
      </x:c>
      <x:c r="AS76" s="7"/>
      <x:c r="AT76" s="7"/>
      <x:c r="AU76" s="7"/>
      <x:c r="AV76" s="7"/>
      <x:c r="AW76" s="7"/>
      <x:c r="AX76" s="7"/>
    </x:row>
    <x:row r="77" spans="1:50" ht="26.35000000000000142109">
      <x:c r="A77" s="3">
        <x:v>74</x:v>
      </x:c>
      <x:c r="B77" s="3" t="s">
        <x:v>565</x:v>
      </x:c>
      <x:c r="C77" s="3" t="s">
        <x:v>677</x:v>
      </x:c>
      <x:c r="D77" s="3">
        <x:v>3</x:v>
      </x:c>
      <x:c r="E77" s="3" t="s">
        <x:v>165</x:v>
      </x:c>
      <x:c r="F77" s="3" t="s">
        <x:v>69</x:v>
      </x:c>
      <x:c r="G77" s="3" t="s">
        <x:v>574</x:v>
      </x:c>
      <x:c r="H77" s="3" t="s">
        <x:v>57</x:v>
      </x:c>
      <x:c r="I77" s="4"/>
      <x:c r="J77" s="3" t="s">
        <x:v>669</x:v>
      </x:c>
      <x:c r="K77" s="3" t="s">
        <x:v>669</x:v>
      </x:c>
      <x:c r="L77" s="3" t="s">
        <x:v>55</x:v>
      </x:c>
      <x:c r="M77" s="3" t="s">
        <x:v>253</x:v>
      </x:c>
      <x:c r="N77" s="3" t="s">
        <x:v>684</x:v>
      </x:c>
      <x:c r="O77" s="3" t="s">
        <x:v>677</x:v>
      </x:c>
      <x:c r="P77" s="3"/>
      <x:c r="Q77" s="3">
        <x:v>0.41399999999999998</x:v>
      </x:c>
      <x:c r="R77" s="3" t="s">
        <x:v>684</x:v>
      </x:c>
      <x:c r="S77" s="3" t="s">
        <x:v>677</x:v>
      </x:c>
      <x:c r="T77" s="3"/>
      <x:c r="U77" s="3">
        <x:v>0.41399999999999998</x:v>
      </x:c>
      <x:c r="V77" s="3" t="s">
        <x:v>749</x:v>
      </x:c>
      <x:c r="W77" s="3" t="s">
        <x:v>677</x:v>
      </x:c>
      <x:c r="X77" s="3"/>
      <x:c r="Y77" s="3">
        <x:v>1.1000000000000001</x:v>
      </x:c>
      <x:c r="Z77" s="3" t="s">
        <x:v>720</x:v>
      </x:c>
      <x:c r="AA77" s="3" t="s">
        <x:v>677</x:v>
      </x:c>
      <x:c r="AB77" s="3"/>
      <x:c r="AC77" s="3">
        <x:v>3.3999999999999999</x:v>
      </x:c>
      <x:c r="AD77" s="3" t="s">
        <x:v>334</x:v>
      </x:c>
      <x:c r="AE77" s="3" t="s">
        <x:v>152</x:v>
      </x:c>
      <x:c r="AF77" s="4"/>
      <x:c r="AG77" s="4"/>
      <x:c r="AH77" s="4"/>
      <x:c r="AI77" s="4"/>
      <x:c r="AJ77" s="4"/>
      <x:c r="AK77" s="4"/>
      <x:c r="AL77" s="4"/>
      <x:c r="AM77" s="4"/>
      <x:c r="AN77" s="4"/>
      <x:c r="AO77" s="3" t="s">
        <x:v>487</x:v>
      </x:c>
      <x:c r="AP77" s="3" t="s">
        <x:v>899</x:v>
      </x:c>
      <x:c r="AQ77" s="6" t="s">
        <x:v>124</x:v>
      </x:c>
      <x:c r="AR77" s="6" t="s">
        <x:v>124</x:v>
      </x:c>
      <x:c r="AS77" s="7"/>
      <x:c r="AT77" s="7"/>
      <x:c r="AU77" s="7"/>
      <x:c r="AV77" s="7"/>
      <x:c r="AW77" s="7"/>
      <x:c r="AX77" s="7"/>
    </x:row>
    <x:row r="78" spans="1:50" ht="39.54999999999999715783">
      <x:c r="A78" s="3">
        <x:v>75</x:v>
      </x:c>
      <x:c r="B78" s="3" t="s">
        <x:v>564</x:v>
      </x:c>
      <x:c r="C78" s="3" t="s">
        <x:v>677</x:v>
      </x:c>
      <x:c r="D78" s="3">
        <x:v>3</x:v>
      </x:c>
      <x:c r="E78" s="3" t="s">
        <x:v>195</x:v>
      </x:c>
      <x:c r="F78" s="3" t="s">
        <x:v>53</x:v>
      </x:c>
      <x:c r="G78" s="3" t="s">
        <x:v>575</x:v>
      </x:c>
      <x:c r="H78" s="3" t="s">
        <x:v>57</x:v>
      </x:c>
      <x:c r="I78" s="4"/>
      <x:c r="J78" s="8" t="s">
        <x:v>917</x:v>
      </x:c>
      <x:c r="K78" s="3" t="s">
        <x:v>663</x:v>
      </x:c>
      <x:c r="L78" s="3" t="s">
        <x:v>55</x:v>
      </x:c>
      <x:c r="M78" s="3" t="s">
        <x:v>486</x:v>
      </x:c>
      <x:c r="N78" s="3" t="s">
        <x:v>693</x:v>
      </x:c>
      <x:c r="O78" s="3" t="s">
        <x:v>677</x:v>
      </x:c>
      <x:c r="P78" s="3"/>
      <x:c r="Q78" s="3">
        <x:v>1</x:v>
      </x:c>
      <x:c r="R78" s="3" t="s">
        <x:v>693</x:v>
      </x:c>
      <x:c r="S78" s="3" t="s">
        <x:v>677</x:v>
      </x:c>
      <x:c r="T78" s="3"/>
      <x:c r="U78" s="3">
        <x:v>1</x:v>
      </x:c>
      <x:c r="V78" s="3" t="s">
        <x:v>715</x:v>
      </x:c>
      <x:c r="W78" s="3" t="s">
        <x:v>677</x:v>
      </x:c>
      <x:c r="X78" s="3"/>
      <x:c r="Y78" s="3">
        <x:v>1.1000000000000001</x:v>
      </x:c>
      <x:c r="Z78" s="3" t="s">
        <x:v>726</x:v>
      </x:c>
      <x:c r="AA78" s="3" t="s">
        <x:v>677</x:v>
      </x:c>
      <x:c r="AB78" s="3"/>
      <x:c r="AC78" s="3">
        <x:v>2.3999999999999999</x:v>
      </x:c>
      <x:c r="AD78" s="3" t="s">
        <x:v>897</x:v>
      </x:c>
      <x:c r="AE78" s="3" t="s">
        <x:v>48</x:v>
      </x:c>
      <x:c r="AF78" s="4"/>
      <x:c r="AG78" s="4"/>
      <x:c r="AH78" s="4"/>
      <x:c r="AI78" s="4"/>
      <x:c r="AJ78" s="4"/>
      <x:c r="AK78" s="4"/>
      <x:c r="AL78" s="4"/>
      <x:c r="AM78" s="4"/>
      <x:c r="AN78" s="4"/>
      <x:c r="AO78" s="3" t="s">
        <x:v>483</x:v>
      </x:c>
      <x:c r="AP78" s="3" t="s">
        <x:v>225</x:v>
      </x:c>
      <x:c r="AQ78" s="6" t="s">
        <x:v>124</x:v>
      </x:c>
      <x:c r="AR78" s="6" t="s">
        <x:v>124</x:v>
      </x:c>
      <x:c r="AS78" s="7"/>
      <x:c r="AT78" s="7"/>
      <x:c r="AU78" s="7"/>
      <x:c r="AV78" s="7"/>
      <x:c r="AW78" s="7"/>
      <x:c r="AX78" s="7"/>
    </x:row>
    <x:row r="79" spans="1:50" ht="79.04999999999999715783">
      <x:c r="A79" s="3">
        <x:v>76</x:v>
      </x:c>
      <x:c r="B79" s="3" t="s">
        <x:v>640</x:v>
      </x:c>
      <x:c r="C79" s="3" t="s">
        <x:v>677</x:v>
      </x:c>
      <x:c r="D79" s="3">
        <x:v>3</x:v>
      </x:c>
      <x:c r="E79" s="3" t="s">
        <x:v>90</x:v>
      </x:c>
      <x:c r="F79" s="3" t="s">
        <x:v>69</x:v>
      </x:c>
      <x:c r="G79" s="3" t="s">
        <x:v>572</x:v>
      </x:c>
      <x:c r="H79" s="3" t="s">
        <x:v>57</x:v>
      </x:c>
      <x:c r="I79" s="4"/>
      <x:c r="J79" s="3" t="s">
        <x:v>653</x:v>
      </x:c>
      <x:c r="K79" s="4"/>
      <x:c r="L79" s="4"/>
      <x:c r="M79" s="3" t="s">
        <x:v>234</x:v>
      </x:c>
      <x:c r="N79" s="3" t="s">
        <x:v>646</x:v>
      </x:c>
      <x:c r="O79" s="3" t="s">
        <x:v>677</x:v>
      </x:c>
      <x:c r="P79" s="3"/>
      <x:c r="Q79" s="3">
        <x:v>0.41799999999999998</x:v>
      </x:c>
      <x:c r="R79" s="3" t="s">
        <x:v>646</x:v>
      </x:c>
      <x:c r="S79" s="3" t="s">
        <x:v>677</x:v>
      </x:c>
      <x:c r="T79" s="3"/>
      <x:c r="U79" s="3">
        <x:v>0.41799999999999998</x:v>
      </x:c>
      <x:c r="V79" s="3" t="s">
        <x:v>73</x:v>
      </x:c>
      <x:c r="W79" s="3" t="s">
        <x:v>677</x:v>
      </x:c>
      <x:c r="X79" s="3"/>
      <x:c r="Y79" s="3">
        <x:v>1.3</x:v>
      </x:c>
      <x:c r="Z79" s="3" t="s">
        <x:v>627</x:v>
      </x:c>
      <x:c r="AA79" s="3" t="s">
        <x:v>677</x:v>
      </x:c>
      <x:c r="AB79" s="3"/>
      <x:c r="AC79" s="3">
        <x:v>2.2000000000000002</x:v>
      </x:c>
      <x:c r="AD79" s="3" t="s">
        <x:v>329</x:v>
      </x:c>
      <x:c r="AE79" s="3" t="s">
        <x:v>62</x:v>
      </x:c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3" t="s">
        <x:v>559</x:v>
      </x:c>
      <x:c r="AQ79" s="6" t="s">
        <x:v>124</x:v>
      </x:c>
      <x:c r="AR79" s="6" t="s">
        <x:v>124</x:v>
      </x:c>
      <x:c r="AS79" s="7"/>
      <x:c r="AT79" s="7"/>
      <x:c r="AU79" s="7"/>
      <x:c r="AV79" s="7"/>
      <x:c r="AW79" s="7"/>
      <x:c r="AX79" s="7"/>
    </x:row>
    <x:row r="80" spans="1:50" ht="39.54999999999999715783">
      <x:c r="A80" s="3">
        <x:v>77</x:v>
      </x:c>
      <x:c r="B80" s="3" t="s">
        <x:v>331</x:v>
      </x:c>
      <x:c r="C80" s="3" t="s">
        <x:v>677</x:v>
      </x:c>
      <x:c r="D80" s="3">
        <x:v>3</x:v>
      </x:c>
      <x:c r="E80" s="3" t="s">
        <x:v>28</x:v>
      </x:c>
      <x:c r="F80" s="3" t="s">
        <x:v>69</x:v>
      </x:c>
      <x:c r="G80" s="3" t="s">
        <x:v>563</x:v>
      </x:c>
      <x:c r="H80" s="3" t="s">
        <x:v>57</x:v>
      </x:c>
      <x:c r="I80" s="4"/>
      <x:c r="J80" s="8" t="s">
        <x:v>421</x:v>
      </x:c>
      <x:c r="K80" s="9" t="s">
        <x:v>153</x:v>
      </x:c>
      <x:c r="L80" s="4"/>
      <x:c r="M80" s="3" t="s">
        <x:v>281</x:v>
      </x:c>
      <x:c r="N80" s="3" t="s">
        <x:v>749</x:v>
      </x:c>
      <x:c r="O80" s="3" t="s">
        <x:v>677</x:v>
      </x:c>
      <x:c r="P80" s="3"/>
      <x:c r="Q80" s="3">
        <x:v>0.65800000000000003</x:v>
      </x:c>
      <x:c r="R80" s="3" t="s">
        <x:v>749</x:v>
      </x:c>
      <x:c r="S80" s="3" t="s">
        <x:v>677</x:v>
      </x:c>
      <x:c r="T80" s="3"/>
      <x:c r="U80" s="3">
        <x:v>0.65800000000000003</x:v>
      </x:c>
      <x:c r="V80" s="3" t="s">
        <x:v>684</x:v>
      </x:c>
      <x:c r="W80" s="3" t="s">
        <x:v>677</x:v>
      </x:c>
      <x:c r="X80" s="3"/>
      <x:c r="Y80" s="3">
        <x:v>0.88200000000000001</x:v>
      </x:c>
      <x:c r="Z80" s="3" t="s">
        <x:v>720</x:v>
      </x:c>
      <x:c r="AA80" s="3" t="s">
        <x:v>677</x:v>
      </x:c>
      <x:c r="AB80" s="3"/>
      <x:c r="AC80" s="3">
        <x:v>2</x:v>
      </x:c>
      <x:c r="AD80" s="3" t="s">
        <x:v>900</x:v>
      </x:c>
      <x:c r="AE80" s="3" t="s">
        <x:v>46</x:v>
      </x:c>
      <x:c r="AF80" s="3"/>
      <x:c r="AG80" s="3"/>
      <x:c r="AH80" s="3"/>
      <x:c r="AI80" s="4"/>
      <x:c r="AJ80" s="4"/>
      <x:c r="AK80" s="4"/>
      <x:c r="AL80" s="4"/>
      <x:c r="AM80" s="4"/>
      <x:c r="AN80" s="4"/>
      <x:c r="AO80" s="3" t="s">
        <x:v>337</x:v>
      </x:c>
      <x:c r="AP80" s="3" t="s">
        <x:v>932</x:v>
      </x:c>
      <x:c r="AQ80" s="6" t="s">
        <x:v>127</x:v>
      </x:c>
      <x:c r="AR80" s="6" t="s">
        <x:v>127</x:v>
      </x:c>
      <x:c r="AS80" s="7"/>
      <x:c r="AT80" s="7"/>
      <x:c r="AU80" s="7"/>
      <x:c r="AV80" s="7"/>
      <x:c r="AW80" s="7"/>
      <x:c r="AX80" s="7"/>
    </x:row>
    <x:row r="81" spans="1:50" ht="92.20000000000000284217">
      <x:c r="A81" s="3">
        <x:v>78</x:v>
      </x:c>
      <x:c r="B81" s="3" t="s">
        <x:v>331</x:v>
      </x:c>
      <x:c r="C81" s="3" t="s">
        <x:v>677</x:v>
      </x:c>
      <x:c r="D81" s="3">
        <x:v>3</x:v>
      </x:c>
      <x:c r="E81" s="3" t="s">
        <x:v>79</x:v>
      </x:c>
      <x:c r="F81" s="3" t="s">
        <x:v>53</x:v>
      </x:c>
      <x:c r="G81" s="3" t="s">
        <x:v>581</x:v>
      </x:c>
      <x:c r="H81" s="3" t="s">
        <x:v>57</x:v>
      </x:c>
      <x:c r="I81" s="4"/>
      <x:c r="J81" s="8" t="s">
        <x:v>421</x:v>
      </x:c>
      <x:c r="K81" s="9" t="s">
        <x:v>153</x:v>
      </x:c>
      <x:c r="L81" s="3"/>
      <x:c r="M81" s="3" t="s">
        <x:v>364</x:v>
      </x:c>
      <x:c r="N81" s="3" t="s">
        <x:v>749</x:v>
      </x:c>
      <x:c r="O81" s="3" t="s">
        <x:v>677</x:v>
      </x:c>
      <x:c r="P81" s="3"/>
      <x:c r="Q81" s="3">
        <x:v>0.71499999999999997</x:v>
      </x:c>
      <x:c r="R81" s="3" t="s">
        <x:v>749</x:v>
      </x:c>
      <x:c r="S81" s="3" t="s">
        <x:v>677</x:v>
      </x:c>
      <x:c r="T81" s="3"/>
      <x:c r="U81" s="3">
        <x:v>0.71499999999999997</x:v>
      </x:c>
      <x:c r="V81" s="3" t="s">
        <x:v>684</x:v>
      </x:c>
      <x:c r="W81" s="3" t="s">
        <x:v>677</x:v>
      </x:c>
      <x:c r="X81" s="3"/>
      <x:c r="Y81" s="3">
        <x:v>1.1000000000000001</x:v>
      </x:c>
      <x:c r="Z81" s="3" t="s">
        <x:v>720</x:v>
      </x:c>
      <x:c r="AA81" s="3" t="s">
        <x:v>677</x:v>
      </x:c>
      <x:c r="AB81" s="3"/>
      <x:c r="AC81" s="3">
        <x:v>1.6000000000000001</x:v>
      </x:c>
      <x:c r="AD81" s="3" t="s">
        <x:v>341</x:v>
      </x:c>
      <x:c r="AE81" s="3" t="s">
        <x:v>46</x:v>
      </x:c>
      <x:c r="AF81" s="3" t="s">
        <x:v>671</x:v>
      </x:c>
      <x:c r="AG81" s="3" t="s">
        <x:v>716</x:v>
      </x:c>
      <x:c r="AH81" s="3" t="s">
        <x:v>688</x:v>
      </x:c>
      <x:c r="AI81" s="4"/>
      <x:c r="AJ81" s="4"/>
      <x:c r="AK81" s="4"/>
      <x:c r="AL81" s="4"/>
      <x:c r="AM81" s="4"/>
      <x:c r="AN81" s="4"/>
      <x:c r="AO81" s="3" t="s">
        <x:v>224</x:v>
      </x:c>
      <x:c r="AP81" s="3" t="s">
        <x:v>206</x:v>
      </x:c>
      <x:c r="AQ81" s="6" t="s">
        <x:v>127</x:v>
      </x:c>
      <x:c r="AR81" s="6" t="s">
        <x:v>127</x:v>
      </x:c>
      <x:c r="AS81" s="7"/>
      <x:c r="AT81" s="7"/>
      <x:c r="AU81" s="7"/>
      <x:c r="AV81" s="7"/>
      <x:c r="AW81" s="7"/>
      <x:c r="AX81" s="7"/>
    </x:row>
    <x:row r="82" spans="1:50" ht="26.35000000000000142109">
      <x:c r="A82" s="3">
        <x:v>79</x:v>
      </x:c>
      <x:c r="B82" s="3" t="s">
        <x:v>331</x:v>
      </x:c>
      <x:c r="C82" s="3" t="s">
        <x:v>677</x:v>
      </x:c>
      <x:c r="D82" s="3">
        <x:v>3</x:v>
      </x:c>
      <x:c r="E82" s="3" t="s">
        <x:v>59</x:v>
      </x:c>
      <x:c r="F82" s="3" t="s">
        <x:v>53</x:v>
      </x:c>
      <x:c r="G82" s="3" t="s">
        <x:v>571</x:v>
      </x:c>
      <x:c r="H82" s="3" t="s">
        <x:v>57</x:v>
      </x:c>
      <x:c r="I82" s="4"/>
      <x:c r="J82" s="3" t="s">
        <x:v>669</x:v>
      </x:c>
      <x:c r="K82" s="3" t="s">
        <x:v>669</x:v>
      </x:c>
      <x:c r="L82" s="3" t="s">
        <x:v>55</x:v>
      </x:c>
      <x:c r="M82" s="3" t="s">
        <x:v>276</x:v>
      </x:c>
      <x:c r="N82" s="3" t="s">
        <x:v>749</x:v>
      </x:c>
      <x:c r="O82" s="3" t="s">
        <x:v>677</x:v>
      </x:c>
      <x:c r="P82" s="3"/>
      <x:c r="Q82" s="3">
        <x:v>0.78500000000000003</x:v>
      </x:c>
      <x:c r="R82" s="3" t="s">
        <x:v>749</x:v>
      </x:c>
      <x:c r="S82" s="3" t="s">
        <x:v>677</x:v>
      </x:c>
      <x:c r="T82" s="3"/>
      <x:c r="U82" s="3">
        <x:v>0.78500000000000003</x:v>
      </x:c>
      <x:c r="V82" s="3" t="s">
        <x:v>684</x:v>
      </x:c>
      <x:c r="W82" s="3" t="s">
        <x:v>677</x:v>
      </x:c>
      <x:c r="X82" s="3"/>
      <x:c r="Y82" s="3">
        <x:v>1.2</x:v>
      </x:c>
      <x:c r="Z82" s="3" t="s">
        <x:v>720</x:v>
      </x:c>
      <x:c r="AA82" s="3" t="s">
        <x:v>677</x:v>
      </x:c>
      <x:c r="AB82" s="3"/>
      <x:c r="AC82" s="3">
        <x:v>1.6000000000000001</x:v>
      </x:c>
      <x:c r="AD82" s="3" t="s">
        <x:v>335</x:v>
      </x:c>
      <x:c r="AE82" s="3" t="s">
        <x:v>46</x:v>
      </x:c>
      <x:c r="AF82" s="3" t="s">
        <x:v>671</x:v>
      </x:c>
      <x:c r="AG82" s="3" t="s">
        <x:v>716</x:v>
      </x:c>
      <x:c r="AH82" s="3" t="s">
        <x:v>688</x:v>
      </x:c>
      <x:c r="AI82" s="4"/>
      <x:c r="AJ82" s="4"/>
      <x:c r="AK82" s="4"/>
      <x:c r="AL82" s="4"/>
      <x:c r="AM82" s="4"/>
      <x:c r="AN82" s="4"/>
      <x:c r="AO82" s="3" t="s">
        <x:v>484</x:v>
      </x:c>
      <x:c r="AP82" s="4"/>
      <x:c r="AQ82" s="6" t="s">
        <x:v>124</x:v>
      </x:c>
      <x:c r="AR82" s="6" t="s">
        <x:v>124</x:v>
      </x:c>
      <x:c r="AS82" s="7"/>
      <x:c r="AT82" s="7"/>
      <x:c r="AU82" s="7"/>
      <x:c r="AV82" s="7"/>
      <x:c r="AW82" s="7"/>
      <x:c r="AX82" s="7"/>
    </x:row>
    <x:row r="83" spans="1:50" ht="79.04999999999999715783">
      <x:c r="A83" s="3">
        <x:v>80</x:v>
      </x:c>
      <x:c r="B83" s="3" t="s">
        <x:v>641</x:v>
      </x:c>
      <x:c r="C83" s="3" t="s">
        <x:v>677</x:v>
      </x:c>
      <x:c r="D83" s="3">
        <x:v>3</x:v>
      </x:c>
      <x:c r="E83" s="3" t="s">
        <x:v>76</x:v>
      </x:c>
      <x:c r="F83" s="3" t="s">
        <x:v>69</x:v>
      </x:c>
      <x:c r="G83" s="3" t="s">
        <x:v>562</x:v>
      </x:c>
      <x:c r="H83" s="3" t="s">
        <x:v>57</x:v>
      </x:c>
      <x:c r="I83" s="4"/>
      <x:c r="J83" s="8" t="s">
        <x:v>421</x:v>
      </x:c>
      <x:c r="K83" s="3" t="s">
        <x:v>669</x:v>
      </x:c>
      <x:c r="L83" s="3" t="s">
        <x:v>55</x:v>
      </x:c>
      <x:c r="M83" s="3" t="s">
        <x:v>286</x:v>
      </x:c>
      <x:c r="N83" s="3" t="s">
        <x:v>617</x:v>
      </x:c>
      <x:c r="O83" s="3" t="s">
        <x:v>677</x:v>
      </x:c>
      <x:c r="P83" s="3"/>
      <x:c r="Q83" s="3">
        <x:v>0.55700000000000005</x:v>
      </x:c>
      <x:c r="R83" s="3" t="s">
        <x:v>691</x:v>
      </x:c>
      <x:c r="S83" s="3" t="s">
        <x:v>677</x:v>
      </x:c>
      <x:c r="T83" s="3"/>
      <x:c r="U83" s="3">
        <x:v>1.6000000000000001</x:v>
      </x:c>
      <x:c r="V83" s="3" t="s">
        <x:v>706</x:v>
      </x:c>
      <x:c r="W83" s="3" t="s">
        <x:v>677</x:v>
      </x:c>
      <x:c r="X83" s="3"/>
      <x:c r="Y83" s="3">
        <x:v>0.64100000000000001</x:v>
      </x:c>
      <x:c r="Z83" s="3" t="s">
        <x:v>617</x:v>
      </x:c>
      <x:c r="AA83" s="3" t="s">
        <x:v>677</x:v>
      </x:c>
      <x:c r="AB83" s="3"/>
      <x:c r="AC83" s="3">
        <x:v>0.55700000000000005</x:v>
      </x:c>
      <x:c r="AD83" s="3" t="s">
        <x:v>906</x:v>
      </x:c>
      <x:c r="AE83" s="3" t="s">
        <x:v>47</x:v>
      </x:c>
      <x:c r="AF83" s="4"/>
      <x:c r="AG83" s="4"/>
      <x:c r="AH83" s="4"/>
      <x:c r="AI83" s="4"/>
      <x:c r="AJ83" s="4"/>
      <x:c r="AK83" s="4"/>
      <x:c r="AL83" s="4"/>
      <x:c r="AM83" s="4"/>
      <x:c r="AN83" s="4"/>
      <x:c r="AO83" s="3" t="s">
        <x:v>485</x:v>
      </x:c>
      <x:c r="AP83" s="3" t="s">
        <x:v>557</x:v>
      </x:c>
      <x:c r="AQ83" s="6" t="s">
        <x:v>124</x:v>
      </x:c>
      <x:c r="AR83" s="6" t="s">
        <x:v>124</x:v>
      </x:c>
      <x:c r="AS83" s="7"/>
      <x:c r="AT83" s="7"/>
      <x:c r="AU83" s="7"/>
      <x:c r="AV83" s="7"/>
      <x:c r="AW83" s="7"/>
      <x:c r="AX83" s="7"/>
    </x:row>
    <x:row r="84" spans="1:50" ht="79.04999999999999715783">
      <x:c r="A84" s="3">
        <x:v>81</x:v>
      </x:c>
      <x:c r="B84" s="3" t="s">
        <x:v>641</x:v>
      </x:c>
      <x:c r="C84" s="3" t="s">
        <x:v>677</x:v>
      </x:c>
      <x:c r="D84" s="3">
        <x:v>3</x:v>
      </x:c>
      <x:c r="E84" s="3" t="s">
        <x:v>83</x:v>
      </x:c>
      <x:c r="F84" s="3" t="s">
        <x:v>69</x:v>
      </x:c>
      <x:c r="G84" s="3" t="s">
        <x:v>562</x:v>
      </x:c>
      <x:c r="H84" s="3" t="s">
        <x:v>57</x:v>
      </x:c>
      <x:c r="I84" s="4"/>
      <x:c r="J84" s="8" t="s">
        <x:v>421</x:v>
      </x:c>
      <x:c r="K84" s="3" t="s">
        <x:v>669</x:v>
      </x:c>
      <x:c r="L84" s="3" t="s">
        <x:v>55</x:v>
      </x:c>
      <x:c r="M84" s="3" t="s">
        <x:v>286</x:v>
      </x:c>
      <x:c r="N84" s="3" t="s">
        <x:v>617</x:v>
      </x:c>
      <x:c r="O84" s="3" t="s">
        <x:v>677</x:v>
      </x:c>
      <x:c r="P84" s="3"/>
      <x:c r="Q84" s="3">
        <x:v>0.55700000000000005</x:v>
      </x:c>
      <x:c r="R84" s="3" t="s">
        <x:v>691</x:v>
      </x:c>
      <x:c r="S84" s="3" t="s">
        <x:v>677</x:v>
      </x:c>
      <x:c r="T84" s="3"/>
      <x:c r="U84" s="3">
        <x:v>1.6000000000000001</x:v>
      </x:c>
      <x:c r="V84" s="3" t="s">
        <x:v>706</x:v>
      </x:c>
      <x:c r="W84" s="3" t="s">
        <x:v>677</x:v>
      </x:c>
      <x:c r="X84" s="3"/>
      <x:c r="Y84" s="3">
        <x:v>0.64100000000000001</x:v>
      </x:c>
      <x:c r="Z84" s="3" t="s">
        <x:v>617</x:v>
      </x:c>
      <x:c r="AA84" s="3" t="s">
        <x:v>677</x:v>
      </x:c>
      <x:c r="AB84" s="3"/>
      <x:c r="AC84" s="3">
        <x:v>0.55700000000000005</x:v>
      </x:c>
      <x:c r="AD84" s="3" t="s">
        <x:v>906</x:v>
      </x:c>
      <x:c r="AE84" s="3" t="s">
        <x:v>47</x:v>
      </x:c>
      <x:c r="AF84" s="4"/>
      <x:c r="AG84" s="4"/>
      <x:c r="AH84" s="4"/>
      <x:c r="AI84" s="4"/>
      <x:c r="AJ84" s="4"/>
      <x:c r="AK84" s="4"/>
      <x:c r="AL84" s="4"/>
      <x:c r="AM84" s="4"/>
      <x:c r="AN84" s="4"/>
      <x:c r="AO84" s="3" t="s">
        <x:v>485</x:v>
      </x:c>
      <x:c r="AP84" s="3" t="s">
        <x:v>557</x:v>
      </x:c>
      <x:c r="AQ84" s="6" t="s">
        <x:v>124</x:v>
      </x:c>
      <x:c r="AR84" s="6" t="s">
        <x:v>124</x:v>
      </x:c>
      <x:c r="AS84" s="7"/>
      <x:c r="AT84" s="7"/>
      <x:c r="AU84" s="7"/>
      <x:c r="AV84" s="7"/>
      <x:c r="AW84" s="7"/>
      <x:c r="AX84" s="7"/>
    </x:row>
    <x:row r="85" spans="1:50" ht="65.84999999999999431566">
      <x:c r="A85" s="3">
        <x:v>82</x:v>
      </x:c>
      <x:c r="B85" s="3" t="s">
        <x:v>641</x:v>
      </x:c>
      <x:c r="C85" s="3" t="s">
        <x:v>677</x:v>
      </x:c>
      <x:c r="D85" s="3">
        <x:v>3</x:v>
      </x:c>
      <x:c r="E85" s="3" t="s">
        <x:v>87</x:v>
      </x:c>
      <x:c r="F85" s="3" t="s">
        <x:v>69</x:v>
      </x:c>
      <x:c r="G85" s="3" t="s">
        <x:v>600</x:v>
      </x:c>
      <x:c r="H85" s="3" t="s">
        <x:v>57</x:v>
      </x:c>
      <x:c r="I85" s="4"/>
      <x:c r="J85" s="3" t="s">
        <x:v>669</x:v>
      </x:c>
      <x:c r="K85" s="3"/>
      <x:c r="L85" s="4"/>
      <x:c r="M85" s="3" t="s">
        <x:v>217</x:v>
      </x:c>
      <x:c r="N85" s="3" t="s">
        <x:v>333</x:v>
      </x:c>
      <x:c r="O85" s="3" t="s">
        <x:v>677</x:v>
      </x:c>
      <x:c r="P85" s="3"/>
      <x:c r="Q85" s="3">
        <x:v>0.29999999999999999</x:v>
      </x:c>
      <x:c r="R85" s="3" t="s">
        <x:v>738</x:v>
      </x:c>
      <x:c r="S85" s="3" t="s">
        <x:v>677</x:v>
      </x:c>
      <x:c r="T85" s="3"/>
      <x:c r="U85" s="3">
        <x:v>0.29999999999999999</x:v>
      </x:c>
      <x:c r="V85" s="3" t="s">
        <x:v>745</x:v>
      </x:c>
      <x:c r="W85" s="3" t="s">
        <x:v>677</x:v>
      </x:c>
      <x:c r="X85" s="3"/>
      <x:c r="Y85" s="3">
        <x:v>0.81000000000000005</x:v>
      </x:c>
      <x:c r="Z85" s="3" t="s">
        <x:v>88</x:v>
      </x:c>
      <x:c r="AA85" s="3" t="s">
        <x:v>677</x:v>
      </x:c>
      <x:c r="AB85" s="3"/>
      <x:c r="AC85" s="3">
        <x:v>1.1000000000000001</x:v>
      </x:c>
      <x:c r="AD85" s="3" t="s">
        <x:v>336</x:v>
      </x:c>
      <x:c r="AE85" s="3" t="s">
        <x:v>47</x:v>
      </x:c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3" t="s">
        <x:v>7</x:v>
      </x:c>
      <x:c r="AQ85" s="6" t="s">
        <x:v>124</x:v>
      </x:c>
      <x:c r="AR85" s="6" t="s">
        <x:v>124</x:v>
      </x:c>
      <x:c r="AS85" s="7"/>
      <x:c r="AT85" s="7"/>
      <x:c r="AU85" s="7"/>
      <x:c r="AV85" s="7"/>
      <x:c r="AW85" s="7"/>
      <x:c r="AX85" s="7"/>
    </x:row>
    <x:row r="86" spans="1:50" ht="26.35000000000000142109">
      <x:c r="A86" s="3">
        <x:v>83</x:v>
      </x:c>
      <x:c r="B86" s="3" t="s">
        <x:v>641</x:v>
      </x:c>
      <x:c r="C86" s="3" t="s">
        <x:v>677</x:v>
      </x:c>
      <x:c r="D86" s="3">
        <x:v>3</x:v>
      </x:c>
      <x:c r="E86" s="3" t="s">
        <x:v>94</x:v>
      </x:c>
      <x:c r="F86" s="3" t="s">
        <x:v>69</x:v>
      </x:c>
      <x:c r="G86" s="3" t="s">
        <x:v>773</x:v>
      </x:c>
      <x:c r="H86" s="3" t="s">
        <x:v>57</x:v>
      </x:c>
      <x:c r="I86" s="4"/>
      <x:c r="J86" s="3" t="s">
        <x:v>653</x:v>
      </x:c>
      <x:c r="K86" s="3"/>
      <x:c r="L86" s="4"/>
      <x:c r="M86" s="3" t="s">
        <x:v>287</x:v>
      </x:c>
      <x:c r="N86" s="3" t="s">
        <x:v>736</x:v>
      </x:c>
      <x:c r="O86" s="3" t="s">
        <x:v>677</x:v>
      </x:c>
      <x:c r="P86" s="3"/>
      <x:c r="Q86" s="3">
        <x:v>0.71699999999999997</x:v>
      </x:c>
      <x:c r="R86" s="3" t="s">
        <x:v>736</x:v>
      </x:c>
      <x:c r="S86" s="3" t="s">
        <x:v>677</x:v>
      </x:c>
      <x:c r="T86" s="3"/>
      <x:c r="U86" s="3">
        <x:v>0.71699999999999997</x:v>
      </x:c>
      <x:c r="V86" s="3" t="s">
        <x:v>738</x:v>
      </x:c>
      <x:c r="W86" s="3" t="s">
        <x:v>677</x:v>
      </x:c>
      <x:c r="X86" s="3"/>
      <x:c r="Y86" s="3">
        <x:v>1</x:v>
      </x:c>
      <x:c r="Z86" s="3" t="s">
        <x:v>88</x:v>
      </x:c>
      <x:c r="AA86" s="3" t="s">
        <x:v>677</x:v>
      </x:c>
      <x:c r="AB86" s="3"/>
      <x:c r="AC86" s="3">
        <x:v>1.3999999999999999</x:v>
      </x:c>
      <x:c r="AD86" s="3" t="s">
        <x:v>896</x:v>
      </x:c>
      <x:c r="AE86" s="3" t="s">
        <x:v>47</x:v>
      </x:c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6" t="s">
        <x:v>124</x:v>
      </x:c>
      <x:c r="AR86" s="6" t="s">
        <x:v>124</x:v>
      </x:c>
      <x:c r="AS86" s="7"/>
      <x:c r="AT86" s="7"/>
      <x:c r="AU86" s="7"/>
      <x:c r="AV86" s="7"/>
      <x:c r="AW86" s="7"/>
      <x:c r="AX86" s="7"/>
    </x:row>
    <x:row r="87" spans="1:50" ht="26.35000000000000142109">
      <x:c r="A87" s="3">
        <x:v>84</x:v>
      </x:c>
      <x:c r="B87" s="3" t="s">
        <x:v>641</x:v>
      </x:c>
      <x:c r="C87" s="3" t="s">
        <x:v>677</x:v>
      </x:c>
      <x:c r="D87" s="3">
        <x:v>3</x:v>
      </x:c>
      <x:c r="E87" s="3" t="s">
        <x:v>60</x:v>
      </x:c>
      <x:c r="F87" s="3" t="s">
        <x:v>53</x:v>
      </x:c>
      <x:c r="G87" s="3" t="s">
        <x:v>589</x:v>
      </x:c>
      <x:c r="H87" s="3" t="s">
        <x:v>57</x:v>
      </x:c>
      <x:c r="I87" s="4"/>
      <x:c r="J87" s="8" t="s">
        <x:v>421</x:v>
      </x:c>
      <x:c r="K87" s="3" t="s">
        <x:v>669</x:v>
      </x:c>
      <x:c r="L87" s="3" t="s">
        <x:v>55</x:v>
      </x:c>
      <x:c r="M87" s="3" t="s">
        <x:v>295</x:v>
      </x:c>
      <x:c r="N87" s="3" t="s">
        <x:v>617</x:v>
      </x:c>
      <x:c r="O87" s="3" t="s">
        <x:v>677</x:v>
      </x:c>
      <x:c r="P87" s="3"/>
      <x:c r="Q87" s="3">
        <x:v>0.25</x:v>
      </x:c>
      <x:c r="R87" s="3" t="s">
        <x:v>617</x:v>
      </x:c>
      <x:c r="S87" s="3" t="s">
        <x:v>677</x:v>
      </x:c>
      <x:c r="T87" s="3"/>
      <x:c r="U87" s="3">
        <x:v>0.25</x:v>
      </x:c>
      <x:c r="V87" s="3" t="s">
        <x:v>706</x:v>
      </x:c>
      <x:c r="W87" s="3" t="s">
        <x:v>677</x:v>
      </x:c>
      <x:c r="X87" s="3"/>
      <x:c r="Y87" s="3">
        <x:v>1.1000000000000001</x:v>
      </x:c>
      <x:c r="Z87" s="3" t="s">
        <x:v>77</x:v>
      </x:c>
      <x:c r="AA87" s="3" t="s">
        <x:v>677</x:v>
      </x:c>
      <x:c r="AB87" s="3"/>
      <x:c r="AC87" s="3">
        <x:v>1.5</x:v>
      </x:c>
      <x:c r="AD87" s="3" t="s">
        <x:v>895</x:v>
      </x:c>
      <x:c r="AE87" s="3" t="s">
        <x:v>47</x:v>
      </x:c>
      <x:c r="AF87" s="3" t="s">
        <x:v>671</x:v>
      </x:c>
      <x:c r="AG87" s="3" t="s">
        <x:v>716</x:v>
      </x:c>
      <x:c r="AH87" s="3" t="s">
        <x:v>688</x:v>
      </x:c>
      <x:c r="AI87" s="4"/>
      <x:c r="AJ87" s="4"/>
      <x:c r="AK87" s="4"/>
      <x:c r="AL87" s="4"/>
      <x:c r="AM87" s="4"/>
      <x:c r="AN87" s="4"/>
      <x:c r="AO87" s="4"/>
      <x:c r="AP87" s="3" t="s">
        <x:v>213</x:v>
      </x:c>
      <x:c r="AQ87" s="6" t="s">
        <x:v>124</x:v>
      </x:c>
      <x:c r="AR87" s="6" t="s">
        <x:v>124</x:v>
      </x:c>
      <x:c r="AS87" s="7"/>
      <x:c r="AT87" s="7"/>
      <x:c r="AU87" s="7"/>
      <x:c r="AV87" s="7"/>
      <x:c r="AW87" s="7"/>
      <x:c r="AX87" s="7"/>
    </x:row>
    <x:row r="88" spans="1:50" ht="52.70000000000000284217">
      <x:c r="A88" s="3">
        <x:v>85</x:v>
      </x:c>
      <x:c r="B88" s="3" t="s">
        <x:v>641</x:v>
      </x:c>
      <x:c r="C88" s="3" t="s">
        <x:v>677</x:v>
      </x:c>
      <x:c r="D88" s="3">
        <x:v>3</x:v>
      </x:c>
      <x:c r="E88" s="3" t="s">
        <x:v>136</x:v>
      </x:c>
      <x:c r="F88" s="3" t="s">
        <x:v>69</x:v>
      </x:c>
      <x:c r="G88" s="3" t="s">
        <x:v>583</x:v>
      </x:c>
      <x:c r="H88" s="3" t="s">
        <x:v>57</x:v>
      </x:c>
      <x:c r="I88" s="4"/>
      <x:c r="J88" s="3" t="s">
        <x:v>669</x:v>
      </x:c>
      <x:c r="K88" s="3" t="s">
        <x:v>669</x:v>
      </x:c>
      <x:c r="L88" s="3" t="s">
        <x:v>61</x:v>
      </x:c>
      <x:c r="M88" s="3" t="s">
        <x:v>292</x:v>
      </x:c>
      <x:c r="N88" s="3" t="s">
        <x:v>732</x:v>
      </x:c>
      <x:c r="O88" s="3" t="s">
        <x:v>677</x:v>
      </x:c>
      <x:c r="P88" s="3"/>
      <x:c r="Q88" s="3">
        <x:v>1.2</x:v>
      </x:c>
      <x:c r="R88" s="3" t="s">
        <x:v>732</x:v>
      </x:c>
      <x:c r="S88" s="3" t="s">
        <x:v>677</x:v>
      </x:c>
      <x:c r="T88" s="3"/>
      <x:c r="U88" s="3">
        <x:v>1.2</x:v>
      </x:c>
      <x:c r="V88" s="3" t="s">
        <x:v>691</x:v>
      </x:c>
      <x:c r="W88" s="3" t="s">
        <x:v>677</x:v>
      </x:c>
      <x:c r="X88" s="3"/>
      <x:c r="Y88" s="3">
        <x:v>2.2999999999999998</x:v>
      </x:c>
      <x:c r="Z88" s="3" t="s">
        <x:v>96</x:v>
      </x:c>
      <x:c r="AA88" s="3" t="s">
        <x:v>677</x:v>
      </x:c>
      <x:c r="AB88" s="3"/>
      <x:c r="AC88" s="3">
        <x:v>2.5</x:v>
      </x:c>
      <x:c r="AD88" s="3" t="s">
        <x:v>882</x:v>
      </x:c>
      <x:c r="AE88" s="3" t="s">
        <x:v>47</x:v>
      </x:c>
      <x:c r="AF88" s="4"/>
      <x:c r="AG88" s="4"/>
      <x:c r="AH88" s="4"/>
      <x:c r="AI88" s="4"/>
      <x:c r="AJ88" s="4"/>
      <x:c r="AK88" s="4"/>
      <x:c r="AL88" s="4"/>
      <x:c r="AM88" s="4"/>
      <x:c r="AN88" s="4"/>
      <x:c r="AO88" s="3" t="s">
        <x:v>348</x:v>
      </x:c>
      <x:c r="AP88" s="9" t="s">
        <x:v>207</x:v>
      </x:c>
      <x:c r="AQ88" s="6" t="s">
        <x:v>124</x:v>
      </x:c>
      <x:c r="AR88" s="6" t="s">
        <x:v>124</x:v>
      </x:c>
      <x:c r="AS88" s="7"/>
      <x:c r="AT88" s="7"/>
      <x:c r="AU88" s="7"/>
      <x:c r="AV88" s="7"/>
      <x:c r="AW88" s="7"/>
      <x:c r="AX88" s="7"/>
    </x:row>
    <x:row r="89" spans="1:50" ht="26.35000000000000142109">
      <x:c r="A89" s="3">
        <x:v>86</x:v>
      </x:c>
      <x:c r="B89" s="3" t="s">
        <x:v>641</x:v>
      </x:c>
      <x:c r="C89" s="3" t="s">
        <x:v>677</x:v>
      </x:c>
      <x:c r="D89" s="3">
        <x:v>3</x:v>
      </x:c>
      <x:c r="E89" s="3" t="s">
        <x:v>78</x:v>
      </x:c>
      <x:c r="F89" s="3" t="s">
        <x:v>69</x:v>
      </x:c>
      <x:c r="G89" s="3" t="s">
        <x:v>586</x:v>
      </x:c>
      <x:c r="H89" s="3" t="s">
        <x:v>57</x:v>
      </x:c>
      <x:c r="I89" s="4"/>
      <x:c r="J89" s="8" t="s">
        <x:v>917</x:v>
      </x:c>
      <x:c r="K89" s="9" t="s">
        <x:v>761</x:v>
      </x:c>
      <x:c r="L89" s="4"/>
      <x:c r="M89" s="3" t="s">
        <x:v>852</x:v>
      </x:c>
      <x:c r="N89" s="3" t="s">
        <x:v>691</x:v>
      </x:c>
      <x:c r="O89" s="3" t="s">
        <x:v>677</x:v>
      </x:c>
      <x:c r="P89" s="3"/>
      <x:c r="Q89" s="3">
        <x:v>0.16</x:v>
      </x:c>
      <x:c r="R89" s="3" t="s">
        <x:v>691</x:v>
      </x:c>
      <x:c r="S89" s="3" t="s">
        <x:v>677</x:v>
      </x:c>
      <x:c r="T89" s="3"/>
      <x:c r="U89" s="3">
        <x:v>0.16</x:v>
      </x:c>
      <x:c r="V89" s="3" t="s">
        <x:v>707</x:v>
      </x:c>
      <x:c r="W89" s="3" t="s">
        <x:v>677</x:v>
      </x:c>
      <x:c r="X89" s="3"/>
      <x:c r="Y89" s="3">
        <x:v>1.3999999999999999</x:v>
      </x:c>
      <x:c r="Z89" s="3" t="s">
        <x:v>748</x:v>
      </x:c>
      <x:c r="AA89" s="3" t="s">
        <x:v>677</x:v>
      </x:c>
      <x:c r="AB89" s="3"/>
      <x:c r="AC89" s="3">
        <x:v>1.2</x:v>
      </x:c>
      <x:c r="AD89" s="3" t="s">
        <x:v>977</x:v>
      </x:c>
      <x:c r="AE89" s="3" t="s">
        <x:v>47</x:v>
      </x:c>
      <x:c r="AF89" s="18" t="s">
        <x:v>671</x:v>
      </x:c>
      <x:c r="AG89" s="18" t="s">
        <x:v>716</x:v>
      </x:c>
      <x:c r="AH89" s="18" t="s">
        <x:v>688</x:v>
      </x:c>
      <x:c r="AI89" s="4"/>
      <x:c r="AJ89" s="4"/>
      <x:c r="AK89" s="4"/>
      <x:c r="AL89" s="4"/>
      <x:c r="AM89" s="4"/>
      <x:c r="AN89" s="4"/>
      <x:c r="AO89" s="3" t="s">
        <x:v>391</x:v>
      </x:c>
      <x:c r="AP89" s="3" t="s">
        <x:v>290</x:v>
      </x:c>
      <x:c r="AQ89" s="6" t="s">
        <x:v>127</x:v>
      </x:c>
      <x:c r="AR89" s="6" t="s">
        <x:v>127</x:v>
      </x:c>
      <x:c r="AS89" s="7"/>
      <x:c r="AT89" s="7"/>
      <x:c r="AU89" s="7"/>
      <x:c r="AV89" s="7"/>
      <x:c r="AW89" s="7"/>
      <x:c r="AX89" s="7"/>
    </x:row>
    <x:row r="90" spans="1:50" ht="26.35000000000000142109">
      <x:c r="A90" s="3">
        <x:v>87</x:v>
      </x:c>
      <x:c r="B90" s="3" t="s">
        <x:v>641</x:v>
      </x:c>
      <x:c r="C90" s="3" t="s">
        <x:v>677</x:v>
      </x:c>
      <x:c r="D90" s="3">
        <x:v>3</x:v>
      </x:c>
      <x:c r="E90" s="3" t="s">
        <x:v>65</x:v>
      </x:c>
      <x:c r="F90" s="3" t="s">
        <x:v>53</x:v>
      </x:c>
      <x:c r="G90" s="3" t="s">
        <x:v>591</x:v>
      </x:c>
      <x:c r="H90" s="3" t="s">
        <x:v>57</x:v>
      </x:c>
      <x:c r="I90" s="4"/>
      <x:c r="J90" s="3" t="s">
        <x:v>669</x:v>
      </x:c>
      <x:c r="K90" s="3"/>
      <x:c r="L90" s="4"/>
      <x:c r="M90" s="3" t="s">
        <x:v>264</x:v>
      </x:c>
      <x:c r="N90" s="3" t="s">
        <x:v>691</x:v>
      </x:c>
      <x:c r="O90" s="3" t="s">
        <x:v>677</x:v>
      </x:c>
      <x:c r="P90" s="3"/>
      <x:c r="Q90" s="3">
        <x:v>0.16</x:v>
      </x:c>
      <x:c r="R90" s="3" t="s">
        <x:v>691</x:v>
      </x:c>
      <x:c r="S90" s="3" t="s">
        <x:v>677</x:v>
      </x:c>
      <x:c r="T90" s="3"/>
      <x:c r="U90" s="3">
        <x:v>0.16</x:v>
      </x:c>
      <x:c r="V90" s="3" t="s">
        <x:v>691</x:v>
      </x:c>
      <x:c r="W90" s="3" t="s">
        <x:v>666</x:v>
      </x:c>
      <x:c r="X90" s="3"/>
      <x:c r="Y90" s="3">
        <x:v>0.16</x:v>
      </x:c>
      <x:c r="Z90" s="3"/>
      <x:c r="AA90" s="3"/>
      <x:c r="AB90" s="3"/>
      <x:c r="AC90" s="4"/>
      <x:c r="AD90" s="3" t="s">
        <x:v>970</x:v>
      </x:c>
      <x:c r="AE90" s="3" t="s">
        <x:v>47</x:v>
      </x:c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6" t="s">
        <x:v>124</x:v>
      </x:c>
      <x:c r="AR90" s="6" t="s">
        <x:v>124</x:v>
      </x:c>
      <x:c r="AS90" s="7"/>
      <x:c r="AT90" s="7"/>
      <x:c r="AU90" s="7"/>
      <x:c r="AV90" s="7"/>
      <x:c r="AW90" s="7"/>
      <x:c r="AX90" s="7"/>
    </x:row>
    <x:row r="91" spans="1:50" ht="39.54999999999999715783">
      <x:c r="A91" s="3">
        <x:v>88</x:v>
      </x:c>
      <x:c r="B91" s="3" t="s">
        <x:v>579</x:v>
      </x:c>
      <x:c r="C91" s="3" t="s">
        <x:v>677</x:v>
      </x:c>
      <x:c r="D91" s="3">
        <x:v>3</x:v>
      </x:c>
      <x:c r="E91" s="3" t="s">
        <x:v>93</x:v>
      </x:c>
      <x:c r="F91" s="3" t="s">
        <x:v>69</x:v>
      </x:c>
      <x:c r="G91" s="3" t="s">
        <x:v>588</x:v>
      </x:c>
      <x:c r="H91" s="3" t="s">
        <x:v>57</x:v>
      </x:c>
      <x:c r="I91" s="4"/>
      <x:c r="J91" s="3" t="s">
        <x:v>653</x:v>
      </x:c>
      <x:c r="K91" s="4"/>
      <x:c r="L91" s="4"/>
      <x:c r="M91" s="3" t="s">
        <x:v>1037</x:v>
      </x:c>
      <x:c r="N91" s="3" t="s">
        <x:v>702</x:v>
      </x:c>
      <x:c r="O91" s="3" t="s">
        <x:v>677</x:v>
      </x:c>
      <x:c r="P91" s="3"/>
      <x:c r="Q91" s="3">
        <x:v>0.78200000000000003</x:v>
      </x:c>
      <x:c r="R91" s="3" t="s">
        <x:v>702</x:v>
      </x:c>
      <x:c r="S91" s="3" t="s">
        <x:v>677</x:v>
      </x:c>
      <x:c r="T91" s="3"/>
      <x:c r="U91" s="3">
        <x:v>0.78200000000000003</x:v>
      </x:c>
      <x:c r="V91" s="3" t="s">
        <x:v>745</x:v>
      </x:c>
      <x:c r="W91" s="3" t="s">
        <x:v>677</x:v>
      </x:c>
      <x:c r="X91" s="3"/>
      <x:c r="Y91" s="3">
        <x:v>0.91800000000000004</x:v>
      </x:c>
      <x:c r="Z91" s="3" t="s">
        <x:v>738</x:v>
      </x:c>
      <x:c r="AA91" s="3" t="s">
        <x:v>677</x:v>
      </x:c>
      <x:c r="AB91" s="3"/>
      <x:c r="AC91" s="3">
        <x:v>1</x:v>
      </x:c>
      <x:c r="AD91" s="3" t="s">
        <x:v>890</x:v>
      </x:c>
      <x:c r="AE91" s="3" t="s">
        <x:v>63</x:v>
      </x:c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3" t="s">
        <x:v>412</x:v>
      </x:c>
      <x:c r="AQ91" s="6" t="s">
        <x:v>127</x:v>
      </x:c>
      <x:c r="AR91" s="6" t="s">
        <x:v>124</x:v>
      </x:c>
      <x:c r="AS91" s="7"/>
      <x:c r="AT91" s="7"/>
      <x:c r="AU91" s="7"/>
      <x:c r="AV91" s="7"/>
      <x:c r="AW91" s="7"/>
      <x:c r="AX91" s="7"/>
    </x:row>
    <x:row r="92" spans="1:50" ht="26.35000000000000142109">
      <x:c r="A92" s="3">
        <x:v>89</x:v>
      </x:c>
      <x:c r="B92" s="3" t="s">
        <x:v>579</x:v>
      </x:c>
      <x:c r="C92" s="3" t="s">
        <x:v>677</x:v>
      </x:c>
      <x:c r="D92" s="3">
        <x:v>3</x:v>
      </x:c>
      <x:c r="E92" s="3" t="s">
        <x:v>58</x:v>
      </x:c>
      <x:c r="F92" s="3" t="s">
        <x:v>69</x:v>
      </x:c>
      <x:c r="G92" s="3" t="s">
        <x:v>592</x:v>
      </x:c>
      <x:c r="H92" s="3" t="s">
        <x:v>57</x:v>
      </x:c>
      <x:c r="I92" s="4"/>
      <x:c r="J92" s="3" t="s">
        <x:v>653</x:v>
      </x:c>
      <x:c r="K92" s="4"/>
      <x:c r="L92" s="4"/>
      <x:c r="M92" s="3" t="s">
        <x:v>1048</x:v>
      </x:c>
      <x:c r="N92" s="3" t="s">
        <x:v>531</x:v>
      </x:c>
      <x:c r="O92" s="3" t="s">
        <x:v>677</x:v>
      </x:c>
      <x:c r="P92" s="3"/>
      <x:c r="Q92" s="3">
        <x:v>0.28000000000000003</x:v>
      </x:c>
      <x:c r="R92" s="3" t="s">
        <x:v>531</x:v>
      </x:c>
      <x:c r="S92" s="3" t="s">
        <x:v>677</x:v>
      </x:c>
      <x:c r="T92" s="3"/>
      <x:c r="U92" s="3">
        <x:v>0.28000000000000003</x:v>
      </x:c>
      <x:c r="V92" s="3" t="s">
        <x:v>532</x:v>
      </x:c>
      <x:c r="W92" s="3" t="s">
        <x:v>677</x:v>
      </x:c>
      <x:c r="X92" s="3"/>
      <x:c r="Y92" s="3">
        <x:v>0.56599999999999995</x:v>
      </x:c>
      <x:c r="Z92" s="3" t="s">
        <x:v>725</x:v>
      </x:c>
      <x:c r="AA92" s="3" t="s">
        <x:v>677</x:v>
      </x:c>
      <x:c r="AB92" s="3"/>
      <x:c r="AC92" s="3">
        <x:v>0.64000000000000001</x:v>
      </x:c>
      <x:c r="AD92" s="3" t="s">
        <x:v>1017</x:v>
      </x:c>
      <x:c r="AE92" s="3" t="s">
        <x:v>63</x:v>
      </x:c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6" t="s">
        <x:v>124</x:v>
      </x:c>
      <x:c r="AR92" s="6" t="s">
        <x:v>124</x:v>
      </x:c>
      <x:c r="AS92" s="7"/>
      <x:c r="AT92" s="7"/>
      <x:c r="AU92" s="7"/>
      <x:c r="AV92" s="7"/>
      <x:c r="AW92" s="7"/>
      <x:c r="AX92" s="7"/>
    </x:row>
    <x:row r="93" spans="1:50" ht="39.54999999999999715783">
      <x:c r="A93" s="14">
        <x:v>90</x:v>
      </x:c>
      <x:c r="B93" s="14" t="s">
        <x:v>1018</x:v>
      </x:c>
      <x:c r="C93" s="14" t="s">
        <x:v>677</x:v>
      </x:c>
      <x:c r="D93" s="14">
        <x:v>3</x:v>
      </x:c>
      <x:c r="E93" s="14" t="s">
        <x:v>75</x:v>
      </x:c>
      <x:c r="F93" s="14" t="s">
        <x:v>69</x:v>
      </x:c>
      <x:c r="G93" s="14" t="s">
        <x:v>578</x:v>
      </x:c>
      <x:c r="H93" s="14" t="s">
        <x:v>57</x:v>
      </x:c>
      <x:c r="I93" s="19"/>
      <x:c r="J93" s="14" t="s">
        <x:v>669</x:v>
      </x:c>
      <x:c r="K93" s="14" t="s">
        <x:v>669</x:v>
      </x:c>
      <x:c r="L93" s="14" t="s">
        <x:v>55</x:v>
      </x:c>
      <x:c r="M93" s="14" t="s">
        <x:v>267</x:v>
      </x:c>
      <x:c r="N93" s="14" t="s">
        <x:v>697</x:v>
      </x:c>
      <x:c r="O93" s="14" t="s">
        <x:v>677</x:v>
      </x:c>
      <x:c r="P93" s="14"/>
      <x:c r="Q93" s="14">
        <x:v>0.77400000000000002</x:v>
      </x:c>
      <x:c r="R93" s="14" t="s">
        <x:v>697</x:v>
      </x:c>
      <x:c r="S93" s="14" t="s">
        <x:v>677</x:v>
      </x:c>
      <x:c r="T93" s="14"/>
      <x:c r="U93" s="14">
        <x:v>0.77400000000000002</x:v>
      </x:c>
      <x:c r="V93" s="14" t="s">
        <x:v>722</x:v>
      </x:c>
      <x:c r="W93" s="14" t="s">
        <x:v>677</x:v>
      </x:c>
      <x:c r="X93" s="14"/>
      <x:c r="Y93" s="14">
        <x:v>0.875</x:v>
      </x:c>
      <x:c r="Z93" s="14" t="s">
        <x:v>654</x:v>
      </x:c>
      <x:c r="AA93" s="14" t="s">
        <x:v>677</x:v>
      </x:c>
      <x:c r="AB93" s="14"/>
      <x:c r="AC93" s="14">
        <x:v>0.90200000000000002</x:v>
      </x:c>
      <x:c r="AD93" s="14" t="s">
        <x:v>979</x:v>
      </x:c>
      <x:c r="AE93" s="14" t="s">
        <x:v>108</x:v>
      </x:c>
      <x:c r="AF93" s="19"/>
      <x:c r="AG93" s="19"/>
      <x:c r="AH93" s="19"/>
      <x:c r="AI93" s="19"/>
      <x:c r="AJ93" s="19"/>
      <x:c r="AK93" s="19"/>
      <x:c r="AL93" s="19"/>
      <x:c r="AM93" s="19"/>
      <x:c r="AN93" s="19"/>
      <x:c r="AO93" s="14" t="s">
        <x:v>1044</x:v>
      </x:c>
      <x:c r="AP93" s="20" t="s">
        <x:v>212</x:v>
      </x:c>
      <x:c r="AQ93" s="21" t="s">
        <x:v>127</x:v>
      </x:c>
      <x:c r="AR93" s="21" t="s">
        <x:v>127</x:v>
      </x:c>
      <x:c r="AS93" s="22"/>
      <x:c r="AT93" s="22"/>
      <x:c r="AU93" s="22"/>
      <x:c r="AV93" s="22"/>
      <x:c r="AW93" s="22"/>
      <x:c r="AX93" s="22"/>
    </x:row>
    <x:row r="94" spans="1:50" ht="52.70000000000000284217">
      <x:c r="A94" s="3">
        <x:v>91</x:v>
      </x:c>
      <x:c r="B94" s="3" t="s">
        <x:v>587</x:v>
      </x:c>
      <x:c r="C94" s="3" t="s">
        <x:v>677</x:v>
      </x:c>
      <x:c r="D94" s="3">
        <x:v>3</x:v>
      </x:c>
      <x:c r="E94" s="3" t="s">
        <x:v>64</x:v>
      </x:c>
      <x:c r="F94" s="3" t="s">
        <x:v>69</x:v>
      </x:c>
      <x:c r="G94" s="3" t="s">
        <x:v>584</x:v>
      </x:c>
      <x:c r="H94" s="14" t="s">
        <x:v>57</x:v>
      </x:c>
      <x:c r="I94" s="4"/>
      <x:c r="J94" s="3" t="s">
        <x:v>653</x:v>
      </x:c>
      <x:c r="K94" s="4"/>
      <x:c r="L94" s="4"/>
      <x:c r="M94" s="3" t="s">
        <x:v>1045</x:v>
      </x:c>
      <x:c r="N94" s="3" t="s">
        <x:v>697</x:v>
      </x:c>
      <x:c r="O94" s="3" t="s">
        <x:v>677</x:v>
      </x:c>
      <x:c r="P94" s="3"/>
      <x:c r="Q94" s="3">
        <x:v>0.66400000000000003</x:v>
      </x:c>
      <x:c r="R94" s="3" t="s">
        <x:v>697</x:v>
      </x:c>
      <x:c r="S94" s="3" t="s">
        <x:v>677</x:v>
      </x:c>
      <x:c r="T94" s="3"/>
      <x:c r="U94" s="3">
        <x:v>0.66400000000000003</x:v>
      </x:c>
      <x:c r="V94" s="3" t="s">
        <x:v>636</x:v>
      </x:c>
      <x:c r="W94" s="3" t="s">
        <x:v>677</x:v>
      </x:c>
      <x:c r="X94" s="3"/>
      <x:c r="Y94" s="3">
        <x:v>1.7</x:v>
      </x:c>
      <x:c r="Z94" s="3" t="s">
        <x:v>722</x:v>
      </x:c>
      <x:c r="AA94" s="3" t="s">
        <x:v>677</x:v>
      </x:c>
      <x:c r="AB94" s="3"/>
      <x:c r="AC94" s="3">
        <x:v>1.7</x:v>
      </x:c>
      <x:c r="AD94" s="3" t="s">
        <x:v>1011</x:v>
      </x:c>
      <x:c r="AE94" s="3" t="s">
        <x:v>91</x:v>
      </x:c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3" t="s">
        <x:v>205</x:v>
      </x:c>
      <x:c r="AQ94" s="6" t="s">
        <x:v>127</x:v>
      </x:c>
      <x:c r="AR94" s="6" t="s">
        <x:v>124</x:v>
      </x:c>
      <x:c r="AS94" s="7"/>
      <x:c r="AT94" s="7"/>
      <x:c r="AU94" s="7"/>
      <x:c r="AV94" s="7"/>
      <x:c r="AW94" s="7"/>
      <x:c r="AX94" s="7"/>
    </x:row>
    <x:row r="95" spans="1:50" ht="26.35000000000000142109">
      <x:c r="A95" s="3">
        <x:v>92</x:v>
      </x:c>
      <x:c r="B95" s="3" t="s">
        <x:v>1019</x:v>
      </x:c>
      <x:c r="C95" s="3" t="s">
        <x:v>677</x:v>
      </x:c>
      <x:c r="D95" s="3">
        <x:v>3</x:v>
      </x:c>
      <x:c r="E95" s="3" t="s">
        <x:v>120</x:v>
      </x:c>
      <x:c r="F95" s="3" t="s">
        <x:v>69</x:v>
      </x:c>
      <x:c r="G95" s="3" t="s">
        <x:v>590</x:v>
      </x:c>
      <x:c r="H95" s="14" t="s">
        <x:v>57</x:v>
      </x:c>
      <x:c r="I95" s="4"/>
      <x:c r="J95" s="3" t="s">
        <x:v>653</x:v>
      </x:c>
      <x:c r="K95" s="4"/>
      <x:c r="L95" s="4"/>
      <x:c r="M95" s="3" t="s">
        <x:v>273</x:v>
      </x:c>
      <x:c r="N95" s="3" t="s">
        <x:v>532</x:v>
      </x:c>
      <x:c r="O95" s="3" t="s">
        <x:v>677</x:v>
      </x:c>
      <x:c r="P95" s="3"/>
      <x:c r="Q95" s="3">
        <x:v>0.76500000000000001</x:v>
      </x:c>
      <x:c r="R95" s="3" t="s">
        <x:v>532</x:v>
      </x:c>
      <x:c r="S95" s="3" t="s">
        <x:v>677</x:v>
      </x:c>
      <x:c r="T95" s="3"/>
      <x:c r="U95" s="3">
        <x:v>0.76500000000000001</x:v>
      </x:c>
      <x:c r="V95" s="3" t="s">
        <x:v>618</x:v>
      </x:c>
      <x:c r="W95" s="3" t="s">
        <x:v>677</x:v>
      </x:c>
      <x:c r="X95" s="3"/>
      <x:c r="Y95" s="3">
        <x:v>0.63100000000000001</x:v>
      </x:c>
      <x:c r="Z95" s="3" t="s">
        <x:v>530</x:v>
      </x:c>
      <x:c r="AA95" s="3" t="s">
        <x:v>677</x:v>
      </x:c>
      <x:c r="AB95" s="3"/>
      <x:c r="AC95" s="3">
        <x:v>1.1000000000000001</x:v>
      </x:c>
      <x:c r="AD95" s="3" t="s">
        <x:v>891</x:v>
      </x:c>
      <x:c r="AE95" s="3" t="s">
        <x:v>109</x:v>
      </x:c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6" t="s">
        <x:v>124</x:v>
      </x:c>
      <x:c r="AR95" s="6" t="s">
        <x:v>124</x:v>
      </x:c>
      <x:c r="AS95" s="7"/>
      <x:c r="AT95" s="7"/>
      <x:c r="AU95" s="7"/>
      <x:c r="AV95" s="7"/>
      <x:c r="AW95" s="7"/>
      <x:c r="AX95" s="7"/>
    </x:row>
    <x:row r="96" spans="1:50" ht="26.35000000000000142109">
      <x:c r="A96" s="3">
        <x:v>93</x:v>
      </x:c>
      <x:c r="B96" s="3" t="s">
        <x:v>580</x:v>
      </x:c>
      <x:c r="C96" s="3" t="s">
        <x:v>677</x:v>
      </x:c>
      <x:c r="D96" s="3">
        <x:v>3</x:v>
      </x:c>
      <x:c r="E96" s="3" t="s">
        <x:v>102</x:v>
      </x:c>
      <x:c r="F96" s="3" t="s">
        <x:v>69</x:v>
      </x:c>
      <x:c r="G96" s="3" t="s">
        <x:v>837</x:v>
      </x:c>
      <x:c r="H96" s="14" t="s">
        <x:v>57</x:v>
      </x:c>
      <x:c r="I96" s="4"/>
      <x:c r="J96" s="3" t="s">
        <x:v>653</x:v>
      </x:c>
      <x:c r="K96" s="4"/>
      <x:c r="L96" s="4"/>
      <x:c r="M96" s="3" t="s">
        <x:v>275</x:v>
      </x:c>
      <x:c r="N96" s="3" t="s">
        <x:v>700</x:v>
      </x:c>
      <x:c r="O96" s="3" t="s">
        <x:v>677</x:v>
      </x:c>
      <x:c r="P96" s="3"/>
      <x:c r="Q96" s="3">
        <x:v>0.45000000000000001</x:v>
      </x:c>
      <x:c r="R96" s="3" t="s">
        <x:v>700</x:v>
      </x:c>
      <x:c r="S96" s="3" t="s">
        <x:v>677</x:v>
      </x:c>
      <x:c r="T96" s="3"/>
      <x:c r="U96" s="3">
        <x:v>0.45000000000000001</x:v>
      </x:c>
      <x:c r="V96" s="3" t="s">
        <x:v>737</x:v>
      </x:c>
      <x:c r="W96" s="3" t="s">
        <x:v>677</x:v>
      </x:c>
      <x:c r="X96" s="3"/>
      <x:c r="Y96" s="3">
        <x:v>0.48599999999999999</x:v>
      </x:c>
      <x:c r="Z96" s="3" t="s">
        <x:v>746</x:v>
      </x:c>
      <x:c r="AA96" s="3" t="s">
        <x:v>677</x:v>
      </x:c>
      <x:c r="AB96" s="3"/>
      <x:c r="AC96" s="3">
        <x:v>0.91400000000000003</x:v>
      </x:c>
      <x:c r="AD96" s="3" t="s">
        <x:v>978</x:v>
      </x:c>
      <x:c r="AE96" s="3" t="s">
        <x:v>100</x:v>
      </x:c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6" t="s">
        <x:v>124</x:v>
      </x:c>
      <x:c r="AR96" s="6" t="s">
        <x:v>124</x:v>
      </x:c>
      <x:c r="AS96" s="7"/>
      <x:c r="AT96" s="7"/>
      <x:c r="AU96" s="7"/>
      <x:c r="AV96" s="7"/>
      <x:c r="AW96" s="7"/>
      <x:c r="AX96" s="7"/>
    </x:row>
    <x:row r="97" spans="1:50" ht="26.35000000000000142109">
      <x:c r="A97" s="3">
        <x:v>94</x:v>
      </x:c>
      <x:c r="B97" s="3" t="s">
        <x:v>580</x:v>
      </x:c>
      <x:c r="C97" s="3" t="s">
        <x:v>677</x:v>
      </x:c>
      <x:c r="D97" s="3">
        <x:v>3</x:v>
      </x:c>
      <x:c r="E97" s="3" t="s">
        <x:v>84</x:v>
      </x:c>
      <x:c r="F97" s="3" t="s">
        <x:v>69</x:v>
      </x:c>
      <x:c r="G97" s="3" t="s">
        <x:v>576</x:v>
      </x:c>
      <x:c r="H97" s="14" t="s">
        <x:v>57</x:v>
      </x:c>
      <x:c r="I97" s="4"/>
      <x:c r="J97" s="8" t="s">
        <x:v>917</x:v>
      </x:c>
      <x:c r="K97" s="3" t="s">
        <x:v>663</x:v>
      </x:c>
      <x:c r="L97" s="3" t="s">
        <x:v>61</x:v>
      </x:c>
      <x:c r="M97" s="3" t="s">
        <x:v>853</x:v>
      </x:c>
      <x:c r="N97" s="3" t="s">
        <x:v>746</x:v>
      </x:c>
      <x:c r="O97" s="3" t="s">
        <x:v>677</x:v>
      </x:c>
      <x:c r="P97" s="3"/>
      <x:c r="Q97" s="3">
        <x:v>0.59999999999999998</x:v>
      </x:c>
      <x:c r="R97" s="3" t="s">
        <x:v>746</x:v>
      </x:c>
      <x:c r="S97" s="3" t="s">
        <x:v>677</x:v>
      </x:c>
      <x:c r="T97" s="3"/>
      <x:c r="U97" s="3">
        <x:v>0.61399999999999999</x:v>
      </x:c>
      <x:c r="V97" s="3" t="s">
        <x:v>737</x:v>
      </x:c>
      <x:c r="W97" s="3" t="s">
        <x:v>677</x:v>
      </x:c>
      <x:c r="X97" s="3"/>
      <x:c r="Y97" s="3">
        <x:v>1.3999999999999999</x:v>
      </x:c>
      <x:c r="Z97" s="3" t="s">
        <x:v>700</x:v>
      </x:c>
      <x:c r="AA97" s="3" t="s">
        <x:v>677</x:v>
      </x:c>
      <x:c r="AB97" s="3"/>
      <x:c r="AC97" s="3">
        <x:v>1.3999999999999999</x:v>
      </x:c>
      <x:c r="AD97" s="3" t="s">
        <x:v>984</x:v>
      </x:c>
      <x:c r="AE97" s="3" t="s">
        <x:v>100</x:v>
      </x:c>
      <x:c r="AF97" s="4"/>
      <x:c r="AG97" s="4"/>
      <x:c r="AH97" s="4"/>
      <x:c r="AI97" s="4"/>
      <x:c r="AJ97" s="4"/>
      <x:c r="AK97" s="4"/>
      <x:c r="AL97" s="4"/>
      <x:c r="AM97" s="4"/>
      <x:c r="AN97" s="4"/>
      <x:c r="AO97" s="3" t="s">
        <x:v>1038</x:v>
      </x:c>
      <x:c r="AP97" s="3" t="s">
        <x:v>888</x:v>
      </x:c>
      <x:c r="AQ97" s="6" t="s">
        <x:v>124</x:v>
      </x:c>
      <x:c r="AR97" s="6" t="s">
        <x:v>124</x:v>
      </x:c>
      <x:c r="AS97" s="7"/>
      <x:c r="AT97" s="7"/>
      <x:c r="AU97" s="7"/>
      <x:c r="AV97" s="7"/>
      <x:c r="AW97" s="7"/>
      <x:c r="AX97" s="7"/>
    </x:row>
    <x:row r="98" spans="1:50" ht="26.35000000000000142109">
      <x:c r="A98" s="3">
        <x:v>95</x:v>
      </x:c>
      <x:c r="B98" s="3" t="s">
        <x:v>974</x:v>
      </x:c>
      <x:c r="C98" s="4"/>
      <x:c r="D98" s="3">
        <x:v>3</x:v>
      </x:c>
      <x:c r="E98" s="3" t="s">
        <x:v>89</x:v>
      </x:c>
      <x:c r="F98" s="3" t="s">
        <x:v>53</x:v>
      </x:c>
      <x:c r="G98" s="3" t="s">
        <x:v>585</x:v>
      </x:c>
      <x:c r="H98" s="4"/>
      <x:c r="I98" s="14" t="s">
        <x:v>57</x:v>
      </x:c>
      <x:c r="J98" s="3" t="s">
        <x:v>743</x:v>
      </x:c>
      <x:c r="K98" s="3" t="s">
        <x:v>743</x:v>
      </x:c>
      <x:c r="L98" s="3" t="s">
        <x:v>68</x:v>
      </x:c>
      <x:c r="M98" s="3" t="s">
        <x:v>546</x:v>
      </x:c>
      <x:c r="N98" s="3" t="s">
        <x:v>531</x:v>
      </x:c>
      <x:c r="O98" s="3" t="s">
        <x:v>666</x:v>
      </x:c>
      <x:c r="P98" s="3"/>
      <x:c r="Q98" s="3">
        <x:v>0.5</x:v>
      </x:c>
      <x:c r="R98" s="3" t="s">
        <x:v>531</x:v>
      </x:c>
      <x:c r="S98" s="3" t="s">
        <x:v>666</x:v>
      </x:c>
      <x:c r="T98" s="3"/>
      <x:c r="U98" s="3">
        <x:v>0.5</x:v>
      </x:c>
      <x:c r="V98" s="4"/>
      <x:c r="W98" s="4"/>
      <x:c r="X98" s="3"/>
      <x:c r="Y98" s="4"/>
      <x:c r="Z98" s="4"/>
      <x:c r="AA98" s="4"/>
      <x:c r="AB98" s="3"/>
      <x:c r="AC98" s="4"/>
      <x:c r="AD98" s="4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3" t="s">
        <x:v>545</x:v>
      </x:c>
      <x:c r="AP98" s="4"/>
      <x:c r="AQ98" s="6" t="s">
        <x:v>124</x:v>
      </x:c>
      <x:c r="AR98" s="6" t="s">
        <x:v>124</x:v>
      </x:c>
      <x:c r="AS98" s="7"/>
      <x:c r="AT98" s="7"/>
      <x:c r="AU98" s="7"/>
      <x:c r="AV98" s="7"/>
      <x:c r="AW98" s="7"/>
      <x:c r="AX98" s="7"/>
    </x:row>
    <x:row r="99" spans="1:50" ht="39.54999999999999715783">
      <x:c r="A99" s="3">
        <x:v>96</x:v>
      </x:c>
      <x:c r="B99" s="3" t="s">
        <x:v>647</x:v>
      </x:c>
      <x:c r="C99" s="3" t="s">
        <x:v>677</x:v>
      </x:c>
      <x:c r="D99" s="3">
        <x:v>3</x:v>
      </x:c>
      <x:c r="E99" s="3" t="s">
        <x:v>99</x:v>
      </x:c>
      <x:c r="F99" s="3" t="s">
        <x:v>69</x:v>
      </x:c>
      <x:c r="G99" s="3" t="s">
        <x:v>577</x:v>
      </x:c>
      <x:c r="H99" s="14" t="s">
        <x:v>57</x:v>
      </x:c>
      <x:c r="I99" s="4"/>
      <x:c r="J99" s="3" t="s">
        <x:v>653</x:v>
      </x:c>
      <x:c r="K99" s="4"/>
      <x:c r="L99" s="4"/>
      <x:c r="M99" s="3" t="s">
        <x:v>1046</x:v>
      </x:c>
      <x:c r="N99" s="3" t="s">
        <x:v>702</x:v>
      </x:c>
      <x:c r="O99" s="3" t="s">
        <x:v>677</x:v>
      </x:c>
      <x:c r="P99" s="3"/>
      <x:c r="Q99" s="3">
        <x:v>0.46999999999999997</x:v>
      </x:c>
      <x:c r="R99" s="3" t="s">
        <x:v>702</x:v>
      </x:c>
      <x:c r="S99" s="3" t="s">
        <x:v>677</x:v>
      </x:c>
      <x:c r="T99" s="3"/>
      <x:c r="U99" s="3">
        <x:v>0.46999999999999997</x:v>
      </x:c>
      <x:c r="V99" s="3" t="s">
        <x:v>745</x:v>
      </x:c>
      <x:c r="W99" s="3" t="s">
        <x:v>677</x:v>
      </x:c>
      <x:c r="X99" s="3"/>
      <x:c r="Y99" s="3">
        <x:v>0.68000000000000005</x:v>
      </x:c>
      <x:c r="Z99" s="3" t="s">
        <x:v>738</x:v>
      </x:c>
      <x:c r="AA99" s="3" t="s">
        <x:v>677</x:v>
      </x:c>
      <x:c r="AB99" s="3"/>
      <x:c r="AC99" s="3">
        <x:v>0.61199999999999999</x:v>
      </x:c>
      <x:c r="AD99" s="3" t="s">
        <x:v>964</x:v>
      </x:c>
      <x:c r="AE99" s="3" t="s">
        <x:v>97</x:v>
      </x:c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3" t="s">
        <x:v>231</x:v>
      </x:c>
      <x:c r="AQ99" s="6" t="s">
        <x:v>124</x:v>
      </x:c>
      <x:c r="AR99" s="6" t="s">
        <x:v>127</x:v>
      </x:c>
      <x:c r="AS99" s="7"/>
      <x:c r="AT99" s="7"/>
      <x:c r="AU99" s="7"/>
      <x:c r="AV99" s="7"/>
      <x:c r="AW99" s="7"/>
      <x:c r="AX99" s="7"/>
    </x:row>
    <x:row r="100" spans="1:50" ht="26.35000000000000142109">
      <x:c r="A100" s="3">
        <x:v>97</x:v>
      </x:c>
      <x:c r="B100" s="3" t="s">
        <x:v>843</x:v>
      </x:c>
      <x:c r="C100" s="3" t="s">
        <x:v>677</x:v>
      </x:c>
      <x:c r="D100" s="3">
        <x:v>3</x:v>
      </x:c>
      <x:c r="E100" s="3" t="s">
        <x:v>106</x:v>
      </x:c>
      <x:c r="F100" s="3" t="s">
        <x:v>69</x:v>
      </x:c>
      <x:c r="G100" s="3" t="s">
        <x:v>839</x:v>
      </x:c>
      <x:c r="H100" s="14" t="s">
        <x:v>57</x:v>
      </x:c>
      <x:c r="I100" s="4"/>
      <x:c r="J100" s="8" t="s">
        <x:v>421</x:v>
      </x:c>
      <x:c r="K100" s="3" t="s">
        <x:v>669</x:v>
      </x:c>
      <x:c r="L100" s="3" t="s">
        <x:v>55</x:v>
      </x:c>
      <x:c r="M100" s="3" t="s">
        <x:v>854</x:v>
      </x:c>
      <x:c r="N100" s="3" t="s">
        <x:v>698</x:v>
      </x:c>
      <x:c r="O100" s="3" t="s">
        <x:v>677</x:v>
      </x:c>
      <x:c r="P100" s="3"/>
      <x:c r="Q100" s="3">
        <x:v>0.55200000000000005</x:v>
      </x:c>
      <x:c r="R100" s="3" t="s">
        <x:v>698</x:v>
      </x:c>
      <x:c r="S100" s="3" t="s">
        <x:v>677</x:v>
      </x:c>
      <x:c r="T100" s="3"/>
      <x:c r="U100" s="3">
        <x:v>0.55200000000000005</x:v>
      </x:c>
      <x:c r="V100" s="3" t="s">
        <x:v>713</x:v>
      </x:c>
      <x:c r="W100" s="3" t="s">
        <x:v>677</x:v>
      </x:c>
      <x:c r="X100" s="3"/>
      <x:c r="Y100" s="3">
        <x:v>1.5</x:v>
      </x:c>
      <x:c r="Z100" s="3" t="s">
        <x:v>687</x:v>
      </x:c>
      <x:c r="AA100" s="3" t="s">
        <x:v>677</x:v>
      </x:c>
      <x:c r="AB100" s="3"/>
      <x:c r="AC100" s="3">
        <x:v>1.8999999999999999</x:v>
      </x:c>
      <x:c r="AD100" s="3" t="s">
        <x:v>991</x:v>
      </x:c>
      <x:c r="AE100" s="3" t="s">
        <x:v>86</x:v>
      </x:c>
      <x:c r="AF100" s="3" t="s">
        <x:v>671</x:v>
      </x:c>
      <x:c r="AG100" s="3" t="s">
        <x:v>716</x:v>
      </x:c>
      <x:c r="AH100" s="3" t="s">
        <x:v>688</x:v>
      </x:c>
      <x:c r="AI100" s="3" t="s">
        <x:v>671</x:v>
      </x:c>
      <x:c r="AJ100" s="3" t="s">
        <x:v>811</x:v>
      </x:c>
      <x:c r="AK100" s="3" t="s">
        <x:v>677</x:v>
      </x:c>
      <x:c r="AL100" s="4"/>
      <x:c r="AM100" s="4"/>
      <x:c r="AN100" s="4"/>
      <x:c r="AO100" s="3" t="s">
        <x:v>1041</x:v>
      </x:c>
      <x:c r="AP100" s="3" t="s">
        <x:v>928</x:v>
      </x:c>
      <x:c r="AQ100" s="6" t="s">
        <x:v>124</x:v>
      </x:c>
      <x:c r="AR100" s="6" t="s">
        <x:v>124</x:v>
      </x:c>
      <x:c r="AS100" s="7"/>
      <x:c r="AT100" s="7"/>
      <x:c r="AU100" s="7"/>
      <x:c r="AV100" s="7"/>
      <x:c r="AW100" s="7"/>
      <x:c r="AX100" s="7"/>
    </x:row>
    <x:row r="101" spans="1:50" ht="26.35000000000000142109">
      <x:c r="A101" s="3">
        <x:v>98</x:v>
      </x:c>
      <x:c r="B101" s="3" t="s">
        <x:v>843</x:v>
      </x:c>
      <x:c r="C101" s="3" t="s">
        <x:v>677</x:v>
      </x:c>
      <x:c r="D101" s="3">
        <x:v>3</x:v>
      </x:c>
      <x:c r="E101" s="3" t="s">
        <x:v>98</x:v>
      </x:c>
      <x:c r="F101" s="3" t="s">
        <x:v>53</x:v>
      </x:c>
      <x:c r="G101" s="3" t="s">
        <x:v>837</x:v>
      </x:c>
      <x:c r="H101" s="14" t="s">
        <x:v>57</x:v>
      </x:c>
      <x:c r="I101" s="4"/>
      <x:c r="J101" s="3" t="s">
        <x:v>653</x:v>
      </x:c>
      <x:c r="K101" s="4"/>
      <x:c r="L101" s="4"/>
      <x:c r="M101" s="3" t="s">
        <x:v>858</x:v>
      </x:c>
      <x:c r="N101" s="3" t="s">
        <x:v>698</x:v>
      </x:c>
      <x:c r="O101" s="3" t="s">
        <x:v>677</x:v>
      </x:c>
      <x:c r="P101" s="3"/>
      <x:c r="Q101" s="3">
        <x:v>0.35299999999999998</x:v>
      </x:c>
      <x:c r="R101" s="3" t="s">
        <x:v>698</x:v>
      </x:c>
      <x:c r="S101" s="3" t="s">
        <x:v>677</x:v>
      </x:c>
      <x:c r="T101" s="3"/>
      <x:c r="U101" s="3">
        <x:v>0.67200000000000004</x:v>
      </x:c>
      <x:c r="V101" s="3" t="s">
        <x:v>713</x:v>
      </x:c>
      <x:c r="W101" s="3" t="s">
        <x:v>677</x:v>
      </x:c>
      <x:c r="X101" s="3"/>
      <x:c r="Y101" s="3">
        <x:v>1.1000000000000001</x:v>
      </x:c>
      <x:c r="Z101" s="3" t="s">
        <x:v>687</x:v>
      </x:c>
      <x:c r="AA101" s="3" t="s">
        <x:v>677</x:v>
      </x:c>
      <x:c r="AB101" s="3"/>
      <x:c r="AC101" s="3">
        <x:v>1.8</x:v>
      </x:c>
      <x:c r="AD101" s="3" t="s">
        <x:v>982</x:v>
      </x:c>
      <x:c r="AE101" s="3" t="s">
        <x:v>86</x:v>
      </x:c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6" t="s">
        <x:v>124</x:v>
      </x:c>
      <x:c r="AR101" s="6" t="s">
        <x:v>124</x:v>
      </x:c>
      <x:c r="AS101" s="7"/>
      <x:c r="AT101" s="7"/>
      <x:c r="AU101" s="7"/>
      <x:c r="AV101" s="7"/>
      <x:c r="AW101" s="7"/>
      <x:c r="AX101" s="7"/>
    </x:row>
    <x:row r="102" spans="1:50" ht="13.19999999999999928946">
      <x:c r="A102" s="3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3"/>
      <x:c r="Q102" s="4"/>
      <x:c r="R102" s="4"/>
      <x:c r="S102" s="4"/>
      <x:c r="T102" s="3"/>
      <x:c r="U102" s="4"/>
      <x:c r="V102" s="4"/>
      <x:c r="W102" s="4"/>
      <x:c r="X102" s="3"/>
      <x:c r="Y102" s="4"/>
      <x:c r="Z102" s="4"/>
      <x:c r="AA102" s="4"/>
      <x:c r="AB102" s="3"/>
      <x:c r="AC102" s="4"/>
      <x:c r="AD102" s="4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6"/>
      <x:c r="AR102" s="6"/>
      <x:c r="AS102" s="7"/>
      <x:c r="AT102" s="7"/>
      <x:c r="AU102" s="7"/>
      <x:c r="AV102" s="7"/>
      <x:c r="AW102" s="7"/>
      <x:c r="AX102" s="7"/>
    </x:row>
    <x:row r="103" spans="1:50" ht="13.19999999999999928946">
      <x:c r="A103" s="3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3"/>
      <x:c r="Q103" s="4"/>
      <x:c r="R103" s="4"/>
      <x:c r="S103" s="4"/>
      <x:c r="T103" s="3"/>
      <x:c r="U103" s="4"/>
      <x:c r="V103" s="4"/>
      <x:c r="W103" s="4"/>
      <x:c r="X103" s="3"/>
      <x:c r="Y103" s="4"/>
      <x:c r="Z103" s="4"/>
      <x:c r="AA103" s="4"/>
      <x:c r="AB103" s="3"/>
      <x:c r="AC103" s="4"/>
      <x:c r="AD103" s="4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6"/>
      <x:c r="AR103" s="6"/>
      <x:c r="AS103" s="7"/>
      <x:c r="AT103" s="7"/>
      <x:c r="AU103" s="7"/>
      <x:c r="AV103" s="7"/>
      <x:c r="AW103" s="7"/>
      <x:c r="AX103" s="7"/>
    </x:row>
    <x:row r="104" spans="1:50" ht="13.19999999999999928946">
      <x:c r="A104" s="3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3"/>
      <x:c r="Q104" s="4"/>
      <x:c r="R104" s="4"/>
      <x:c r="S104" s="4"/>
      <x:c r="T104" s="3"/>
      <x:c r="U104" s="4"/>
      <x:c r="V104" s="4"/>
      <x:c r="W104" s="4"/>
      <x:c r="X104" s="3"/>
      <x:c r="Y104" s="4"/>
      <x:c r="Z104" s="4"/>
      <x:c r="AA104" s="4"/>
      <x:c r="AB104" s="3"/>
      <x:c r="AC104" s="4"/>
      <x:c r="AD104" s="4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6"/>
      <x:c r="AR104" s="6"/>
      <x:c r="AS104" s="7"/>
      <x:c r="AT104" s="7"/>
      <x:c r="AU104" s="7"/>
      <x:c r="AV104" s="7"/>
      <x:c r="AW104" s="7"/>
      <x:c r="AX104" s="7"/>
    </x:row>
    <x:row r="105" spans="1:50" ht="13.19999999999999928946">
      <x:c r="A105" s="3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3"/>
      <x:c r="Q105" s="4"/>
      <x:c r="R105" s="4"/>
      <x:c r="S105" s="4"/>
      <x:c r="T105" s="3"/>
      <x:c r="U105" s="4"/>
      <x:c r="V105" s="4"/>
      <x:c r="W105" s="4"/>
      <x:c r="X105" s="3"/>
      <x:c r="Y105" s="4"/>
      <x:c r="Z105" s="4"/>
      <x:c r="AA105" s="4"/>
      <x:c r="AB105" s="3"/>
      <x:c r="AC105" s="4"/>
      <x:c r="AD105" s="4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6"/>
      <x:c r="AR105" s="6"/>
      <x:c r="AS105" s="7"/>
      <x:c r="AT105" s="7"/>
      <x:c r="AU105" s="7"/>
      <x:c r="AV105" s="7"/>
      <x:c r="AW105" s="7"/>
      <x:c r="AX105" s="7"/>
    </x:row>
    <x:row r="106" spans="1:50" ht="13.19999999999999928946">
      <x:c r="A106" s="3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3"/>
      <x:c r="Q106" s="4"/>
      <x:c r="R106" s="4"/>
      <x:c r="S106" s="4"/>
      <x:c r="T106" s="3"/>
      <x:c r="U106" s="4"/>
      <x:c r="V106" s="4"/>
      <x:c r="W106" s="4"/>
      <x:c r="X106" s="3"/>
      <x:c r="Y106" s="4"/>
      <x:c r="Z106" s="4"/>
      <x:c r="AA106" s="4"/>
      <x:c r="AB106" s="3"/>
      <x:c r="AC106" s="4"/>
      <x:c r="AD106" s="4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6"/>
      <x:c r="AR106" s="6"/>
      <x:c r="AS106" s="7"/>
      <x:c r="AT106" s="7"/>
      <x:c r="AU106" s="7"/>
      <x:c r="AV106" s="7"/>
      <x:c r="AW106" s="7"/>
      <x:c r="AX106" s="7"/>
    </x:row>
    <x:row r="107" spans="1:50" ht="13.19999999999999928946">
      <x:c r="A107" s="3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3"/>
      <x:c r="Q107" s="4"/>
      <x:c r="R107" s="4"/>
      <x:c r="S107" s="4"/>
      <x:c r="T107" s="3"/>
      <x:c r="U107" s="4"/>
      <x:c r="V107" s="4"/>
      <x:c r="W107" s="4"/>
      <x:c r="X107" s="3"/>
      <x:c r="Y107" s="4"/>
      <x:c r="Z107" s="4"/>
      <x:c r="AA107" s="4"/>
      <x:c r="AB107" s="3"/>
      <x:c r="AC107" s="4"/>
      <x:c r="AD107" s="4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6"/>
      <x:c r="AR107" s="6"/>
      <x:c r="AS107" s="7"/>
      <x:c r="AT107" s="7"/>
      <x:c r="AU107" s="7"/>
      <x:c r="AV107" s="7"/>
      <x:c r="AW107" s="7"/>
      <x:c r="AX107" s="7"/>
    </x:row>
    <x:row r="108" spans="1:50" ht="13.19999999999999928946">
      <x:c r="A108" s="3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3"/>
      <x:c r="Q108" s="4"/>
      <x:c r="R108" s="4"/>
      <x:c r="S108" s="4"/>
      <x:c r="T108" s="3"/>
      <x:c r="U108" s="4"/>
      <x:c r="V108" s="4"/>
      <x:c r="W108" s="4"/>
      <x:c r="X108" s="3"/>
      <x:c r="Y108" s="4"/>
      <x:c r="Z108" s="4"/>
      <x:c r="AA108" s="4"/>
      <x:c r="AB108" s="3"/>
      <x:c r="AC108" s="4"/>
      <x:c r="AD108" s="4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6"/>
      <x:c r="AR108" s="6"/>
      <x:c r="AS108" s="7"/>
      <x:c r="AT108" s="7"/>
      <x:c r="AU108" s="7"/>
      <x:c r="AV108" s="7"/>
      <x:c r="AW108" s="7"/>
      <x:c r="AX108" s="7"/>
    </x:row>
    <x:row r="109" spans="1:50" ht="13.19999999999999928946">
      <x:c r="A109" s="3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3"/>
      <x:c r="Q109" s="4"/>
      <x:c r="R109" s="4"/>
      <x:c r="S109" s="4"/>
      <x:c r="T109" s="3"/>
      <x:c r="U109" s="4"/>
      <x:c r="V109" s="4"/>
      <x:c r="W109" s="4"/>
      <x:c r="X109" s="3"/>
      <x:c r="Y109" s="4"/>
      <x:c r="Z109" s="4"/>
      <x:c r="AA109" s="4"/>
      <x:c r="AB109" s="3"/>
      <x:c r="AC109" s="4"/>
      <x:c r="AD109" s="4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6"/>
      <x:c r="AR109" s="6"/>
      <x:c r="AS109" s="7"/>
      <x:c r="AT109" s="7"/>
      <x:c r="AU109" s="7"/>
      <x:c r="AV109" s="7"/>
      <x:c r="AW109" s="7"/>
      <x:c r="AX109" s="7"/>
    </x:row>
    <x:row r="110" spans="1:50" ht="13.19999999999999928946">
      <x:c r="A110" s="3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3"/>
      <x:c r="Q110" s="4"/>
      <x:c r="R110" s="4"/>
      <x:c r="S110" s="4"/>
      <x:c r="T110" s="3"/>
      <x:c r="U110" s="4"/>
      <x:c r="V110" s="4"/>
      <x:c r="W110" s="4"/>
      <x:c r="X110" s="3"/>
      <x:c r="Y110" s="4"/>
      <x:c r="Z110" s="4"/>
      <x:c r="AA110" s="4"/>
      <x:c r="AB110" s="3"/>
      <x:c r="AC110" s="4"/>
      <x:c r="AD110" s="4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6"/>
      <x:c r="AR110" s="6"/>
      <x:c r="AS110" s="7"/>
      <x:c r="AT110" s="7"/>
      <x:c r="AU110" s="7"/>
      <x:c r="AV110" s="7"/>
      <x:c r="AW110" s="7"/>
      <x:c r="AX110" s="7"/>
    </x:row>
    <x:row r="111" spans="1:50" ht="13.19999999999999928946">
      <x:c r="A111" s="3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3"/>
      <x:c r="Q111" s="4"/>
      <x:c r="R111" s="4"/>
      <x:c r="S111" s="4"/>
      <x:c r="T111" s="3"/>
      <x:c r="U111" s="4"/>
      <x:c r="V111" s="4"/>
      <x:c r="W111" s="4"/>
      <x:c r="X111" s="3"/>
      <x:c r="Y111" s="4"/>
      <x:c r="Z111" s="4"/>
      <x:c r="AA111" s="4"/>
      <x:c r="AB111" s="3"/>
      <x:c r="AC111" s="4"/>
      <x:c r="AD111" s="4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6"/>
      <x:c r="AR111" s="6"/>
      <x:c r="AS111" s="7"/>
      <x:c r="AT111" s="7"/>
      <x:c r="AU111" s="7"/>
      <x:c r="AV111" s="7"/>
      <x:c r="AW111" s="7"/>
      <x:c r="AX111" s="7"/>
    </x:row>
    <x:row r="112" spans="1:50" ht="13.19999999999999928946">
      <x:c r="A112" s="3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3"/>
      <x:c r="Q112" s="4"/>
      <x:c r="R112" s="4"/>
      <x:c r="S112" s="4"/>
      <x:c r="T112" s="3"/>
      <x:c r="U112" s="4"/>
      <x:c r="V112" s="4"/>
      <x:c r="W112" s="4"/>
      <x:c r="X112" s="3"/>
      <x:c r="Y112" s="4"/>
      <x:c r="Z112" s="4"/>
      <x:c r="AA112" s="4"/>
      <x:c r="AB112" s="3"/>
      <x:c r="AC112" s="4"/>
      <x:c r="AD112" s="4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6"/>
      <x:c r="AR112" s="6"/>
      <x:c r="AS112" s="7"/>
      <x:c r="AT112" s="7"/>
      <x:c r="AU112" s="7"/>
      <x:c r="AV112" s="7"/>
      <x:c r="AW112" s="7"/>
      <x:c r="AX112" s="7"/>
    </x:row>
    <x:row r="113" spans="1:50" ht="13.19999999999999928946">
      <x:c r="A113" s="3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3"/>
      <x:c r="Q113" s="4"/>
      <x:c r="R113" s="4"/>
      <x:c r="S113" s="4"/>
      <x:c r="T113" s="3"/>
      <x:c r="U113" s="4"/>
      <x:c r="V113" s="4"/>
      <x:c r="W113" s="4"/>
      <x:c r="X113" s="3"/>
      <x:c r="Y113" s="4"/>
      <x:c r="Z113" s="4"/>
      <x:c r="AA113" s="4"/>
      <x:c r="AB113" s="3"/>
      <x:c r="AC113" s="4"/>
      <x:c r="AD113" s="4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6"/>
      <x:c r="AR113" s="6"/>
      <x:c r="AS113" s="7"/>
      <x:c r="AT113" s="7"/>
      <x:c r="AU113" s="7"/>
      <x:c r="AV113" s="7"/>
      <x:c r="AW113" s="7"/>
      <x:c r="AX113" s="7"/>
    </x:row>
    <x:row r="114" spans="1:50" ht="13.19999999999999928946">
      <x:c r="A114" s="3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3"/>
      <x:c r="Q114" s="4"/>
      <x:c r="R114" s="4"/>
      <x:c r="S114" s="4"/>
      <x:c r="T114" s="3"/>
      <x:c r="U114" s="4"/>
      <x:c r="V114" s="4"/>
      <x:c r="W114" s="4"/>
      <x:c r="X114" s="3"/>
      <x:c r="Y114" s="4"/>
      <x:c r="Z114" s="4"/>
      <x:c r="AA114" s="4"/>
      <x:c r="AB114" s="3"/>
      <x:c r="AC114" s="4"/>
      <x:c r="AD114" s="4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6"/>
      <x:c r="AR114" s="6"/>
      <x:c r="AS114" s="7"/>
      <x:c r="AT114" s="7"/>
      <x:c r="AU114" s="7"/>
      <x:c r="AV114" s="7"/>
      <x:c r="AW114" s="7"/>
      <x:c r="AX114" s="7"/>
    </x:row>
    <x:row r="115" spans="1:50" ht="13.19999999999999928946">
      <x:c r="A115" s="3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3"/>
      <x:c r="Q115" s="4"/>
      <x:c r="R115" s="4"/>
      <x:c r="S115" s="4"/>
      <x:c r="T115" s="3"/>
      <x:c r="U115" s="4"/>
      <x:c r="V115" s="4"/>
      <x:c r="W115" s="4"/>
      <x:c r="X115" s="3"/>
      <x:c r="Y115" s="4"/>
      <x:c r="Z115" s="4"/>
      <x:c r="AA115" s="4"/>
      <x:c r="AB115" s="3"/>
      <x:c r="AC115" s="4"/>
      <x:c r="AD115" s="4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6"/>
      <x:c r="AR115" s="6"/>
      <x:c r="AS115" s="7"/>
      <x:c r="AT115" s="7"/>
      <x:c r="AU115" s="7"/>
      <x:c r="AV115" s="7"/>
      <x:c r="AW115" s="7"/>
      <x:c r="AX115" s="7"/>
    </x:row>
    <x:row r="116" spans="1:50" ht="13.19999999999999928946">
      <x:c r="A116" s="3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3"/>
      <x:c r="Q116" s="4"/>
      <x:c r="R116" s="4"/>
      <x:c r="S116" s="4"/>
      <x:c r="T116" s="3"/>
      <x:c r="U116" s="4"/>
      <x:c r="V116" s="4"/>
      <x:c r="W116" s="4"/>
      <x:c r="X116" s="3"/>
      <x:c r="Y116" s="4"/>
      <x:c r="Z116" s="4"/>
      <x:c r="AA116" s="4"/>
      <x:c r="AB116" s="3"/>
      <x:c r="AC116" s="4"/>
      <x:c r="AD116" s="4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6"/>
      <x:c r="AR116" s="6"/>
      <x:c r="AS116" s="7"/>
      <x:c r="AT116" s="7"/>
      <x:c r="AU116" s="7"/>
      <x:c r="AV116" s="7"/>
      <x:c r="AW116" s="7"/>
      <x:c r="AX116" s="7"/>
    </x:row>
    <x:row r="117" spans="1:50" ht="13.19999999999999928946">
      <x:c r="A117" s="3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3"/>
      <x:c r="Q117" s="4"/>
      <x:c r="R117" s="4"/>
      <x:c r="S117" s="4"/>
      <x:c r="T117" s="3"/>
      <x:c r="U117" s="4"/>
      <x:c r="V117" s="4"/>
      <x:c r="W117" s="4"/>
      <x:c r="X117" s="3"/>
      <x:c r="Y117" s="4"/>
      <x:c r="Z117" s="4"/>
      <x:c r="AA117" s="4"/>
      <x:c r="AB117" s="3"/>
      <x:c r="AC117" s="4"/>
      <x:c r="AD117" s="4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6"/>
      <x:c r="AR117" s="6"/>
      <x:c r="AS117" s="7"/>
      <x:c r="AT117" s="7"/>
      <x:c r="AU117" s="7"/>
      <x:c r="AV117" s="7"/>
      <x:c r="AW117" s="7"/>
      <x:c r="AX117" s="7"/>
    </x:row>
    <x:row r="118" spans="1:50" ht="13.19999999999999928946">
      <x:c r="A118" s="3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3"/>
      <x:c r="Q118" s="4"/>
      <x:c r="R118" s="4"/>
      <x:c r="S118" s="4"/>
      <x:c r="T118" s="3"/>
      <x:c r="U118" s="4"/>
      <x:c r="V118" s="4"/>
      <x:c r="W118" s="4"/>
      <x:c r="X118" s="3"/>
      <x:c r="Y118" s="4"/>
      <x:c r="Z118" s="4"/>
      <x:c r="AA118" s="4"/>
      <x:c r="AB118" s="3"/>
      <x:c r="AC118" s="4"/>
      <x:c r="AD118" s="4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6"/>
      <x:c r="AR118" s="6"/>
      <x:c r="AS118" s="7"/>
      <x:c r="AT118" s="7"/>
      <x:c r="AU118" s="7"/>
      <x:c r="AV118" s="7"/>
      <x:c r="AW118" s="7"/>
      <x:c r="AX118" s="7"/>
    </x:row>
    <x:row r="119" spans="1:50" ht="13.19999999999999928946">
      <x:c r="A119" s="3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3"/>
      <x:c r="Q119" s="4"/>
      <x:c r="R119" s="4"/>
      <x:c r="S119" s="4"/>
      <x:c r="T119" s="3"/>
      <x:c r="U119" s="4"/>
      <x:c r="V119" s="4"/>
      <x:c r="W119" s="4"/>
      <x:c r="X119" s="3"/>
      <x:c r="Y119" s="4"/>
      <x:c r="Z119" s="4"/>
      <x:c r="AA119" s="4"/>
      <x:c r="AB119" s="3"/>
      <x:c r="AC119" s="4"/>
      <x:c r="AD119" s="4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6"/>
      <x:c r="AR119" s="6"/>
      <x:c r="AS119" s="7"/>
      <x:c r="AT119" s="7"/>
      <x:c r="AU119" s="7"/>
      <x:c r="AV119" s="7"/>
      <x:c r="AW119" s="7"/>
      <x:c r="AX119" s="7"/>
    </x:row>
    <x:row r="120" spans="1:50" ht="13.19999999999999928946">
      <x:c r="A120" s="3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3"/>
      <x:c r="Q120" s="4"/>
      <x:c r="R120" s="4"/>
      <x:c r="S120" s="4"/>
      <x:c r="T120" s="3"/>
      <x:c r="U120" s="4"/>
      <x:c r="V120" s="4"/>
      <x:c r="W120" s="4"/>
      <x:c r="X120" s="3"/>
      <x:c r="Y120" s="4"/>
      <x:c r="Z120" s="4"/>
      <x:c r="AA120" s="4"/>
      <x:c r="AB120" s="3"/>
      <x:c r="AC120" s="4"/>
      <x:c r="AD120" s="4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6"/>
      <x:c r="AR120" s="6"/>
      <x:c r="AS120" s="7"/>
      <x:c r="AT120" s="7"/>
      <x:c r="AU120" s="7"/>
      <x:c r="AV120" s="7"/>
      <x:c r="AW120" s="7"/>
      <x:c r="AX120" s="7"/>
    </x:row>
    <x:row r="121" spans="1:50" ht="13.19999999999999928946">
      <x:c r="A121" s="3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3"/>
      <x:c r="Q121" s="4"/>
      <x:c r="R121" s="4"/>
      <x:c r="S121" s="4"/>
      <x:c r="T121" s="3"/>
      <x:c r="U121" s="4"/>
      <x:c r="V121" s="4"/>
      <x:c r="W121" s="4"/>
      <x:c r="X121" s="3"/>
      <x:c r="Y121" s="4"/>
      <x:c r="Z121" s="4"/>
      <x:c r="AA121" s="4"/>
      <x:c r="AB121" s="3"/>
      <x:c r="AC121" s="4"/>
      <x:c r="AD121" s="4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6"/>
      <x:c r="AR121" s="6"/>
      <x:c r="AS121" s="7"/>
      <x:c r="AT121" s="7"/>
      <x:c r="AU121" s="7"/>
      <x:c r="AV121" s="7"/>
      <x:c r="AW121" s="7"/>
      <x:c r="AX121" s="7"/>
    </x:row>
    <x:row r="122" spans="1:50" ht="13.19999999999999928946">
      <x:c r="A122" s="3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3"/>
      <x:c r="Q122" s="4"/>
      <x:c r="R122" s="4"/>
      <x:c r="S122" s="4"/>
      <x:c r="T122" s="3"/>
      <x:c r="U122" s="4"/>
      <x:c r="V122" s="4"/>
      <x:c r="W122" s="4"/>
      <x:c r="X122" s="3"/>
      <x:c r="Y122" s="4"/>
      <x:c r="Z122" s="4"/>
      <x:c r="AA122" s="4"/>
      <x:c r="AB122" s="3"/>
      <x:c r="AC122" s="4"/>
      <x:c r="AD122" s="4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6"/>
      <x:c r="AR122" s="6"/>
      <x:c r="AS122" s="7"/>
      <x:c r="AT122" s="7"/>
      <x:c r="AU122" s="7"/>
      <x:c r="AV122" s="7"/>
      <x:c r="AW122" s="7"/>
      <x:c r="AX122" s="7"/>
    </x:row>
    <x:row r="123" spans="1:50" ht="13.19999999999999928946">
      <x:c r="A123" s="3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3"/>
      <x:c r="Q123" s="4"/>
      <x:c r="R123" s="4"/>
      <x:c r="S123" s="4"/>
      <x:c r="T123" s="3"/>
      <x:c r="U123" s="4"/>
      <x:c r="V123" s="4"/>
      <x:c r="W123" s="4"/>
      <x:c r="X123" s="3"/>
      <x:c r="Y123" s="4"/>
      <x:c r="Z123" s="4"/>
      <x:c r="AA123" s="4"/>
      <x:c r="AB123" s="3"/>
      <x:c r="AC123" s="4"/>
      <x:c r="AD123" s="4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6"/>
      <x:c r="AR123" s="6"/>
      <x:c r="AS123" s="7"/>
      <x:c r="AT123" s="7"/>
      <x:c r="AU123" s="7"/>
      <x:c r="AV123" s="7"/>
      <x:c r="AW123" s="7"/>
      <x:c r="AX123" s="7"/>
    </x:row>
    <x:row r="124" spans="1:50" ht="13.19999999999999928946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3"/>
      <x:c r="Q124" s="4"/>
      <x:c r="R124" s="4"/>
      <x:c r="S124" s="4"/>
      <x:c r="T124" s="3"/>
      <x:c r="U124" s="4"/>
      <x:c r="V124" s="4"/>
      <x:c r="W124" s="4"/>
      <x:c r="X124" s="3"/>
      <x:c r="Y124" s="4"/>
      <x:c r="Z124" s="4"/>
      <x:c r="AA124" s="4"/>
      <x:c r="AB124" s="3"/>
      <x:c r="AC124" s="4"/>
      <x:c r="AD124" s="4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6"/>
      <x:c r="AR124" s="6"/>
      <x:c r="AS124" s="7"/>
      <x:c r="AT124" s="7"/>
      <x:c r="AU124" s="7"/>
      <x:c r="AV124" s="7"/>
      <x:c r="AW124" s="7"/>
      <x:c r="AX124" s="7"/>
    </x:row>
    <x:row r="125" spans="1:50" ht="13.19999999999999928946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3"/>
      <x:c r="Q125" s="4"/>
      <x:c r="R125" s="4"/>
      <x:c r="S125" s="4"/>
      <x:c r="T125" s="3"/>
      <x:c r="U125" s="4"/>
      <x:c r="V125" s="4"/>
      <x:c r="W125" s="4"/>
      <x:c r="X125" s="3"/>
      <x:c r="Y125" s="4"/>
      <x:c r="Z125" s="4"/>
      <x:c r="AA125" s="4"/>
      <x:c r="AB125" s="3"/>
      <x:c r="AC125" s="4"/>
      <x:c r="AD125" s="4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6"/>
      <x:c r="AR125" s="6"/>
      <x:c r="AS125" s="7"/>
      <x:c r="AT125" s="7"/>
      <x:c r="AU125" s="7"/>
      <x:c r="AV125" s="7"/>
      <x:c r="AW125" s="7"/>
      <x:c r="AX125" s="7"/>
    </x:row>
    <x:row r="126" spans="1:50" ht="13.1999999999999992894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3"/>
      <x:c r="Q126" s="4"/>
      <x:c r="R126" s="4"/>
      <x:c r="S126" s="4"/>
      <x:c r="T126" s="3"/>
      <x:c r="U126" s="4"/>
      <x:c r="V126" s="4"/>
      <x:c r="W126" s="4"/>
      <x:c r="X126" s="3"/>
      <x:c r="Y126" s="4"/>
      <x:c r="Z126" s="4"/>
      <x:c r="AA126" s="4"/>
      <x:c r="AB126" s="3"/>
      <x:c r="AC126" s="4"/>
      <x:c r="AD126" s="4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6"/>
      <x:c r="AR126" s="6"/>
      <x:c r="AS126" s="7"/>
      <x:c r="AT126" s="7"/>
      <x:c r="AU126" s="7"/>
      <x:c r="AV126" s="7"/>
      <x:c r="AW126" s="7"/>
      <x:c r="AX126" s="7"/>
    </x:row>
    <x:row r="127" spans="1:50" ht="13.19999999999999928946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3"/>
      <x:c r="Q127" s="4"/>
      <x:c r="R127" s="4"/>
      <x:c r="S127" s="4"/>
      <x:c r="T127" s="3"/>
      <x:c r="U127" s="4"/>
      <x:c r="V127" s="4"/>
      <x:c r="W127" s="4"/>
      <x:c r="X127" s="3"/>
      <x:c r="Y127" s="4"/>
      <x:c r="Z127" s="4"/>
      <x:c r="AA127" s="4"/>
      <x:c r="AB127" s="3"/>
      <x:c r="AC127" s="4"/>
      <x:c r="AD127" s="4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6"/>
      <x:c r="AR127" s="6"/>
      <x:c r="AS127" s="7"/>
      <x:c r="AT127" s="7"/>
      <x:c r="AU127" s="7"/>
      <x:c r="AV127" s="7"/>
      <x:c r="AW127" s="7"/>
      <x:c r="AX127" s="7"/>
    </x:row>
    <x:row r="128" spans="1:50" ht="13.19999999999999928946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3"/>
      <x:c r="Q128" s="4"/>
      <x:c r="R128" s="4"/>
      <x:c r="S128" s="4"/>
      <x:c r="T128" s="3"/>
      <x:c r="U128" s="4"/>
      <x:c r="V128" s="4"/>
      <x:c r="W128" s="4"/>
      <x:c r="X128" s="3"/>
      <x:c r="Y128" s="4"/>
      <x:c r="Z128" s="4"/>
      <x:c r="AA128" s="4"/>
      <x:c r="AB128" s="3"/>
      <x:c r="AC128" s="4"/>
      <x:c r="AD128" s="4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6"/>
      <x:c r="AR128" s="6"/>
      <x:c r="AS128" s="7"/>
      <x:c r="AT128" s="7"/>
      <x:c r="AU128" s="7"/>
      <x:c r="AV128" s="7"/>
      <x:c r="AW128" s="7"/>
      <x:c r="AX128" s="7"/>
    </x:row>
    <x:row r="129" spans="1:50" ht="13.19999999999999928946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3"/>
      <x:c r="Q129" s="4"/>
      <x:c r="R129" s="4"/>
      <x:c r="S129" s="4"/>
      <x:c r="T129" s="3"/>
      <x:c r="U129" s="4"/>
      <x:c r="V129" s="4"/>
      <x:c r="W129" s="4"/>
      <x:c r="X129" s="3"/>
      <x:c r="Y129" s="4"/>
      <x:c r="Z129" s="4"/>
      <x:c r="AA129" s="4"/>
      <x:c r="AB129" s="3"/>
      <x:c r="AC129" s="4"/>
      <x:c r="AD129" s="4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6"/>
      <x:c r="AR129" s="6"/>
      <x:c r="AS129" s="7"/>
      <x:c r="AT129" s="7"/>
      <x:c r="AU129" s="7"/>
      <x:c r="AV129" s="7"/>
      <x:c r="AW129" s="7"/>
      <x:c r="AX129" s="7"/>
    </x:row>
    <x:row r="130" spans="1:50" ht="13.19999999999999928946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3"/>
      <x:c r="Q130" s="4"/>
      <x:c r="R130" s="4"/>
      <x:c r="S130" s="4"/>
      <x:c r="T130" s="3"/>
      <x:c r="U130" s="4"/>
      <x:c r="V130" s="4"/>
      <x:c r="W130" s="4"/>
      <x:c r="X130" s="3"/>
      <x:c r="Y130" s="4"/>
      <x:c r="Z130" s="4"/>
      <x:c r="AA130" s="4"/>
      <x:c r="AB130" s="3"/>
      <x:c r="AC130" s="4"/>
      <x:c r="AD130" s="4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6"/>
      <x:c r="AR130" s="6"/>
      <x:c r="AS130" s="7"/>
      <x:c r="AT130" s="7"/>
      <x:c r="AU130" s="7"/>
      <x:c r="AV130" s="7"/>
      <x:c r="AW130" s="7"/>
      <x:c r="AX130" s="7"/>
    </x:row>
    <x:row r="131" spans="1:50" ht="13.19999999999999928946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3"/>
      <x:c r="Q131" s="4"/>
      <x:c r="R131" s="4"/>
      <x:c r="S131" s="4"/>
      <x:c r="T131" s="3"/>
      <x:c r="U131" s="4"/>
      <x:c r="V131" s="4"/>
      <x:c r="W131" s="4"/>
      <x:c r="X131" s="3"/>
      <x:c r="Y131" s="4"/>
      <x:c r="Z131" s="4"/>
      <x:c r="AA131" s="4"/>
      <x:c r="AB131" s="3"/>
      <x:c r="AC131" s="4"/>
      <x:c r="AD131" s="4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6"/>
      <x:c r="AR131" s="6"/>
      <x:c r="AS131" s="7"/>
      <x:c r="AT131" s="7"/>
      <x:c r="AU131" s="7"/>
      <x:c r="AV131" s="7"/>
      <x:c r="AW131" s="7"/>
      <x:c r="AX131" s="7"/>
    </x:row>
    <x:row r="132" spans="1:50" ht="13.19999999999999928946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3"/>
      <x:c r="Q132" s="4"/>
      <x:c r="R132" s="4"/>
      <x:c r="S132" s="4"/>
      <x:c r="T132" s="3"/>
      <x:c r="U132" s="4"/>
      <x:c r="V132" s="4"/>
      <x:c r="W132" s="4"/>
      <x:c r="X132" s="3"/>
      <x:c r="Y132" s="4"/>
      <x:c r="Z132" s="4"/>
      <x:c r="AA132" s="4"/>
      <x:c r="AB132" s="3"/>
      <x:c r="AC132" s="4"/>
      <x:c r="AD132" s="4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6"/>
      <x:c r="AR132" s="6"/>
      <x:c r="AS132" s="7"/>
      <x:c r="AT132" s="7"/>
      <x:c r="AU132" s="7"/>
      <x:c r="AV132" s="7"/>
      <x:c r="AW132" s="7"/>
      <x:c r="AX132" s="7"/>
    </x:row>
    <x:row r="133" spans="1:50" ht="13.19999999999999928946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3"/>
      <x:c r="Q133" s="4"/>
      <x:c r="R133" s="4"/>
      <x:c r="S133" s="4"/>
      <x:c r="T133" s="3"/>
      <x:c r="U133" s="4"/>
      <x:c r="V133" s="4"/>
      <x:c r="W133" s="4"/>
      <x:c r="X133" s="3"/>
      <x:c r="Y133" s="4"/>
      <x:c r="Z133" s="4"/>
      <x:c r="AA133" s="4"/>
      <x:c r="AB133" s="3"/>
      <x:c r="AC133" s="4"/>
      <x:c r="AD133" s="4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6"/>
      <x:c r="AR133" s="6"/>
      <x:c r="AS133" s="7"/>
      <x:c r="AT133" s="7"/>
      <x:c r="AU133" s="7"/>
      <x:c r="AV133" s="7"/>
      <x:c r="AW133" s="7"/>
      <x:c r="AX133" s="7"/>
    </x:row>
    <x:row r="134" spans="1:50" ht="13.19999999999999928946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3"/>
      <x:c r="Q134" s="4"/>
      <x:c r="R134" s="4"/>
      <x:c r="S134" s="4"/>
      <x:c r="T134" s="3"/>
      <x:c r="U134" s="4"/>
      <x:c r="V134" s="4"/>
      <x:c r="W134" s="4"/>
      <x:c r="X134" s="3"/>
      <x:c r="Y134" s="4"/>
      <x:c r="Z134" s="4"/>
      <x:c r="AA134" s="4"/>
      <x:c r="AB134" s="3"/>
      <x:c r="AC134" s="4"/>
      <x:c r="AD134" s="4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6"/>
      <x:c r="AR134" s="6"/>
      <x:c r="AS134" s="7"/>
      <x:c r="AT134" s="7"/>
      <x:c r="AU134" s="7"/>
      <x:c r="AV134" s="7"/>
      <x:c r="AW134" s="7"/>
      <x:c r="AX134" s="7"/>
    </x:row>
    <x:row r="135" spans="1:50" ht="13.19999999999999928946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3"/>
      <x:c r="Q135" s="4"/>
      <x:c r="R135" s="4"/>
      <x:c r="S135" s="4"/>
      <x:c r="T135" s="3"/>
      <x:c r="U135" s="4"/>
      <x:c r="V135" s="4"/>
      <x:c r="W135" s="4"/>
      <x:c r="X135" s="3"/>
      <x:c r="Y135" s="4"/>
      <x:c r="Z135" s="4"/>
      <x:c r="AA135" s="4"/>
      <x:c r="AB135" s="3"/>
      <x:c r="AC135" s="4"/>
      <x:c r="AD135" s="4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6"/>
      <x:c r="AR135" s="6"/>
      <x:c r="AS135" s="7"/>
      <x:c r="AT135" s="7"/>
      <x:c r="AU135" s="7"/>
      <x:c r="AV135" s="7"/>
      <x:c r="AW135" s="7"/>
      <x:c r="AX135" s="7"/>
    </x:row>
    <x:row r="136" spans="1:50" ht="13.1999999999999992894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3"/>
      <x:c r="Q136" s="4"/>
      <x:c r="R136" s="4"/>
      <x:c r="S136" s="4"/>
      <x:c r="T136" s="3"/>
      <x:c r="U136" s="4"/>
      <x:c r="V136" s="4"/>
      <x:c r="W136" s="4"/>
      <x:c r="X136" s="3"/>
      <x:c r="Y136" s="4"/>
      <x:c r="Z136" s="4"/>
      <x:c r="AA136" s="4"/>
      <x:c r="AB136" s="3"/>
      <x:c r="AC136" s="4"/>
      <x:c r="AD136" s="4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6"/>
      <x:c r="AR136" s="6"/>
      <x:c r="AS136" s="7"/>
      <x:c r="AT136" s="7"/>
      <x:c r="AU136" s="7"/>
      <x:c r="AV136" s="7"/>
      <x:c r="AW136" s="7"/>
      <x:c r="AX136" s="7"/>
    </x:row>
    <x:row r="137" spans="1:50" ht="13.19999999999999928946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3"/>
      <x:c r="Q137" s="4"/>
      <x:c r="R137" s="4"/>
      <x:c r="S137" s="4"/>
      <x:c r="T137" s="3"/>
      <x:c r="U137" s="4"/>
      <x:c r="V137" s="4"/>
      <x:c r="W137" s="4"/>
      <x:c r="X137" s="3"/>
      <x:c r="Y137" s="4"/>
      <x:c r="Z137" s="4"/>
      <x:c r="AA137" s="4"/>
      <x:c r="AB137" s="3"/>
      <x:c r="AC137" s="4"/>
      <x:c r="AD137" s="4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6"/>
      <x:c r="AR137" s="6"/>
      <x:c r="AS137" s="7"/>
      <x:c r="AT137" s="7"/>
      <x:c r="AU137" s="7"/>
      <x:c r="AV137" s="7"/>
      <x:c r="AW137" s="7"/>
      <x:c r="AX137" s="7"/>
    </x:row>
    <x:row r="138" spans="1:50" ht="13.19999999999999928946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3"/>
      <x:c r="Q138" s="4"/>
      <x:c r="R138" s="4"/>
      <x:c r="S138" s="4"/>
      <x:c r="T138" s="3"/>
      <x:c r="U138" s="4"/>
      <x:c r="V138" s="4"/>
      <x:c r="W138" s="4"/>
      <x:c r="X138" s="3"/>
      <x:c r="Y138" s="4"/>
      <x:c r="Z138" s="4"/>
      <x:c r="AA138" s="4"/>
      <x:c r="AB138" s="3"/>
      <x:c r="AC138" s="4"/>
      <x:c r="AD138" s="4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6"/>
      <x:c r="AR138" s="6"/>
      <x:c r="AS138" s="7"/>
      <x:c r="AT138" s="7"/>
      <x:c r="AU138" s="7"/>
      <x:c r="AV138" s="7"/>
      <x:c r="AW138" s="7"/>
      <x:c r="AX138" s="7"/>
    </x:row>
    <x:row r="139" spans="1:50" ht="13.19999999999999928946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3"/>
      <x:c r="Q139" s="4"/>
      <x:c r="R139" s="4"/>
      <x:c r="S139" s="4"/>
      <x:c r="T139" s="3"/>
      <x:c r="U139" s="4"/>
      <x:c r="V139" s="4"/>
      <x:c r="W139" s="4"/>
      <x:c r="X139" s="3"/>
      <x:c r="Y139" s="4"/>
      <x:c r="Z139" s="4"/>
      <x:c r="AA139" s="4"/>
      <x:c r="AB139" s="3"/>
      <x:c r="AC139" s="4"/>
      <x:c r="AD139" s="4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6"/>
      <x:c r="AR139" s="6"/>
      <x:c r="AS139" s="7"/>
      <x:c r="AT139" s="7"/>
      <x:c r="AU139" s="7"/>
      <x:c r="AV139" s="7"/>
      <x:c r="AW139" s="7"/>
      <x:c r="AX139" s="7"/>
    </x:row>
    <x:row r="140" spans="1:50" ht="13.19999999999999928946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3"/>
      <x:c r="Q140" s="4"/>
      <x:c r="R140" s="4"/>
      <x:c r="S140" s="4"/>
      <x:c r="T140" s="3"/>
      <x:c r="U140" s="4"/>
      <x:c r="V140" s="4"/>
      <x:c r="W140" s="4"/>
      <x:c r="X140" s="3"/>
      <x:c r="Y140" s="4"/>
      <x:c r="Z140" s="4"/>
      <x:c r="AA140" s="4"/>
      <x:c r="AB140" s="3"/>
      <x:c r="AC140" s="4"/>
      <x:c r="AD140" s="4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6"/>
      <x:c r="AR140" s="6"/>
      <x:c r="AS140" s="7"/>
      <x:c r="AT140" s="7"/>
      <x:c r="AU140" s="7"/>
      <x:c r="AV140" s="7"/>
      <x:c r="AW140" s="7"/>
      <x:c r="AX140" s="7"/>
    </x:row>
    <x:row r="141" spans="1:50" ht="13.19999999999999928946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3"/>
      <x:c r="Q141" s="4"/>
      <x:c r="R141" s="4"/>
      <x:c r="S141" s="4"/>
      <x:c r="T141" s="3"/>
      <x:c r="U141" s="4"/>
      <x:c r="V141" s="4"/>
      <x:c r="W141" s="4"/>
      <x:c r="X141" s="3"/>
      <x:c r="Y141" s="4"/>
      <x:c r="Z141" s="4"/>
      <x:c r="AA141" s="4"/>
      <x:c r="AB141" s="3"/>
      <x:c r="AC141" s="4"/>
      <x:c r="AD141" s="4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6"/>
      <x:c r="AR141" s="6"/>
      <x:c r="AS141" s="7"/>
      <x:c r="AT141" s="7"/>
      <x:c r="AU141" s="7"/>
      <x:c r="AV141" s="7"/>
      <x:c r="AW141" s="7"/>
      <x:c r="AX141" s="7"/>
    </x:row>
    <x:row r="142" spans="1:50" ht="13.19999999999999928946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3"/>
      <x:c r="Q142" s="4"/>
      <x:c r="R142" s="4"/>
      <x:c r="S142" s="4"/>
      <x:c r="T142" s="3"/>
      <x:c r="U142" s="4"/>
      <x:c r="V142" s="4"/>
      <x:c r="W142" s="4"/>
      <x:c r="X142" s="3"/>
      <x:c r="Y142" s="4"/>
      <x:c r="Z142" s="4"/>
      <x:c r="AA142" s="4"/>
      <x:c r="AB142" s="3"/>
      <x:c r="AC142" s="4"/>
      <x:c r="AD142" s="4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6"/>
      <x:c r="AR142" s="6"/>
      <x:c r="AS142" s="7"/>
      <x:c r="AT142" s="7"/>
      <x:c r="AU142" s="7"/>
      <x:c r="AV142" s="7"/>
      <x:c r="AW142" s="7"/>
      <x:c r="AX142" s="7"/>
    </x:row>
    <x:row r="143" spans="1:50" ht="13.19999999999999928946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3"/>
      <x:c r="Q143" s="4"/>
      <x:c r="R143" s="4"/>
      <x:c r="S143" s="4"/>
      <x:c r="T143" s="3"/>
      <x:c r="U143" s="4"/>
      <x:c r="V143" s="4"/>
      <x:c r="W143" s="4"/>
      <x:c r="X143" s="3"/>
      <x:c r="Y143" s="4"/>
      <x:c r="Z143" s="4"/>
      <x:c r="AA143" s="4"/>
      <x:c r="AB143" s="3"/>
      <x:c r="AC143" s="4"/>
      <x:c r="AD143" s="4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6"/>
      <x:c r="AR143" s="6"/>
      <x:c r="AS143" s="7"/>
      <x:c r="AT143" s="7"/>
      <x:c r="AU143" s="7"/>
      <x:c r="AV143" s="7"/>
      <x:c r="AW143" s="7"/>
      <x:c r="AX143" s="7"/>
    </x:row>
    <x:row r="144" spans="1:50" ht="13.19999999999999928946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3"/>
      <x:c r="Q144" s="4"/>
      <x:c r="R144" s="4"/>
      <x:c r="S144" s="4"/>
      <x:c r="T144" s="3"/>
      <x:c r="U144" s="4"/>
      <x:c r="V144" s="4"/>
      <x:c r="W144" s="4"/>
      <x:c r="X144" s="3"/>
      <x:c r="Y144" s="4"/>
      <x:c r="Z144" s="4"/>
      <x:c r="AA144" s="4"/>
      <x:c r="AB144" s="3"/>
      <x:c r="AC144" s="4"/>
      <x:c r="AD144" s="4"/>
      <x:c r="AE144" s="4"/>
      <x:c r="AF144" s="4"/>
      <x:c r="AG144" s="4"/>
      <x:c r="AH144" s="4"/>
      <x:c r="AI144" s="4"/>
      <x:c r="AJ144" s="4"/>
      <x:c r="AK144" s="4"/>
      <x:c r="AL144" s="4"/>
      <x:c r="AM144" s="4"/>
      <x:c r="AN144" s="4"/>
      <x:c r="AO144" s="4"/>
      <x:c r="AP144" s="4"/>
      <x:c r="AQ144" s="6"/>
      <x:c r="AR144" s="6"/>
      <x:c r="AS144" s="7"/>
      <x:c r="AT144" s="7"/>
      <x:c r="AU144" s="7"/>
      <x:c r="AV144" s="7"/>
      <x:c r="AW144" s="7"/>
      <x:c r="AX144" s="7"/>
    </x:row>
    <x:row r="145" spans="1:50" ht="13.19999999999999928946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3"/>
      <x:c r="Q145" s="4"/>
      <x:c r="R145" s="4"/>
      <x:c r="S145" s="4"/>
      <x:c r="T145" s="3"/>
      <x:c r="U145" s="4"/>
      <x:c r="V145" s="4"/>
      <x:c r="W145" s="4"/>
      <x:c r="X145" s="3"/>
      <x:c r="Y145" s="4"/>
      <x:c r="Z145" s="4"/>
      <x:c r="AA145" s="4"/>
      <x:c r="AB145" s="3"/>
      <x:c r="AC145" s="4"/>
      <x:c r="AD145" s="4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6"/>
      <x:c r="AR145" s="6"/>
      <x:c r="AS145" s="7"/>
      <x:c r="AT145" s="7"/>
      <x:c r="AU145" s="7"/>
      <x:c r="AV145" s="7"/>
      <x:c r="AW145" s="7"/>
      <x:c r="AX145" s="7"/>
    </x:row>
    <x:row r="146" spans="1:50" ht="13.199999999999999289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3"/>
      <x:c r="Q146" s="4"/>
      <x:c r="R146" s="4"/>
      <x:c r="S146" s="4"/>
      <x:c r="T146" s="3"/>
      <x:c r="U146" s="4"/>
      <x:c r="V146" s="4"/>
      <x:c r="W146" s="4"/>
      <x:c r="X146" s="3"/>
      <x:c r="Y146" s="4"/>
      <x:c r="Z146" s="4"/>
      <x:c r="AA146" s="4"/>
      <x:c r="AB146" s="3"/>
      <x:c r="AC146" s="4"/>
      <x:c r="AD146" s="4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6"/>
      <x:c r="AR146" s="6"/>
      <x:c r="AS146" s="7"/>
      <x:c r="AT146" s="7"/>
      <x:c r="AU146" s="7"/>
      <x:c r="AV146" s="7"/>
      <x:c r="AW146" s="7"/>
      <x:c r="AX146" s="7"/>
    </x:row>
    <x:row r="147" spans="1:50" ht="13.19999999999999928946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3"/>
      <x:c r="Q147" s="4"/>
      <x:c r="R147" s="4"/>
      <x:c r="S147" s="4"/>
      <x:c r="T147" s="3"/>
      <x:c r="U147" s="4"/>
      <x:c r="V147" s="4"/>
      <x:c r="W147" s="4"/>
      <x:c r="X147" s="3"/>
      <x:c r="Y147" s="4"/>
      <x:c r="Z147" s="4"/>
      <x:c r="AA147" s="4"/>
      <x:c r="AB147" s="3"/>
      <x:c r="AC147" s="4"/>
      <x:c r="AD147" s="4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6"/>
      <x:c r="AR147" s="6"/>
      <x:c r="AS147" s="7"/>
      <x:c r="AT147" s="7"/>
      <x:c r="AU147" s="7"/>
      <x:c r="AV147" s="7"/>
      <x:c r="AW147" s="7"/>
      <x:c r="AX147" s="7"/>
    </x:row>
    <x:row r="148" spans="1:50" ht="13.19999999999999928946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3"/>
      <x:c r="Q148" s="4"/>
      <x:c r="R148" s="4"/>
      <x:c r="S148" s="4"/>
      <x:c r="T148" s="3"/>
      <x:c r="U148" s="4"/>
      <x:c r="V148" s="4"/>
      <x:c r="W148" s="4"/>
      <x:c r="X148" s="3"/>
      <x:c r="Y148" s="4"/>
      <x:c r="Z148" s="4"/>
      <x:c r="AA148" s="4"/>
      <x:c r="AB148" s="3"/>
      <x:c r="AC148" s="4"/>
      <x:c r="AD148" s="4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6"/>
      <x:c r="AR148" s="6"/>
      <x:c r="AS148" s="7"/>
      <x:c r="AT148" s="7"/>
      <x:c r="AU148" s="7"/>
      <x:c r="AV148" s="7"/>
      <x:c r="AW148" s="7"/>
      <x:c r="AX148" s="7"/>
    </x:row>
    <x:row r="149" spans="1:50" ht="13.19999999999999928946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3"/>
      <x:c r="Q149" s="4"/>
      <x:c r="R149" s="4"/>
      <x:c r="S149" s="4"/>
      <x:c r="T149" s="3"/>
      <x:c r="U149" s="4"/>
      <x:c r="V149" s="4"/>
      <x:c r="W149" s="4"/>
      <x:c r="X149" s="3"/>
      <x:c r="Y149" s="4"/>
      <x:c r="Z149" s="4"/>
      <x:c r="AA149" s="4"/>
      <x:c r="AB149" s="3"/>
      <x:c r="AC149" s="4"/>
      <x:c r="AD149" s="4"/>
      <x:c r="AE149" s="4"/>
      <x:c r="AF149" s="4"/>
      <x:c r="AG149" s="4"/>
      <x:c r="AH149" s="4"/>
      <x:c r="AI149" s="4"/>
      <x:c r="AJ149" s="4"/>
      <x:c r="AK149" s="4"/>
      <x:c r="AL149" s="4"/>
      <x:c r="AM149" s="4"/>
      <x:c r="AN149" s="4"/>
      <x:c r="AO149" s="4"/>
      <x:c r="AP149" s="4"/>
      <x:c r="AQ149" s="6"/>
      <x:c r="AR149" s="6"/>
      <x:c r="AS149" s="7"/>
      <x:c r="AT149" s="7"/>
      <x:c r="AU149" s="7"/>
      <x:c r="AV149" s="7"/>
      <x:c r="AW149" s="7"/>
      <x:c r="AX149" s="7"/>
    </x:row>
    <x:row r="150" spans="1:50" ht="13.19999999999999928946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3"/>
      <x:c r="Q150" s="4"/>
      <x:c r="R150" s="4"/>
      <x:c r="S150" s="4"/>
      <x:c r="T150" s="3"/>
      <x:c r="U150" s="4"/>
      <x:c r="V150" s="4"/>
      <x:c r="W150" s="4"/>
      <x:c r="X150" s="3"/>
      <x:c r="Y150" s="4"/>
      <x:c r="Z150" s="4"/>
      <x:c r="AA150" s="4"/>
      <x:c r="AB150" s="3"/>
      <x:c r="AC150" s="4"/>
      <x:c r="AD150" s="4"/>
      <x:c r="AE150" s="4"/>
      <x:c r="AF150" s="4"/>
      <x:c r="AG150" s="4"/>
      <x:c r="AH150" s="4"/>
      <x:c r="AI150" s="4"/>
      <x:c r="AJ150" s="4"/>
      <x:c r="AK150" s="4"/>
      <x:c r="AL150" s="4"/>
      <x:c r="AM150" s="4"/>
      <x:c r="AN150" s="4"/>
      <x:c r="AO150" s="4"/>
      <x:c r="AP150" s="4"/>
      <x:c r="AQ150" s="6"/>
      <x:c r="AR150" s="6"/>
      <x:c r="AS150" s="7"/>
      <x:c r="AT150" s="7"/>
      <x:c r="AU150" s="7"/>
      <x:c r="AV150" s="7"/>
      <x:c r="AW150" s="7"/>
      <x:c r="AX150" s="7"/>
    </x:row>
    <x:row r="151" spans="1:50" ht="13.19999999999999928946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5"/>
      <x:c r="Q151" s="7"/>
      <x:c r="R151" s="7"/>
      <x:c r="S151" s="7"/>
      <x:c r="T151" s="5"/>
      <x:c r="U151" s="7"/>
      <x:c r="V151" s="7"/>
      <x:c r="W151" s="7"/>
      <x:c r="X151" s="5"/>
      <x:c r="Y151" s="7"/>
      <x:c r="Z151" s="7"/>
      <x:c r="AA151" s="7"/>
      <x:c r="AB151" s="5"/>
      <x:c r="AC151" s="7"/>
      <x:c r="AD151" s="7"/>
      <x:c r="AE151" s="7"/>
      <x:c r="AF151" s="7"/>
      <x:c r="AG151" s="7"/>
      <x:c r="AH151" s="7"/>
      <x:c r="AI151" s="7"/>
      <x:c r="AJ151" s="7"/>
      <x:c r="AK151" s="7"/>
      <x:c r="AL151" s="7"/>
      <x:c r="AM151" s="7"/>
      <x:c r="AN151" s="7"/>
      <x:c r="AO151" s="7"/>
      <x:c r="AP151" s="4"/>
      <x:c r="AQ151" s="4"/>
      <x:c r="AR151" s="4"/>
      <x:c r="AS151" s="7"/>
      <x:c r="AT151" s="7"/>
      <x:c r="AU151" s="7"/>
      <x:c r="AV151" s="7"/>
      <x:c r="AW151" s="7"/>
      <x:c r="AX151" s="7"/>
    </x:row>
    <x:row r="152" spans="1:50" ht="13.19999999999999928946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5"/>
      <x:c r="Q152" s="7"/>
      <x:c r="R152" s="7"/>
      <x:c r="S152" s="7"/>
      <x:c r="T152" s="5"/>
      <x:c r="U152" s="7"/>
      <x:c r="V152" s="7"/>
      <x:c r="W152" s="7"/>
      <x:c r="X152" s="5"/>
      <x:c r="Y152" s="7"/>
      <x:c r="Z152" s="7"/>
      <x:c r="AA152" s="7"/>
      <x:c r="AB152" s="5"/>
      <x:c r="AC152" s="7"/>
      <x:c r="AD152" s="7"/>
      <x:c r="AE152" s="7"/>
      <x:c r="AF152" s="7"/>
      <x:c r="AG152" s="7"/>
      <x:c r="AH152" s="7"/>
      <x:c r="AI152" s="7"/>
      <x:c r="AJ152" s="7"/>
      <x:c r="AK152" s="7"/>
      <x:c r="AL152" s="7"/>
      <x:c r="AM152" s="7"/>
      <x:c r="AN152" s="7"/>
      <x:c r="AO152" s="7"/>
      <x:c r="AP152" s="4"/>
      <x:c r="AQ152" s="4"/>
      <x:c r="AR152" s="4"/>
      <x:c r="AS152" s="7"/>
      <x:c r="AT152" s="7"/>
      <x:c r="AU152" s="7"/>
      <x:c r="AV152" s="7"/>
      <x:c r="AW152" s="7"/>
      <x:c r="AX152" s="7"/>
    </x:row>
    <x:row r="153" spans="1:50" ht="13.19999999999999928946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5"/>
      <x:c r="Q153" s="7"/>
      <x:c r="R153" s="7"/>
      <x:c r="S153" s="7"/>
      <x:c r="T153" s="5"/>
      <x:c r="U153" s="7"/>
      <x:c r="V153" s="7"/>
      <x:c r="W153" s="7"/>
      <x:c r="X153" s="5"/>
      <x:c r="Y153" s="7"/>
      <x:c r="Z153" s="7"/>
      <x:c r="AA153" s="7"/>
      <x:c r="AB153" s="5"/>
      <x:c r="AC153" s="7"/>
      <x:c r="AD153" s="7"/>
      <x:c r="AE153" s="7"/>
      <x:c r="AF153" s="7"/>
      <x:c r="AG153" s="7"/>
      <x:c r="AH153" s="7"/>
      <x:c r="AI153" s="7"/>
      <x:c r="AJ153" s="7"/>
      <x:c r="AK153" s="7"/>
      <x:c r="AL153" s="7"/>
      <x:c r="AM153" s="7"/>
      <x:c r="AN153" s="7"/>
      <x:c r="AO153" s="7"/>
      <x:c r="AP153" s="4"/>
      <x:c r="AQ153" s="4"/>
      <x:c r="AR153" s="4"/>
      <x:c r="AS153" s="7"/>
      <x:c r="AT153" s="7"/>
      <x:c r="AU153" s="7"/>
      <x:c r="AV153" s="7"/>
      <x:c r="AW153" s="7"/>
      <x:c r="AX153" s="7"/>
    </x:row>
    <x:row r="154" spans="1:50" ht="13.19999999999999928946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5"/>
      <x:c r="Q154" s="7"/>
      <x:c r="R154" s="7"/>
      <x:c r="S154" s="7"/>
      <x:c r="T154" s="5"/>
      <x:c r="U154" s="7"/>
      <x:c r="V154" s="7"/>
      <x:c r="W154" s="7"/>
      <x:c r="X154" s="5"/>
      <x:c r="Y154" s="7"/>
      <x:c r="Z154" s="7"/>
      <x:c r="AA154" s="7"/>
      <x:c r="AB154" s="5"/>
      <x:c r="AC154" s="7"/>
      <x:c r="AD154" s="7"/>
      <x:c r="AE154" s="7"/>
      <x:c r="AF154" s="7"/>
      <x:c r="AG154" s="7"/>
      <x:c r="AH154" s="7"/>
      <x:c r="AI154" s="7"/>
      <x:c r="AJ154" s="7"/>
      <x:c r="AK154" s="7"/>
      <x:c r="AL154" s="7"/>
      <x:c r="AM154" s="7"/>
      <x:c r="AN154" s="7"/>
      <x:c r="AO154" s="7"/>
      <x:c r="AP154" s="4"/>
      <x:c r="AQ154" s="4"/>
      <x:c r="AR154" s="4"/>
      <x:c r="AS154" s="7"/>
      <x:c r="AT154" s="7"/>
      <x:c r="AU154" s="7"/>
      <x:c r="AV154" s="7"/>
      <x:c r="AW154" s="7"/>
      <x:c r="AX154" s="7"/>
    </x:row>
    <x:row r="155" spans="1:50" ht="13.19999999999999928946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5"/>
      <x:c r="Q155" s="7"/>
      <x:c r="R155" s="7"/>
      <x:c r="S155" s="7"/>
      <x:c r="T155" s="5"/>
      <x:c r="U155" s="7"/>
      <x:c r="V155" s="7"/>
      <x:c r="W155" s="7"/>
      <x:c r="X155" s="5"/>
      <x:c r="Y155" s="7"/>
      <x:c r="Z155" s="7"/>
      <x:c r="AA155" s="7"/>
      <x:c r="AB155" s="5"/>
      <x:c r="AC155" s="7"/>
      <x:c r="AD155" s="7"/>
      <x:c r="AE155" s="7"/>
      <x:c r="AF155" s="7"/>
      <x:c r="AG155" s="7"/>
      <x:c r="AH155" s="7"/>
      <x:c r="AI155" s="7"/>
      <x:c r="AJ155" s="7"/>
      <x:c r="AK155" s="7"/>
      <x:c r="AL155" s="7"/>
      <x:c r="AM155" s="7"/>
      <x:c r="AN155" s="7"/>
      <x:c r="AO155" s="7"/>
      <x:c r="AP155" s="4"/>
      <x:c r="AQ155" s="4"/>
      <x:c r="AR155" s="4"/>
      <x:c r="AS155" s="7"/>
      <x:c r="AT155" s="7"/>
      <x:c r="AU155" s="7"/>
      <x:c r="AV155" s="7"/>
      <x:c r="AW155" s="7"/>
      <x:c r="AX155" s="7"/>
    </x:row>
    <x:row r="156" spans="1:50" ht="13.1999999999999992894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5"/>
      <x:c r="Q156" s="7"/>
      <x:c r="R156" s="7"/>
      <x:c r="S156" s="7"/>
      <x:c r="T156" s="5"/>
      <x:c r="U156" s="7"/>
      <x:c r="V156" s="7"/>
      <x:c r="W156" s="7"/>
      <x:c r="X156" s="5"/>
      <x:c r="Y156" s="7"/>
      <x:c r="Z156" s="7"/>
      <x:c r="AA156" s="7"/>
      <x:c r="AB156" s="5"/>
      <x:c r="AC156" s="7"/>
      <x:c r="AD156" s="7"/>
      <x:c r="AE156" s="7"/>
      <x:c r="AF156" s="7"/>
      <x:c r="AG156" s="7"/>
      <x:c r="AH156" s="7"/>
      <x:c r="AI156" s="7"/>
      <x:c r="AJ156" s="7"/>
      <x:c r="AK156" s="7"/>
      <x:c r="AL156" s="7"/>
      <x:c r="AM156" s="7"/>
      <x:c r="AN156" s="7"/>
      <x:c r="AO156" s="7"/>
      <x:c r="AP156" s="4"/>
      <x:c r="AQ156" s="4"/>
      <x:c r="AR156" s="4"/>
      <x:c r="AS156" s="7"/>
      <x:c r="AT156" s="7"/>
      <x:c r="AU156" s="7"/>
      <x:c r="AV156" s="7"/>
      <x:c r="AW156" s="7"/>
      <x:c r="AX156" s="7"/>
    </x:row>
    <x:row r="157" spans="1:50" ht="13.19999999999999928946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5"/>
      <x:c r="Q157" s="7"/>
      <x:c r="R157" s="7"/>
      <x:c r="S157" s="7"/>
      <x:c r="T157" s="5"/>
      <x:c r="U157" s="7"/>
      <x:c r="V157" s="7"/>
      <x:c r="W157" s="7"/>
      <x:c r="X157" s="5"/>
      <x:c r="Y157" s="7"/>
      <x:c r="Z157" s="7"/>
      <x:c r="AA157" s="7"/>
      <x:c r="AB157" s="5"/>
      <x:c r="AC157" s="7"/>
      <x:c r="AD157" s="7"/>
      <x:c r="AE157" s="7"/>
      <x:c r="AF157" s="7"/>
      <x:c r="AG157" s="7"/>
      <x:c r="AH157" s="7"/>
      <x:c r="AI157" s="7"/>
      <x:c r="AJ157" s="7"/>
      <x:c r="AK157" s="7"/>
      <x:c r="AL157" s="7"/>
      <x:c r="AM157" s="7"/>
      <x:c r="AN157" s="7"/>
      <x:c r="AO157" s="7"/>
      <x:c r="AP157" s="4"/>
      <x:c r="AQ157" s="4"/>
      <x:c r="AR157" s="4"/>
      <x:c r="AS157" s="7"/>
      <x:c r="AT157" s="7"/>
      <x:c r="AU157" s="7"/>
      <x:c r="AV157" s="7"/>
      <x:c r="AW157" s="7"/>
      <x:c r="AX157" s="7"/>
    </x:row>
    <x:row r="158" spans="1:50" ht="13.19999999999999928946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5"/>
      <x:c r="Q158" s="7"/>
      <x:c r="R158" s="7"/>
      <x:c r="S158" s="7"/>
      <x:c r="T158" s="5"/>
      <x:c r="U158" s="7"/>
      <x:c r="V158" s="7"/>
      <x:c r="W158" s="7"/>
      <x:c r="X158" s="5"/>
      <x:c r="Y158" s="7"/>
      <x:c r="Z158" s="7"/>
      <x:c r="AA158" s="7"/>
      <x:c r="AB158" s="5"/>
      <x:c r="AC158" s="7"/>
      <x:c r="AD158" s="7"/>
      <x:c r="AE158" s="7"/>
      <x:c r="AF158" s="7"/>
      <x:c r="AG158" s="7"/>
      <x:c r="AH158" s="7"/>
      <x:c r="AI158" s="7"/>
      <x:c r="AJ158" s="7"/>
      <x:c r="AK158" s="7"/>
      <x:c r="AL158" s="7"/>
      <x:c r="AM158" s="7"/>
      <x:c r="AN158" s="7"/>
      <x:c r="AO158" s="7"/>
      <x:c r="AP158" s="4"/>
      <x:c r="AQ158" s="4"/>
      <x:c r="AR158" s="4"/>
      <x:c r="AS158" s="7"/>
      <x:c r="AT158" s="7"/>
      <x:c r="AU158" s="7"/>
      <x:c r="AV158" s="7"/>
      <x:c r="AW158" s="7"/>
      <x:c r="AX158" s="7"/>
    </x:row>
    <x:row r="159" spans="1:50" ht="13.19999999999999928946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5"/>
      <x:c r="Q159" s="7"/>
      <x:c r="R159" s="7"/>
      <x:c r="S159" s="7"/>
      <x:c r="T159" s="5"/>
      <x:c r="U159" s="7"/>
      <x:c r="V159" s="7"/>
      <x:c r="W159" s="7"/>
      <x:c r="X159" s="5"/>
      <x:c r="Y159" s="7"/>
      <x:c r="Z159" s="7"/>
      <x:c r="AA159" s="7"/>
      <x:c r="AB159" s="5"/>
      <x:c r="AC159" s="7"/>
      <x:c r="AD159" s="7"/>
      <x:c r="AE159" s="7"/>
      <x:c r="AF159" s="7"/>
      <x:c r="AG159" s="7"/>
      <x:c r="AH159" s="7"/>
      <x:c r="AI159" s="7"/>
      <x:c r="AJ159" s="7"/>
      <x:c r="AK159" s="7"/>
      <x:c r="AL159" s="7"/>
      <x:c r="AM159" s="7"/>
      <x:c r="AN159" s="7"/>
      <x:c r="AO159" s="7"/>
      <x:c r="AP159" s="4"/>
      <x:c r="AQ159" s="4"/>
      <x:c r="AR159" s="4"/>
      <x:c r="AS159" s="7"/>
      <x:c r="AT159" s="7"/>
      <x:c r="AU159" s="7"/>
      <x:c r="AV159" s="7"/>
      <x:c r="AW159" s="7"/>
      <x:c r="AX159" s="7"/>
    </x:row>
    <x:row r="160" spans="1:50" ht="13.19999999999999928946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5"/>
      <x:c r="Q160" s="7"/>
      <x:c r="R160" s="7"/>
      <x:c r="S160" s="7"/>
      <x:c r="T160" s="5"/>
      <x:c r="U160" s="7"/>
      <x:c r="V160" s="7"/>
      <x:c r="W160" s="7"/>
      <x:c r="X160" s="5"/>
      <x:c r="Y160" s="7"/>
      <x:c r="Z160" s="7"/>
      <x:c r="AA160" s="7"/>
      <x:c r="AB160" s="5"/>
      <x:c r="AC160" s="7"/>
      <x:c r="AD160" s="7"/>
      <x:c r="AE160" s="7"/>
      <x:c r="AF160" s="7"/>
      <x:c r="AG160" s="7"/>
      <x:c r="AH160" s="7"/>
      <x:c r="AI160" s="7"/>
      <x:c r="AJ160" s="7"/>
      <x:c r="AK160" s="7"/>
      <x:c r="AL160" s="7"/>
      <x:c r="AM160" s="7"/>
      <x:c r="AN160" s="7"/>
      <x:c r="AO160" s="7"/>
      <x:c r="AP160" s="4"/>
      <x:c r="AQ160" s="4"/>
      <x:c r="AR160" s="4"/>
      <x:c r="AS160" s="7"/>
      <x:c r="AT160" s="7"/>
      <x:c r="AU160" s="7"/>
      <x:c r="AV160" s="7"/>
      <x:c r="AW160" s="7"/>
      <x:c r="AX160" s="7"/>
    </x:row>
    <x:row r="161" spans="1:50" ht="13.19999999999999928946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5"/>
      <x:c r="Q161" s="7"/>
      <x:c r="R161" s="7"/>
      <x:c r="S161" s="7"/>
      <x:c r="T161" s="5"/>
      <x:c r="U161" s="7"/>
      <x:c r="V161" s="7"/>
      <x:c r="W161" s="7"/>
      <x:c r="X161" s="5"/>
      <x:c r="Y161" s="7"/>
      <x:c r="Z161" s="7"/>
      <x:c r="AA161" s="7"/>
      <x:c r="AB161" s="5"/>
      <x:c r="AC161" s="7"/>
      <x:c r="AD161" s="7"/>
      <x:c r="AE161" s="7"/>
      <x:c r="AF161" s="7"/>
      <x:c r="AG161" s="7"/>
      <x:c r="AH161" s="7"/>
      <x:c r="AI161" s="7"/>
      <x:c r="AJ161" s="7"/>
      <x:c r="AK161" s="7"/>
      <x:c r="AL161" s="7"/>
      <x:c r="AM161" s="7"/>
      <x:c r="AN161" s="7"/>
      <x:c r="AO161" s="7"/>
      <x:c r="AP161" s="4"/>
      <x:c r="AQ161" s="4"/>
      <x:c r="AR161" s="4"/>
      <x:c r="AS161" s="7"/>
      <x:c r="AT161" s="7"/>
      <x:c r="AU161" s="7"/>
      <x:c r="AV161" s="7"/>
      <x:c r="AW161" s="7"/>
      <x:c r="AX161" s="7"/>
    </x:row>
    <x:row r="162" spans="1:50" ht="13.19999999999999928946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5"/>
      <x:c r="Q162" s="7"/>
      <x:c r="R162" s="7"/>
      <x:c r="S162" s="7"/>
      <x:c r="T162" s="5"/>
      <x:c r="U162" s="7"/>
      <x:c r="V162" s="7"/>
      <x:c r="W162" s="7"/>
      <x:c r="X162" s="5"/>
      <x:c r="Y162" s="7"/>
      <x:c r="Z162" s="7"/>
      <x:c r="AA162" s="7"/>
      <x:c r="AB162" s="5"/>
      <x:c r="AC162" s="7"/>
      <x:c r="AD162" s="7"/>
      <x:c r="AE162" s="7"/>
      <x:c r="AF162" s="7"/>
      <x:c r="AG162" s="7"/>
      <x:c r="AH162" s="7"/>
      <x:c r="AI162" s="7"/>
      <x:c r="AJ162" s="7"/>
      <x:c r="AK162" s="7"/>
      <x:c r="AL162" s="7"/>
      <x:c r="AM162" s="7"/>
      <x:c r="AN162" s="7"/>
      <x:c r="AO162" s="7"/>
      <x:c r="AP162" s="4"/>
      <x:c r="AQ162" s="4"/>
      <x:c r="AR162" s="4"/>
      <x:c r="AS162" s="7"/>
      <x:c r="AT162" s="7"/>
      <x:c r="AU162" s="7"/>
      <x:c r="AV162" s="7"/>
      <x:c r="AW162" s="7"/>
      <x:c r="AX162" s="7"/>
    </x:row>
    <x:row r="163" spans="1:50" ht="13.19999999999999928946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5"/>
      <x:c r="Q163" s="7"/>
      <x:c r="R163" s="7"/>
      <x:c r="S163" s="7"/>
      <x:c r="T163" s="5"/>
      <x:c r="U163" s="7"/>
      <x:c r="V163" s="7"/>
      <x:c r="W163" s="7"/>
      <x:c r="X163" s="5"/>
      <x:c r="Y163" s="7"/>
      <x:c r="Z163" s="7"/>
      <x:c r="AA163" s="7"/>
      <x:c r="AB163" s="5"/>
      <x:c r="AC163" s="7"/>
      <x:c r="AD163" s="7"/>
      <x:c r="AE163" s="7"/>
      <x:c r="AF163" s="7"/>
      <x:c r="AG163" s="7"/>
      <x:c r="AH163" s="7"/>
      <x:c r="AI163" s="7"/>
      <x:c r="AJ163" s="7"/>
      <x:c r="AK163" s="7"/>
      <x:c r="AL163" s="7"/>
      <x:c r="AM163" s="7"/>
      <x:c r="AN163" s="7"/>
      <x:c r="AO163" s="7"/>
      <x:c r="AP163" s="4"/>
      <x:c r="AQ163" s="4"/>
      <x:c r="AR163" s="4"/>
      <x:c r="AS163" s="7"/>
      <x:c r="AT163" s="7"/>
      <x:c r="AU163" s="7"/>
      <x:c r="AV163" s="7"/>
      <x:c r="AW163" s="7"/>
      <x:c r="AX163" s="7"/>
    </x:row>
    <x:row r="164" spans="1:50" ht="13.19999999999999928946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5"/>
      <x:c r="Q164" s="7"/>
      <x:c r="R164" s="7"/>
      <x:c r="S164" s="7"/>
      <x:c r="T164" s="5"/>
      <x:c r="U164" s="7"/>
      <x:c r="V164" s="7"/>
      <x:c r="W164" s="7"/>
      <x:c r="X164" s="5"/>
      <x:c r="Y164" s="7"/>
      <x:c r="Z164" s="7"/>
      <x:c r="AA164" s="7"/>
      <x:c r="AB164" s="5"/>
      <x:c r="AC164" s="7"/>
      <x:c r="AD164" s="7"/>
      <x:c r="AE164" s="7"/>
      <x:c r="AF164" s="7"/>
      <x:c r="AG164" s="7"/>
      <x:c r="AH164" s="7"/>
      <x:c r="AI164" s="7"/>
      <x:c r="AJ164" s="7"/>
      <x:c r="AK164" s="7"/>
      <x:c r="AL164" s="7"/>
      <x:c r="AM164" s="7"/>
      <x:c r="AN164" s="7"/>
      <x:c r="AO164" s="7"/>
      <x:c r="AP164" s="4"/>
      <x:c r="AQ164" s="4"/>
      <x:c r="AR164" s="4"/>
      <x:c r="AS164" s="7"/>
      <x:c r="AT164" s="7"/>
      <x:c r="AU164" s="7"/>
      <x:c r="AV164" s="7"/>
      <x:c r="AW164" s="7"/>
      <x:c r="AX164" s="7"/>
    </x:row>
    <x:row r="165" spans="1:50" ht="13.19999999999999928946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5"/>
      <x:c r="Q165" s="7"/>
      <x:c r="R165" s="7"/>
      <x:c r="S165" s="7"/>
      <x:c r="T165" s="5"/>
      <x:c r="U165" s="7"/>
      <x:c r="V165" s="7"/>
      <x:c r="W165" s="7"/>
      <x:c r="X165" s="5"/>
      <x:c r="Y165" s="7"/>
      <x:c r="Z165" s="7"/>
      <x:c r="AA165" s="7"/>
      <x:c r="AB165" s="5"/>
      <x:c r="AC165" s="7"/>
      <x:c r="AD165" s="7"/>
      <x:c r="AE165" s="7"/>
      <x:c r="AF165" s="7"/>
      <x:c r="AG165" s="7"/>
      <x:c r="AH165" s="7"/>
      <x:c r="AI165" s="7"/>
      <x:c r="AJ165" s="7"/>
      <x:c r="AK165" s="7"/>
      <x:c r="AL165" s="7"/>
      <x:c r="AM165" s="7"/>
      <x:c r="AN165" s="7"/>
      <x:c r="AO165" s="7"/>
      <x:c r="AP165" s="4"/>
      <x:c r="AQ165" s="4"/>
      <x:c r="AR165" s="4"/>
      <x:c r="AS165" s="7"/>
      <x:c r="AT165" s="7"/>
      <x:c r="AU165" s="7"/>
      <x:c r="AV165" s="7"/>
      <x:c r="AW165" s="7"/>
      <x:c r="AX165" s="7"/>
    </x:row>
    <x:row r="166" spans="1:50" ht="13.1999999999999992894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5"/>
      <x:c r="Q166" s="7"/>
      <x:c r="R166" s="7"/>
      <x:c r="S166" s="7"/>
      <x:c r="T166" s="5"/>
      <x:c r="U166" s="7"/>
      <x:c r="V166" s="7"/>
      <x:c r="W166" s="7"/>
      <x:c r="X166" s="5"/>
      <x:c r="Y166" s="7"/>
      <x:c r="Z166" s="7"/>
      <x:c r="AA166" s="7"/>
      <x:c r="AB166" s="5"/>
      <x:c r="AC166" s="7"/>
      <x:c r="AD166" s="7"/>
      <x:c r="AE166" s="7"/>
      <x:c r="AF166" s="7"/>
      <x:c r="AG166" s="7"/>
      <x:c r="AH166" s="7"/>
      <x:c r="AI166" s="7"/>
      <x:c r="AJ166" s="7"/>
      <x:c r="AK166" s="7"/>
      <x:c r="AL166" s="7"/>
      <x:c r="AM166" s="7"/>
      <x:c r="AN166" s="7"/>
      <x:c r="AO166" s="7"/>
      <x:c r="AP166" s="4"/>
      <x:c r="AQ166" s="4"/>
      <x:c r="AR166" s="4"/>
      <x:c r="AS166" s="7"/>
      <x:c r="AT166" s="7"/>
      <x:c r="AU166" s="7"/>
      <x:c r="AV166" s="7"/>
      <x:c r="AW166" s="7"/>
      <x:c r="AX166" s="7"/>
    </x:row>
    <x:row r="167" spans="1:50" ht="13.19999999999999928946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5"/>
      <x:c r="Q167" s="7"/>
      <x:c r="R167" s="7"/>
      <x:c r="S167" s="7"/>
      <x:c r="T167" s="5"/>
      <x:c r="U167" s="7"/>
      <x:c r="V167" s="7"/>
      <x:c r="W167" s="7"/>
      <x:c r="X167" s="5"/>
      <x:c r="Y167" s="7"/>
      <x:c r="Z167" s="7"/>
      <x:c r="AA167" s="7"/>
      <x:c r="AB167" s="5"/>
      <x:c r="AC167" s="7"/>
      <x:c r="AD167" s="7"/>
      <x:c r="AE167" s="7"/>
      <x:c r="AF167" s="7"/>
      <x:c r="AG167" s="7"/>
      <x:c r="AH167" s="7"/>
      <x:c r="AI167" s="7"/>
      <x:c r="AJ167" s="7"/>
      <x:c r="AK167" s="7"/>
      <x:c r="AL167" s="7"/>
      <x:c r="AM167" s="7"/>
      <x:c r="AN167" s="7"/>
      <x:c r="AO167" s="7"/>
      <x:c r="AP167" s="4"/>
      <x:c r="AQ167" s="4"/>
      <x:c r="AR167" s="4"/>
      <x:c r="AS167" s="7"/>
      <x:c r="AT167" s="7"/>
      <x:c r="AU167" s="7"/>
      <x:c r="AV167" s="7"/>
      <x:c r="AW167" s="7"/>
      <x:c r="AX167" s="7"/>
    </x:row>
    <x:row r="168" spans="1:50" ht="13.19999999999999928946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5"/>
      <x:c r="Q168" s="7"/>
      <x:c r="R168" s="7"/>
      <x:c r="S168" s="7"/>
      <x:c r="T168" s="5"/>
      <x:c r="U168" s="7"/>
      <x:c r="V168" s="7"/>
      <x:c r="W168" s="7"/>
      <x:c r="X168" s="5"/>
      <x:c r="Y168" s="7"/>
      <x:c r="Z168" s="7"/>
      <x:c r="AA168" s="7"/>
      <x:c r="AB168" s="5"/>
      <x:c r="AC168" s="7"/>
      <x:c r="AD168" s="7"/>
      <x:c r="AE168" s="7"/>
      <x:c r="AF168" s="7"/>
      <x:c r="AG168" s="7"/>
      <x:c r="AH168" s="7"/>
      <x:c r="AI168" s="7"/>
      <x:c r="AJ168" s="7"/>
      <x:c r="AK168" s="7"/>
      <x:c r="AL168" s="7"/>
      <x:c r="AM168" s="7"/>
      <x:c r="AN168" s="7"/>
      <x:c r="AO168" s="7"/>
      <x:c r="AP168" s="4"/>
      <x:c r="AQ168" s="4"/>
      <x:c r="AR168" s="4"/>
      <x:c r="AS168" s="7"/>
      <x:c r="AT168" s="7"/>
      <x:c r="AU168" s="7"/>
      <x:c r="AV168" s="7"/>
      <x:c r="AW168" s="7"/>
      <x:c r="AX168" s="7"/>
    </x:row>
    <x:row r="169" spans="1:50" ht="13.19999999999999928946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5"/>
      <x:c r="Q169" s="7"/>
      <x:c r="R169" s="7"/>
      <x:c r="S169" s="7"/>
      <x:c r="T169" s="5"/>
      <x:c r="U169" s="7"/>
      <x:c r="V169" s="7"/>
      <x:c r="W169" s="7"/>
      <x:c r="X169" s="5"/>
      <x:c r="Y169" s="7"/>
      <x:c r="Z169" s="7"/>
      <x:c r="AA169" s="7"/>
      <x:c r="AB169" s="5"/>
      <x:c r="AC169" s="7"/>
      <x:c r="AD169" s="7"/>
      <x:c r="AE169" s="7"/>
      <x:c r="AF169" s="7"/>
      <x:c r="AG169" s="7"/>
      <x:c r="AH169" s="7"/>
      <x:c r="AI169" s="7"/>
      <x:c r="AJ169" s="7"/>
      <x:c r="AK169" s="7"/>
      <x:c r="AL169" s="7"/>
      <x:c r="AM169" s="7"/>
      <x:c r="AN169" s="7"/>
      <x:c r="AO169" s="7"/>
      <x:c r="AP169" s="4"/>
      <x:c r="AQ169" s="4"/>
      <x:c r="AR169" s="4"/>
      <x:c r="AS169" s="7"/>
      <x:c r="AT169" s="7"/>
      <x:c r="AU169" s="7"/>
      <x:c r="AV169" s="7"/>
      <x:c r="AW169" s="7"/>
      <x:c r="AX169" s="7"/>
    </x:row>
    <x:row r="170" spans="1:50" ht="13.19999999999999928946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5"/>
      <x:c r="Q170" s="7"/>
      <x:c r="R170" s="7"/>
      <x:c r="S170" s="7"/>
      <x:c r="T170" s="5"/>
      <x:c r="U170" s="7"/>
      <x:c r="V170" s="7"/>
      <x:c r="W170" s="7"/>
      <x:c r="X170" s="5"/>
      <x:c r="Y170" s="7"/>
      <x:c r="Z170" s="7"/>
      <x:c r="AA170" s="7"/>
      <x:c r="AB170" s="5"/>
      <x:c r="AC170" s="7"/>
      <x:c r="AD170" s="7"/>
      <x:c r="AE170" s="7"/>
      <x:c r="AF170" s="7"/>
      <x:c r="AG170" s="7"/>
      <x:c r="AH170" s="7"/>
      <x:c r="AI170" s="7"/>
      <x:c r="AJ170" s="7"/>
      <x:c r="AK170" s="7"/>
      <x:c r="AL170" s="7"/>
      <x:c r="AM170" s="7"/>
      <x:c r="AN170" s="7"/>
      <x:c r="AO170" s="7"/>
      <x:c r="AP170" s="4"/>
      <x:c r="AQ170" s="4"/>
      <x:c r="AR170" s="4"/>
      <x:c r="AS170" s="7"/>
      <x:c r="AT170" s="7"/>
      <x:c r="AU170" s="7"/>
      <x:c r="AV170" s="7"/>
      <x:c r="AW170" s="7"/>
      <x:c r="AX170" s="7"/>
    </x:row>
    <x:row r="171" spans="1:50" ht="13.19999999999999928946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5"/>
      <x:c r="Q171" s="7"/>
      <x:c r="R171" s="7"/>
      <x:c r="S171" s="7"/>
      <x:c r="T171" s="5"/>
      <x:c r="U171" s="7"/>
      <x:c r="V171" s="7"/>
      <x:c r="W171" s="7"/>
      <x:c r="X171" s="5"/>
      <x:c r="Y171" s="7"/>
      <x:c r="Z171" s="7"/>
      <x:c r="AA171" s="7"/>
      <x:c r="AB171" s="5"/>
      <x:c r="AC171" s="7"/>
      <x:c r="AD171" s="7"/>
      <x:c r="AE171" s="7"/>
      <x:c r="AF171" s="7"/>
      <x:c r="AG171" s="7"/>
      <x:c r="AH171" s="7"/>
      <x:c r="AI171" s="7"/>
      <x:c r="AJ171" s="7"/>
      <x:c r="AK171" s="7"/>
      <x:c r="AL171" s="7"/>
      <x:c r="AM171" s="7"/>
      <x:c r="AN171" s="7"/>
      <x:c r="AO171" s="7"/>
      <x:c r="AP171" s="4"/>
      <x:c r="AQ171" s="4"/>
      <x:c r="AR171" s="4"/>
      <x:c r="AS171" s="7"/>
      <x:c r="AT171" s="7"/>
      <x:c r="AU171" s="7"/>
      <x:c r="AV171" s="7"/>
      <x:c r="AW171" s="7"/>
      <x:c r="AX171" s="7"/>
    </x:row>
    <x:row r="172" spans="41:44" ht="13.19999999999999928946">
      <x:c r="AO172" s="23"/>
      <x:c r="AP172" s="24"/>
      <x:c r="AQ172" s="24"/>
      <x:c r="AR172" s="24"/>
    </x:row>
    <x:row r="173" spans="41:44" ht="13.19999999999999928946">
      <x:c r="AO173" s="23"/>
      <x:c r="AP173" s="24"/>
      <x:c r="AQ173" s="24"/>
      <x:c r="AR173" s="24"/>
    </x:row>
    <x:row r="174" spans="41:44" ht="13.19999999999999928946">
      <x:c r="AO174" s="23"/>
      <x:c r="AP174" s="24"/>
      <x:c r="AQ174" s="24"/>
      <x:c r="AR174" s="24"/>
    </x:row>
    <x:row r="175" spans="41:44" ht="13.19999999999999928946">
      <x:c r="AO175" s="23"/>
      <x:c r="AP175" s="24"/>
      <x:c r="AQ175" s="24"/>
      <x:c r="AR175" s="24"/>
    </x:row>
    <x:row r="176" spans="41:44" ht="13.19999999999999928946">
      <x:c r="AO176" s="23"/>
      <x:c r="AP176" s="24"/>
      <x:c r="AQ176" s="24"/>
      <x:c r="AR176" s="24"/>
    </x:row>
    <x:row r="177" spans="41:44" ht="13.19999999999999928946">
      <x:c r="AO177" s="23"/>
      <x:c r="AP177" s="24"/>
      <x:c r="AQ177" s="24"/>
      <x:c r="AR177" s="24"/>
    </x:row>
    <x:row r="178" spans="41:44" ht="13.19999999999999928946">
      <x:c r="AO178" s="23"/>
      <x:c r="AP178" s="24"/>
      <x:c r="AQ178" s="24"/>
      <x:c r="AR178" s="24"/>
    </x:row>
    <x:row r="179" spans="41:44" ht="13.19999999999999928946">
      <x:c r="AO179" s="23"/>
      <x:c r="AP179" s="24"/>
      <x:c r="AQ179" s="24"/>
      <x:c r="AR179" s="24"/>
    </x:row>
    <x:row r="180" spans="41:44" ht="13.19999999999999928946">
      <x:c r="AO180" s="23"/>
      <x:c r="AP180" s="24"/>
      <x:c r="AQ180" s="24"/>
      <x:c r="AR180" s="24"/>
    </x:row>
    <x:row r="181" spans="41:44" ht="13.19999999999999928946">
      <x:c r="AO181" s="23"/>
      <x:c r="AP181" s="24"/>
      <x:c r="AQ181" s="24"/>
      <x:c r="AR181" s="24"/>
    </x:row>
    <x:row r="182" spans="41:44" ht="13.19999999999999928946">
      <x:c r="AO182" s="23"/>
      <x:c r="AP182" s="24"/>
      <x:c r="AQ182" s="24"/>
      <x:c r="AR182" s="24"/>
    </x:row>
    <x:row r="183" spans="41:44" ht="13.19999999999999928946">
      <x:c r="AO183" s="23"/>
      <x:c r="AP183" s="24"/>
      <x:c r="AQ183" s="24"/>
      <x:c r="AR183" s="24"/>
    </x:row>
    <x:row r="184" spans="41:44" ht="13.19999999999999928946">
      <x:c r="AO184" s="23"/>
      <x:c r="AP184" s="24"/>
      <x:c r="AQ184" s="24"/>
      <x:c r="AR184" s="24"/>
    </x:row>
    <x:row r="185" spans="41:44" ht="13.19999999999999928946">
      <x:c r="AO185" s="23"/>
      <x:c r="AP185" s="24"/>
      <x:c r="AQ185" s="24"/>
      <x:c r="AR185" s="24"/>
    </x:row>
    <x:row r="186" spans="41:44" ht="13.19999999999999928946">
      <x:c r="AO186" s="23"/>
      <x:c r="AP186" s="24"/>
      <x:c r="AQ186" s="24"/>
      <x:c r="AR186" s="24"/>
    </x:row>
    <x:row r="187" spans="41:44" ht="13.19999999999999928946">
      <x:c r="AO187" s="23"/>
      <x:c r="AP187" s="24"/>
      <x:c r="AQ187" s="24"/>
      <x:c r="AR187" s="24"/>
    </x:row>
    <x:row r="188" spans="41:44" ht="13.19999999999999928946">
      <x:c r="AO188" s="23"/>
      <x:c r="AP188" s="24"/>
      <x:c r="AQ188" s="24"/>
      <x:c r="AR188" s="24"/>
    </x:row>
    <x:row r="189" spans="41:44" ht="13.19999999999999928946">
      <x:c r="AO189" s="23"/>
      <x:c r="AP189" s="24"/>
      <x:c r="AQ189" s="24"/>
      <x:c r="AR189" s="24"/>
    </x:row>
    <x:row r="190" spans="41:44" ht="13.19999999999999928946">
      <x:c r="AO190" s="23"/>
      <x:c r="AP190" s="24"/>
      <x:c r="AQ190" s="24"/>
      <x:c r="AR190" s="24"/>
    </x:row>
    <x:row r="191" spans="41:44" ht="13.19999999999999928946">
      <x:c r="AO191" s="23"/>
      <x:c r="AP191" s="24"/>
      <x:c r="AQ191" s="24"/>
      <x:c r="AR191" s="24"/>
    </x:row>
    <x:row r="192" spans="41:44" ht="13.19999999999999928946">
      <x:c r="AO192" s="23"/>
      <x:c r="AP192" s="24"/>
      <x:c r="AQ192" s="24"/>
      <x:c r="AR192" s="24"/>
    </x:row>
    <x:row r="193" spans="41:44" ht="13.19999999999999928946">
      <x:c r="AO193" s="23"/>
      <x:c r="AP193" s="24"/>
      <x:c r="AQ193" s="24"/>
      <x:c r="AR193" s="24"/>
    </x:row>
    <x:row r="194" spans="41:44" ht="13.19999999999999928946">
      <x:c r="AO194" s="23"/>
      <x:c r="AP194" s="24"/>
      <x:c r="AQ194" s="24"/>
      <x:c r="AR194" s="24"/>
    </x:row>
    <x:row r="195" spans="41:44" ht="13.19999999999999928946">
      <x:c r="AO195" s="23"/>
      <x:c r="AP195" s="24"/>
      <x:c r="AQ195" s="24"/>
      <x:c r="AR195" s="24"/>
    </x:row>
    <x:row r="196" spans="41:44" ht="13.19999999999999928946">
      <x:c r="AO196" s="23"/>
      <x:c r="AP196" s="24"/>
      <x:c r="AQ196" s="24"/>
      <x:c r="AR196" s="24"/>
    </x:row>
    <x:row r="197" spans="41:44" ht="13.19999999999999928946">
      <x:c r="AO197" s="23"/>
      <x:c r="AP197" s="24"/>
      <x:c r="AQ197" s="24"/>
      <x:c r="AR197" s="24"/>
    </x:row>
    <x:row r="198" spans="41:44" ht="13.19999999999999928946">
      <x:c r="AO198" s="23"/>
      <x:c r="AP198" s="24"/>
      <x:c r="AQ198" s="24"/>
      <x:c r="AR198" s="24"/>
    </x:row>
    <x:row r="199" spans="41:44" ht="13.19999999999999928946">
      <x:c r="AO199" s="23"/>
      <x:c r="AP199" s="24"/>
      <x:c r="AQ199" s="24"/>
      <x:c r="AR199" s="24"/>
    </x:row>
    <x:row r="200" spans="41:44" ht="13.19999999999999928946">
      <x:c r="AO200" s="23"/>
      <x:c r="AP200" s="24"/>
      <x:c r="AQ200" s="24"/>
      <x:c r="AR200" s="24"/>
    </x:row>
    <x:row r="201" spans="41:44" ht="13.19999999999999928946">
      <x:c r="AO201" s="23"/>
      <x:c r="AP201" s="24"/>
      <x:c r="AQ201" s="24"/>
      <x:c r="AR201" s="24"/>
    </x:row>
    <x:row r="202" spans="41:44" ht="13.19999999999999928946">
      <x:c r="AO202" s="23"/>
      <x:c r="AP202" s="24"/>
      <x:c r="AQ202" s="24"/>
      <x:c r="AR202" s="24"/>
    </x:row>
    <x:row r="203" spans="41:44" ht="13.19999999999999928946">
      <x:c r="AO203" s="23"/>
      <x:c r="AP203" s="24"/>
      <x:c r="AQ203" s="24"/>
      <x:c r="AR203" s="24"/>
    </x:row>
    <x:row r="204" spans="41:44" ht="13.19999999999999928946">
      <x:c r="AO204" s="23"/>
      <x:c r="AP204" s="24"/>
      <x:c r="AQ204" s="24"/>
      <x:c r="AR204" s="24"/>
    </x:row>
    <x:row r="205" spans="41:44" ht="13.19999999999999928946">
      <x:c r="AO205" s="23"/>
      <x:c r="AP205" s="24"/>
      <x:c r="AQ205" s="24"/>
      <x:c r="AR205" s="24"/>
    </x:row>
    <x:row r="206" spans="41:44" ht="13.19999999999999928946">
      <x:c r="AO206" s="23"/>
      <x:c r="AP206" s="24"/>
      <x:c r="AQ206" s="24"/>
      <x:c r="AR206" s="24"/>
    </x:row>
    <x:row r="207" spans="41:44" ht="13.19999999999999928946">
      <x:c r="AO207" s="23"/>
      <x:c r="AP207" s="24"/>
      <x:c r="AQ207" s="24"/>
      <x:c r="AR207" s="24"/>
    </x:row>
    <x:row r="208" spans="41:44" ht="13.19999999999999928946">
      <x:c r="AO208" s="23"/>
      <x:c r="AP208" s="24"/>
      <x:c r="AQ208" s="24"/>
      <x:c r="AR208" s="24"/>
    </x:row>
    <x:row r="209" spans="41:44" ht="13.19999999999999928946">
      <x:c r="AO209" s="23"/>
      <x:c r="AP209" s="24"/>
      <x:c r="AQ209" s="24"/>
      <x:c r="AR209" s="24"/>
    </x:row>
    <x:row r="210" spans="41:44" ht="13.19999999999999928946">
      <x:c r="AO210" s="23"/>
      <x:c r="AP210" s="24"/>
      <x:c r="AQ210" s="24"/>
      <x:c r="AR210" s="24"/>
    </x:row>
    <x:row r="211" spans="41:44" ht="13.19999999999999928946">
      <x:c r="AO211" s="23"/>
      <x:c r="AP211" s="24"/>
      <x:c r="AQ211" s="24"/>
      <x:c r="AR211" s="24"/>
    </x:row>
    <x:row r="212" spans="41:44" ht="13.19999999999999928946">
      <x:c r="AO212" s="23"/>
      <x:c r="AP212" s="24"/>
      <x:c r="AQ212" s="24"/>
      <x:c r="AR212" s="24"/>
    </x:row>
    <x:row r="213" spans="41:44" ht="13.19999999999999928946">
      <x:c r="AO213" s="23"/>
      <x:c r="AP213" s="24"/>
      <x:c r="AQ213" s="24"/>
      <x:c r="AR213" s="24"/>
    </x:row>
    <x:row r="214" spans="41:44" ht="13.19999999999999928946">
      <x:c r="AO214" s="23"/>
      <x:c r="AP214" s="24"/>
      <x:c r="AQ214" s="24"/>
      <x:c r="AR214" s="24"/>
    </x:row>
    <x:row r="215" spans="41:44" ht="13.19999999999999928946">
      <x:c r="AO215" s="23"/>
      <x:c r="AP215" s="24"/>
      <x:c r="AQ215" s="24"/>
      <x:c r="AR215" s="24"/>
    </x:row>
    <x:row r="216" spans="41:44" ht="13.19999999999999928946">
      <x:c r="AO216" s="23"/>
      <x:c r="AP216" s="24"/>
      <x:c r="AQ216" s="24"/>
      <x:c r="AR216" s="24"/>
    </x:row>
    <x:row r="217" spans="41:44" ht="13.19999999999999928946">
      <x:c r="AO217" s="23"/>
      <x:c r="AP217" s="24"/>
      <x:c r="AQ217" s="24"/>
      <x:c r="AR217" s="24"/>
    </x:row>
    <x:row r="218" spans="41:44" ht="13.19999999999999928946">
      <x:c r="AO218" s="23"/>
      <x:c r="AP218" s="24"/>
      <x:c r="AQ218" s="24"/>
      <x:c r="AR218" s="24"/>
    </x:row>
    <x:row r="219" spans="41:44" ht="13.19999999999999928946">
      <x:c r="AO219" s="23"/>
      <x:c r="AP219" s="24"/>
      <x:c r="AQ219" s="24"/>
      <x:c r="AR219" s="24"/>
    </x:row>
    <x:row r="220" spans="41:44" ht="13.19999999999999928946">
      <x:c r="AO220" s="23"/>
      <x:c r="AP220" s="24"/>
      <x:c r="AQ220" s="24"/>
      <x:c r="AR220" s="24"/>
    </x:row>
    <x:row r="221" spans="41:44" ht="13.19999999999999928946">
      <x:c r="AO221" s="23"/>
      <x:c r="AP221" s="24"/>
      <x:c r="AQ221" s="24"/>
      <x:c r="AR221" s="24"/>
    </x:row>
    <x:row r="222" spans="41:44" ht="13.19999999999999928946">
      <x:c r="AO222" s="23"/>
      <x:c r="AP222" s="24"/>
      <x:c r="AQ222" s="24"/>
      <x:c r="AR222" s="24"/>
    </x:row>
    <x:row r="223" spans="41:44" ht="13.19999999999999928946">
      <x:c r="AO223" s="23"/>
      <x:c r="AP223" s="24"/>
      <x:c r="AQ223" s="24"/>
      <x:c r="AR223" s="24"/>
    </x:row>
    <x:row r="224" spans="41:44" ht="13.19999999999999928946">
      <x:c r="AO224" s="23"/>
      <x:c r="AP224" s="24"/>
      <x:c r="AQ224" s="24"/>
      <x:c r="AR224" s="24"/>
    </x:row>
    <x:row r="225" spans="41:44" ht="13.19999999999999928946">
      <x:c r="AO225" s="23"/>
      <x:c r="AP225" s="24"/>
      <x:c r="AQ225" s="24"/>
      <x:c r="AR225" s="24"/>
    </x:row>
    <x:row r="226" spans="41:44" ht="13.19999999999999928946">
      <x:c r="AO226" s="23"/>
      <x:c r="AP226" s="24"/>
      <x:c r="AQ226" s="24"/>
      <x:c r="AR226" s="24"/>
    </x:row>
    <x:row r="227" spans="41:44" ht="13.19999999999999928946">
      <x:c r="AO227" s="23"/>
      <x:c r="AP227" s="24"/>
      <x:c r="AQ227" s="24"/>
      <x:c r="AR227" s="24"/>
    </x:row>
    <x:row r="228" spans="41:44" ht="13.19999999999999928946">
      <x:c r="AO228" s="23"/>
      <x:c r="AP228" s="24"/>
      <x:c r="AQ228" s="24"/>
      <x:c r="AR228" s="24"/>
    </x:row>
    <x:row r="229" spans="41:44" ht="13.19999999999999928946">
      <x:c r="AO229" s="23"/>
      <x:c r="AP229" s="24"/>
      <x:c r="AQ229" s="24"/>
      <x:c r="AR229" s="24"/>
    </x:row>
    <x:row r="230" spans="41:44" ht="13.19999999999999928946">
      <x:c r="AO230" s="23"/>
      <x:c r="AP230" s="24"/>
      <x:c r="AQ230" s="24"/>
      <x:c r="AR230" s="24"/>
    </x:row>
    <x:row r="231" spans="41:44" ht="13.19999999999999928946">
      <x:c r="AO231" s="23"/>
      <x:c r="AP231" s="24"/>
      <x:c r="AQ231" s="24"/>
      <x:c r="AR231" s="24"/>
    </x:row>
    <x:row r="232" spans="41:44" ht="13.19999999999999928946">
      <x:c r="AO232" s="23"/>
      <x:c r="AP232" s="24"/>
      <x:c r="AQ232" s="24"/>
      <x:c r="AR232" s="24"/>
    </x:row>
    <x:row r="233" spans="41:44" ht="13.19999999999999928946">
      <x:c r="AO233" s="23"/>
      <x:c r="AP233" s="24"/>
      <x:c r="AQ233" s="24"/>
      <x:c r="AR233" s="24"/>
    </x:row>
    <x:row r="234" spans="41:44" ht="13.19999999999999928946">
      <x:c r="AO234" s="23"/>
      <x:c r="AP234" s="24"/>
      <x:c r="AQ234" s="24"/>
      <x:c r="AR234" s="24"/>
    </x:row>
    <x:row r="235" spans="41:44" ht="13.19999999999999928946">
      <x:c r="AO235" s="23"/>
      <x:c r="AP235" s="24"/>
      <x:c r="AQ235" s="24"/>
      <x:c r="AR235" s="24"/>
    </x:row>
    <x:row r="236" spans="41:44" ht="13.19999999999999928946">
      <x:c r="AO236" s="23"/>
      <x:c r="AP236" s="24"/>
      <x:c r="AQ236" s="24"/>
      <x:c r="AR236" s="24"/>
    </x:row>
    <x:row r="237" spans="41:44" ht="13.19999999999999928946">
      <x:c r="AO237" s="23"/>
      <x:c r="AP237" s="24"/>
      <x:c r="AQ237" s="24"/>
      <x:c r="AR237" s="24"/>
    </x:row>
    <x:row r="238" spans="41:44" ht="13.19999999999999928946">
      <x:c r="AO238" s="23"/>
      <x:c r="AP238" s="24"/>
      <x:c r="AQ238" s="24"/>
      <x:c r="AR238" s="24"/>
    </x:row>
    <x:row r="239" spans="41:44" ht="13.19999999999999928946">
      <x:c r="AO239" s="23"/>
      <x:c r="AP239" s="24"/>
      <x:c r="AQ239" s="24"/>
      <x:c r="AR239" s="24"/>
    </x:row>
    <x:row r="240" spans="41:44" ht="13.19999999999999928946">
      <x:c r="AO240" s="23"/>
      <x:c r="AP240" s="24"/>
      <x:c r="AQ240" s="24"/>
      <x:c r="AR240" s="24"/>
    </x:row>
    <x:row r="241" spans="41:44" ht="13.19999999999999928946">
      <x:c r="AO241" s="23"/>
      <x:c r="AP241" s="24"/>
      <x:c r="AQ241" s="24"/>
      <x:c r="AR241" s="24"/>
    </x:row>
    <x:row r="242" spans="41:44" ht="13.19999999999999928946">
      <x:c r="AO242" s="23"/>
      <x:c r="AP242" s="24"/>
      <x:c r="AQ242" s="24"/>
      <x:c r="AR242" s="24"/>
    </x:row>
    <x:row r="243" spans="41:44" ht="13.19999999999999928946">
      <x:c r="AO243" s="23"/>
      <x:c r="AP243" s="24"/>
      <x:c r="AQ243" s="24"/>
      <x:c r="AR243" s="24"/>
    </x:row>
    <x:row r="244" spans="41:44" ht="13.19999999999999928946">
      <x:c r="AO244" s="23"/>
      <x:c r="AP244" s="24"/>
      <x:c r="AQ244" s="24"/>
      <x:c r="AR244" s="24"/>
    </x:row>
    <x:row r="245" spans="41:44" ht="13.19999999999999928946">
      <x:c r="AO245" s="23"/>
      <x:c r="AP245" s="24"/>
      <x:c r="AQ245" s="24"/>
      <x:c r="AR245" s="24"/>
    </x:row>
    <x:row r="246" spans="41:44" ht="13.19999999999999928946">
      <x:c r="AO246" s="23"/>
      <x:c r="AP246" s="24"/>
      <x:c r="AQ246" s="24"/>
      <x:c r="AR246" s="24"/>
    </x:row>
    <x:row r="247" spans="41:44" ht="13.19999999999999928946">
      <x:c r="AO247" s="23"/>
      <x:c r="AP247" s="24"/>
      <x:c r="AQ247" s="24"/>
      <x:c r="AR247" s="24"/>
    </x:row>
    <x:row r="248" spans="41:44" ht="13.19999999999999928946">
      <x:c r="AO248" s="23"/>
      <x:c r="AP248" s="24"/>
      <x:c r="AQ248" s="24"/>
      <x:c r="AR248" s="24"/>
    </x:row>
    <x:row r="249" spans="41:44" ht="13.19999999999999928946">
      <x:c r="AO249" s="23"/>
      <x:c r="AP249" s="24"/>
      <x:c r="AQ249" s="24"/>
      <x:c r="AR249" s="24"/>
    </x:row>
    <x:row r="250" spans="41:44" ht="13.19999999999999928946">
      <x:c r="AO250" s="23"/>
      <x:c r="AP250" s="24"/>
      <x:c r="AQ250" s="24"/>
      <x:c r="AR250" s="24"/>
    </x:row>
    <x:row r="251" spans="41:44" ht="13.19999999999999928946">
      <x:c r="AO251" s="23"/>
      <x:c r="AP251" s="24"/>
      <x:c r="AQ251" s="24"/>
      <x:c r="AR251" s="24"/>
    </x:row>
    <x:row r="252" spans="41:44" ht="13.19999999999999928946">
      <x:c r="AO252" s="23"/>
      <x:c r="AP252" s="24"/>
      <x:c r="AQ252" s="24"/>
      <x:c r="AR252" s="24"/>
    </x:row>
    <x:row r="253" spans="41:44" ht="13.19999999999999928946">
      <x:c r="AO253" s="23"/>
      <x:c r="AP253" s="24"/>
      <x:c r="AQ253" s="24"/>
      <x:c r="AR253" s="24"/>
    </x:row>
    <x:row r="254" spans="41:44" ht="13.19999999999999928946">
      <x:c r="AO254" s="23"/>
      <x:c r="AP254" s="24"/>
      <x:c r="AQ254" s="24"/>
      <x:c r="AR254" s="24"/>
    </x:row>
    <x:row r="255" spans="41:44" ht="13.19999999999999928946">
      <x:c r="AO255" s="23"/>
      <x:c r="AP255" s="24"/>
      <x:c r="AQ255" s="24"/>
      <x:c r="AR255" s="24"/>
    </x:row>
    <x:row r="256" spans="41:44" ht="13.19999999999999928946">
      <x:c r="AO256" s="23"/>
      <x:c r="AP256" s="24"/>
      <x:c r="AQ256" s="24"/>
      <x:c r="AR256" s="24"/>
    </x:row>
    <x:row r="257" spans="41:44" ht="13.19999999999999928946">
      <x:c r="AO257" s="23"/>
      <x:c r="AP257" s="24"/>
      <x:c r="AQ257" s="24"/>
      <x:c r="AR257" s="24"/>
    </x:row>
    <x:row r="258" spans="41:44" ht="13.19999999999999928946">
      <x:c r="AO258" s="23"/>
      <x:c r="AP258" s="24"/>
      <x:c r="AQ258" s="24"/>
      <x:c r="AR258" s="24"/>
    </x:row>
    <x:row r="259" spans="41:44" ht="13.19999999999999928946">
      <x:c r="AO259" s="23"/>
      <x:c r="AP259" s="24"/>
      <x:c r="AQ259" s="24"/>
      <x:c r="AR259" s="24"/>
    </x:row>
    <x:row r="260" spans="41:44" ht="13.19999999999999928946">
      <x:c r="AO260" s="23"/>
      <x:c r="AP260" s="24"/>
      <x:c r="AQ260" s="24"/>
      <x:c r="AR260" s="24"/>
    </x:row>
    <x:row r="261" spans="41:44" ht="13.19999999999999928946">
      <x:c r="AO261" s="23"/>
      <x:c r="AP261" s="24"/>
      <x:c r="AQ261" s="24"/>
      <x:c r="AR261" s="24"/>
    </x:row>
    <x:row r="262" spans="41:44" ht="13.19999999999999928946">
      <x:c r="AO262" s="23"/>
      <x:c r="AP262" s="24"/>
      <x:c r="AQ262" s="24"/>
      <x:c r="AR262" s="24"/>
    </x:row>
    <x:row r="263" spans="41:44" ht="13.19999999999999928946">
      <x:c r="AO263" s="23"/>
      <x:c r="AP263" s="24"/>
      <x:c r="AQ263" s="24"/>
      <x:c r="AR263" s="24"/>
    </x:row>
    <x:row r="264" spans="41:44" ht="13.19999999999999928946">
      <x:c r="AO264" s="23"/>
      <x:c r="AP264" s="24"/>
      <x:c r="AQ264" s="24"/>
      <x:c r="AR264" s="24"/>
    </x:row>
    <x:row r="265" spans="41:44" ht="13.19999999999999928946">
      <x:c r="AO265" s="23"/>
      <x:c r="AP265" s="24"/>
      <x:c r="AQ265" s="24"/>
      <x:c r="AR265" s="24"/>
    </x:row>
    <x:row r="266" spans="41:44" ht="13.19999999999999928946">
      <x:c r="AO266" s="23"/>
      <x:c r="AP266" s="24"/>
      <x:c r="AQ266" s="24"/>
      <x:c r="AR266" s="24"/>
    </x:row>
    <x:row r="267" spans="41:44" ht="13.19999999999999928946">
      <x:c r="AO267" s="23"/>
      <x:c r="AP267" s="24"/>
      <x:c r="AQ267" s="24"/>
      <x:c r="AR267" s="24"/>
    </x:row>
    <x:row r="268" spans="41:44" ht="13.19999999999999928946">
      <x:c r="AO268" s="23"/>
      <x:c r="AP268" s="24"/>
      <x:c r="AQ268" s="24"/>
      <x:c r="AR268" s="24"/>
    </x:row>
    <x:row r="269" spans="41:44" ht="13.19999999999999928946">
      <x:c r="AO269" s="23"/>
      <x:c r="AP269" s="24"/>
      <x:c r="AQ269" s="24"/>
      <x:c r="AR269" s="24"/>
    </x:row>
    <x:row r="270" spans="41:44" ht="13.19999999999999928946">
      <x:c r="AO270" s="23"/>
      <x:c r="AP270" s="24"/>
      <x:c r="AQ270" s="24"/>
      <x:c r="AR270" s="24"/>
    </x:row>
    <x:row r="271" spans="41:44" ht="13.19999999999999928946">
      <x:c r="AO271" s="23"/>
      <x:c r="AP271" s="24"/>
      <x:c r="AQ271" s="24"/>
      <x:c r="AR271" s="24"/>
    </x:row>
    <x:row r="272" spans="41:44" ht="13.19999999999999928946">
      <x:c r="AO272" s="23"/>
      <x:c r="AP272" s="24"/>
      <x:c r="AQ272" s="24"/>
      <x:c r="AR272" s="24"/>
    </x:row>
    <x:row r="273" spans="41:44" ht="13.19999999999999928946">
      <x:c r="AO273" s="23"/>
      <x:c r="AP273" s="24"/>
      <x:c r="AQ273" s="24"/>
      <x:c r="AR273" s="24"/>
    </x:row>
    <x:row r="274" spans="41:44" ht="13.19999999999999928946">
      <x:c r="AO274" s="23"/>
      <x:c r="AP274" s="24"/>
      <x:c r="AQ274" s="24"/>
      <x:c r="AR274" s="24"/>
    </x:row>
    <x:row r="275" spans="41:44" ht="13.19999999999999928946">
      <x:c r="AO275" s="23"/>
      <x:c r="AP275" s="24"/>
      <x:c r="AQ275" s="24"/>
      <x:c r="AR275" s="24"/>
    </x:row>
    <x:row r="276" spans="41:44" ht="13.19999999999999928946">
      <x:c r="AO276" s="23"/>
      <x:c r="AP276" s="24"/>
      <x:c r="AQ276" s="24"/>
      <x:c r="AR276" s="24"/>
    </x:row>
    <x:row r="277" spans="41:44" ht="13.19999999999999928946">
      <x:c r="AO277" s="23"/>
      <x:c r="AP277" s="24"/>
      <x:c r="AQ277" s="24"/>
      <x:c r="AR277" s="24"/>
    </x:row>
    <x:row r="278" spans="41:44" ht="13.19999999999999928946">
      <x:c r="AO278" s="23"/>
      <x:c r="AP278" s="24"/>
      <x:c r="AQ278" s="24"/>
      <x:c r="AR278" s="24"/>
    </x:row>
    <x:row r="279" spans="41:44" ht="13.19999999999999928946">
      <x:c r="AO279" s="23"/>
      <x:c r="AP279" s="24"/>
      <x:c r="AQ279" s="24"/>
      <x:c r="AR279" s="24"/>
    </x:row>
    <x:row r="280" spans="41:44" ht="13.19999999999999928946">
      <x:c r="AO280" s="23"/>
      <x:c r="AP280" s="24"/>
      <x:c r="AQ280" s="24"/>
      <x:c r="AR280" s="24"/>
    </x:row>
    <x:row r="281" spans="41:44" ht="13.19999999999999928946">
      <x:c r="AO281" s="23"/>
      <x:c r="AP281" s="24"/>
      <x:c r="AQ281" s="24"/>
      <x:c r="AR281" s="24"/>
    </x:row>
    <x:row r="282" spans="41:44" ht="13.19999999999999928946">
      <x:c r="AO282" s="23"/>
      <x:c r="AP282" s="24"/>
      <x:c r="AQ282" s="24"/>
      <x:c r="AR282" s="24"/>
    </x:row>
    <x:row r="283" spans="41:44" ht="13.19999999999999928946">
      <x:c r="AO283" s="23"/>
      <x:c r="AP283" s="24"/>
      <x:c r="AQ283" s="24"/>
      <x:c r="AR283" s="24"/>
    </x:row>
    <x:row r="284" spans="41:44" ht="13.19999999999999928946">
      <x:c r="AO284" s="23"/>
      <x:c r="AP284" s="24"/>
      <x:c r="AQ284" s="24"/>
      <x:c r="AR284" s="24"/>
    </x:row>
    <x:row r="285" spans="41:44" ht="13.19999999999999928946">
      <x:c r="AO285" s="23"/>
      <x:c r="AP285" s="24"/>
      <x:c r="AQ285" s="24"/>
      <x:c r="AR285" s="24"/>
    </x:row>
    <x:row r="286" spans="41:44" ht="13.19999999999999928946">
      <x:c r="AO286" s="23"/>
      <x:c r="AP286" s="24"/>
      <x:c r="AQ286" s="24"/>
      <x:c r="AR286" s="24"/>
    </x:row>
    <x:row r="287" spans="41:44" ht="13.19999999999999928946">
      <x:c r="AO287" s="23"/>
      <x:c r="AP287" s="24"/>
      <x:c r="AQ287" s="24"/>
      <x:c r="AR287" s="24"/>
    </x:row>
    <x:row r="288" spans="41:44" ht="13.19999999999999928946">
      <x:c r="AO288" s="23"/>
      <x:c r="AP288" s="24"/>
      <x:c r="AQ288" s="24"/>
      <x:c r="AR288" s="24"/>
    </x:row>
    <x:row r="289" spans="41:44" ht="13.19999999999999928946">
      <x:c r="AO289" s="23"/>
      <x:c r="AP289" s="24"/>
      <x:c r="AQ289" s="24"/>
      <x:c r="AR289" s="24"/>
    </x:row>
    <x:row r="290" spans="41:44" ht="13.19999999999999928946">
      <x:c r="AO290" s="23"/>
      <x:c r="AP290" s="24"/>
      <x:c r="AQ290" s="24"/>
      <x:c r="AR290" s="24"/>
    </x:row>
    <x:row r="291" spans="41:44" ht="13.19999999999999928946">
      <x:c r="AO291" s="23"/>
      <x:c r="AP291" s="24"/>
      <x:c r="AQ291" s="24"/>
      <x:c r="AR291" s="24"/>
    </x:row>
    <x:row r="292" spans="41:44" ht="13.19999999999999928946">
      <x:c r="AO292" s="23"/>
      <x:c r="AP292" s="24"/>
      <x:c r="AQ292" s="24"/>
      <x:c r="AR292" s="24"/>
    </x:row>
    <x:row r="293" spans="41:44" ht="13.19999999999999928946">
      <x:c r="AO293" s="23"/>
      <x:c r="AP293" s="24"/>
      <x:c r="AQ293" s="24"/>
      <x:c r="AR293" s="24"/>
    </x:row>
    <x:row r="294" spans="41:44" ht="13.19999999999999928946">
      <x:c r="AO294" s="23"/>
      <x:c r="AP294" s="24"/>
      <x:c r="AQ294" s="24"/>
      <x:c r="AR294" s="24"/>
    </x:row>
    <x:row r="295" spans="41:44" ht="13.19999999999999928946">
      <x:c r="AO295" s="23"/>
      <x:c r="AP295" s="24"/>
      <x:c r="AQ295" s="24"/>
      <x:c r="AR295" s="24"/>
    </x:row>
    <x:row r="296" spans="41:44" ht="13.19999999999999928946">
      <x:c r="AO296" s="23"/>
      <x:c r="AP296" s="24"/>
      <x:c r="AQ296" s="24"/>
      <x:c r="AR296" s="24"/>
    </x:row>
    <x:row r="297" spans="41:44" ht="13.19999999999999928946">
      <x:c r="AO297" s="23"/>
      <x:c r="AP297" s="24"/>
      <x:c r="AQ297" s="24"/>
      <x:c r="AR297" s="24"/>
    </x:row>
    <x:row r="298" spans="41:44" ht="13.19999999999999928946">
      <x:c r="AO298" s="23"/>
      <x:c r="AP298" s="24"/>
      <x:c r="AQ298" s="24"/>
      <x:c r="AR298" s="24"/>
    </x:row>
    <x:row r="299" spans="41:44" ht="13.19999999999999928946">
      <x:c r="AO299" s="23"/>
      <x:c r="AP299" s="24"/>
      <x:c r="AQ299" s="24"/>
      <x:c r="AR299" s="24"/>
    </x:row>
    <x:row r="300" spans="41:44" ht="13.19999999999999928946">
      <x:c r="AO300" s="23"/>
      <x:c r="AP300" s="24"/>
      <x:c r="AQ300" s="24"/>
      <x:c r="AR300" s="24"/>
    </x:row>
    <x:row r="301" spans="41:44" ht="13.19999999999999928946">
      <x:c r="AO301" s="23"/>
      <x:c r="AP301" s="24"/>
      <x:c r="AQ301" s="24"/>
      <x:c r="AR301" s="24"/>
    </x:row>
    <x:row r="302" spans="41:44" ht="13.19999999999999928946">
      <x:c r="AO302" s="23"/>
      <x:c r="AP302" s="24"/>
      <x:c r="AQ302" s="24"/>
      <x:c r="AR302" s="24"/>
    </x:row>
    <x:row r="303" spans="41:44" ht="13.19999999999999928946">
      <x:c r="AO303" s="23"/>
      <x:c r="AP303" s="24"/>
      <x:c r="AQ303" s="24"/>
      <x:c r="AR303" s="24"/>
    </x:row>
    <x:row r="304" spans="41:44" ht="13.19999999999999928946">
      <x:c r="AO304" s="23"/>
      <x:c r="AP304" s="24"/>
      <x:c r="AQ304" s="24"/>
      <x:c r="AR304" s="24"/>
    </x:row>
    <x:row r="305" spans="41:44" ht="13.19999999999999928946">
      <x:c r="AO305" s="23"/>
      <x:c r="AP305" s="24"/>
      <x:c r="AQ305" s="24"/>
      <x:c r="AR305" s="24"/>
    </x:row>
    <x:row r="306" spans="41:44" ht="13.19999999999999928946">
      <x:c r="AO306" s="23"/>
      <x:c r="AP306" s="24"/>
      <x:c r="AQ306" s="24"/>
      <x:c r="AR306" s="24"/>
    </x:row>
    <x:row r="307" spans="41:44" ht="13.19999999999999928946">
      <x:c r="AO307" s="23"/>
      <x:c r="AP307" s="24"/>
      <x:c r="AQ307" s="24"/>
      <x:c r="AR307" s="24"/>
    </x:row>
    <x:row r="308" spans="41:44" ht="13.19999999999999928946">
      <x:c r="AO308" s="23"/>
      <x:c r="AP308" s="24"/>
      <x:c r="AQ308" s="24"/>
      <x:c r="AR308" s="24"/>
    </x:row>
    <x:row r="309" spans="41:44" ht="13.19999999999999928946">
      <x:c r="AO309" s="23"/>
      <x:c r="AP309" s="24"/>
      <x:c r="AQ309" s="24"/>
      <x:c r="AR309" s="24"/>
    </x:row>
    <x:row r="310" spans="41:44" ht="13.19999999999999928946">
      <x:c r="AO310" s="23"/>
      <x:c r="AP310" s="24"/>
      <x:c r="AQ310" s="24"/>
      <x:c r="AR310" s="24"/>
    </x:row>
    <x:row r="311" spans="41:44" ht="13.19999999999999928946">
      <x:c r="AO311" s="23"/>
      <x:c r="AP311" s="24"/>
      <x:c r="AQ311" s="24"/>
      <x:c r="AR311" s="24"/>
    </x:row>
    <x:row r="312" spans="41:44" ht="13.19999999999999928946">
      <x:c r="AO312" s="23"/>
      <x:c r="AP312" s="24"/>
      <x:c r="AQ312" s="24"/>
      <x:c r="AR312" s="24"/>
    </x:row>
    <x:row r="313" spans="41:44" ht="13.19999999999999928946">
      <x:c r="AO313" s="23"/>
      <x:c r="AP313" s="24"/>
      <x:c r="AQ313" s="24"/>
      <x:c r="AR313" s="24"/>
    </x:row>
    <x:row r="314" spans="41:44" ht="13.19999999999999928946">
      <x:c r="AO314" s="23"/>
      <x:c r="AP314" s="24"/>
      <x:c r="AQ314" s="24"/>
      <x:c r="AR314" s="24"/>
    </x:row>
    <x:row r="315" spans="41:44" ht="13.19999999999999928946">
      <x:c r="AO315" s="23"/>
      <x:c r="AP315" s="24"/>
      <x:c r="AQ315" s="24"/>
      <x:c r="AR315" s="24"/>
    </x:row>
    <x:row r="316" spans="41:44" ht="13.19999999999999928946">
      <x:c r="AO316" s="23"/>
      <x:c r="AP316" s="24"/>
      <x:c r="AQ316" s="24"/>
      <x:c r="AR316" s="24"/>
    </x:row>
    <x:row r="317" spans="41:44" ht="13.19999999999999928946">
      <x:c r="AO317" s="23"/>
      <x:c r="AP317" s="24"/>
      <x:c r="AQ317" s="24"/>
      <x:c r="AR317" s="24"/>
    </x:row>
    <x:row r="318" spans="41:44" ht="13.19999999999999928946">
      <x:c r="AO318" s="23"/>
      <x:c r="AP318" s="24"/>
      <x:c r="AQ318" s="24"/>
      <x:c r="AR318" s="24"/>
    </x:row>
    <x:row r="319" spans="41:44" ht="13.19999999999999928946">
      <x:c r="AO319" s="23"/>
      <x:c r="AP319" s="24"/>
      <x:c r="AQ319" s="24"/>
      <x:c r="AR319" s="24"/>
    </x:row>
    <x:row r="320" spans="41:44" ht="13.19999999999999928946">
      <x:c r="AO320" s="23"/>
      <x:c r="AP320" s="24"/>
      <x:c r="AQ320" s="24"/>
      <x:c r="AR320" s="24"/>
    </x:row>
    <x:row r="321" spans="41:44" ht="13.19999999999999928946">
      <x:c r="AO321" s="23"/>
      <x:c r="AP321" s="24"/>
      <x:c r="AQ321" s="24"/>
      <x:c r="AR321" s="24"/>
    </x:row>
    <x:row r="322" spans="41:44" ht="13.19999999999999928946">
      <x:c r="AO322" s="23"/>
      <x:c r="AP322" s="24"/>
      <x:c r="AQ322" s="24"/>
      <x:c r="AR322" s="24"/>
    </x:row>
    <x:row r="323" spans="41:44" ht="13.19999999999999928946">
      <x:c r="AO323" s="23"/>
      <x:c r="AP323" s="24"/>
      <x:c r="AQ323" s="24"/>
      <x:c r="AR323" s="24"/>
    </x:row>
    <x:row r="324" spans="41:44" ht="13.19999999999999928946">
      <x:c r="AO324" s="23"/>
      <x:c r="AP324" s="24"/>
      <x:c r="AQ324" s="24"/>
      <x:c r="AR324" s="24"/>
    </x:row>
    <x:row r="325" spans="41:44" ht="13.19999999999999928946">
      <x:c r="AO325" s="23"/>
      <x:c r="AP325" s="24"/>
      <x:c r="AQ325" s="24"/>
      <x:c r="AR325" s="24"/>
    </x:row>
    <x:row r="326" spans="41:44" ht="13.19999999999999928946">
      <x:c r="AO326" s="23"/>
      <x:c r="AP326" s="24"/>
      <x:c r="AQ326" s="24"/>
      <x:c r="AR326" s="24"/>
    </x:row>
    <x:row r="327" spans="41:44" ht="13.19999999999999928946">
      <x:c r="AO327" s="23"/>
      <x:c r="AP327" s="24"/>
      <x:c r="AQ327" s="24"/>
      <x:c r="AR327" s="24"/>
    </x:row>
    <x:row r="328" spans="41:44" ht="13.19999999999999928946">
      <x:c r="AO328" s="23"/>
      <x:c r="AP328" s="24"/>
      <x:c r="AQ328" s="24"/>
      <x:c r="AR328" s="24"/>
    </x:row>
    <x:row r="329" spans="41:44" ht="13.19999999999999928946">
      <x:c r="AO329" s="23"/>
      <x:c r="AP329" s="24"/>
      <x:c r="AQ329" s="24"/>
      <x:c r="AR329" s="24"/>
    </x:row>
    <x:row r="330" spans="41:44" ht="13.19999999999999928946">
      <x:c r="AO330" s="23"/>
      <x:c r="AP330" s="24"/>
      <x:c r="AQ330" s="24"/>
      <x:c r="AR330" s="24"/>
    </x:row>
    <x:row r="331" spans="41:44" ht="13.19999999999999928946">
      <x:c r="AO331" s="23"/>
      <x:c r="AP331" s="24"/>
      <x:c r="AQ331" s="24"/>
      <x:c r="AR331" s="24"/>
    </x:row>
    <x:row r="332" spans="41:44" ht="13.19999999999999928946">
      <x:c r="AO332" s="23"/>
      <x:c r="AP332" s="24"/>
      <x:c r="AQ332" s="24"/>
      <x:c r="AR332" s="24"/>
    </x:row>
    <x:row r="333" spans="41:44" ht="13.19999999999999928946">
      <x:c r="AO333" s="23"/>
      <x:c r="AP333" s="24"/>
      <x:c r="AQ333" s="24"/>
      <x:c r="AR333" s="24"/>
    </x:row>
    <x:row r="334" spans="41:44" ht="13.19999999999999928946">
      <x:c r="AO334" s="23"/>
      <x:c r="AP334" s="24"/>
      <x:c r="AQ334" s="24"/>
      <x:c r="AR334" s="24"/>
    </x:row>
    <x:row r="335" spans="41:44" ht="13.19999999999999928946">
      <x:c r="AO335" s="23"/>
      <x:c r="AP335" s="24"/>
      <x:c r="AQ335" s="24"/>
      <x:c r="AR335" s="24"/>
    </x:row>
    <x:row r="336" spans="41:44" ht="13.19999999999999928946">
      <x:c r="AO336" s="23"/>
      <x:c r="AP336" s="24"/>
      <x:c r="AQ336" s="24"/>
      <x:c r="AR336" s="24"/>
    </x:row>
    <x:row r="337" spans="41:44" ht="13.19999999999999928946">
      <x:c r="AO337" s="23"/>
      <x:c r="AP337" s="24"/>
      <x:c r="AQ337" s="24"/>
      <x:c r="AR337" s="24"/>
    </x:row>
    <x:row r="338" spans="41:44" ht="13.19999999999999928946">
      <x:c r="AO338" s="23"/>
      <x:c r="AP338" s="24"/>
      <x:c r="AQ338" s="24"/>
      <x:c r="AR338" s="24"/>
    </x:row>
    <x:row r="339" spans="41:44" ht="13.19999999999999928946">
      <x:c r="AO339" s="23"/>
      <x:c r="AP339" s="24"/>
      <x:c r="AQ339" s="24"/>
      <x:c r="AR339" s="24"/>
    </x:row>
    <x:row r="340" spans="41:44" ht="13.19999999999999928946">
      <x:c r="AO340" s="23"/>
      <x:c r="AP340" s="24"/>
      <x:c r="AQ340" s="24"/>
      <x:c r="AR340" s="24"/>
    </x:row>
    <x:row r="341" spans="41:44" ht="13.19999999999999928946">
      <x:c r="AO341" s="23"/>
      <x:c r="AP341" s="24"/>
      <x:c r="AQ341" s="24"/>
      <x:c r="AR341" s="24"/>
    </x:row>
    <x:row r="342" spans="41:44" ht="13.19999999999999928946">
      <x:c r="AO342" s="23"/>
      <x:c r="AP342" s="24"/>
      <x:c r="AQ342" s="24"/>
      <x:c r="AR342" s="24"/>
    </x:row>
    <x:row r="343" spans="41:44" ht="13.19999999999999928946">
      <x:c r="AO343" s="23"/>
      <x:c r="AP343" s="24"/>
      <x:c r="AQ343" s="24"/>
      <x:c r="AR343" s="24"/>
    </x:row>
    <x:row r="344" spans="41:44" ht="13.19999999999999928946">
      <x:c r="AO344" s="23"/>
      <x:c r="AP344" s="24"/>
      <x:c r="AQ344" s="24"/>
      <x:c r="AR344" s="24"/>
    </x:row>
    <x:row r="345" spans="41:44" ht="13.19999999999999928946">
      <x:c r="AO345" s="23"/>
      <x:c r="AP345" s="24"/>
      <x:c r="AQ345" s="24"/>
      <x:c r="AR345" s="24"/>
    </x:row>
    <x:row r="346" spans="41:44" ht="13.19999999999999928946">
      <x:c r="AO346" s="23"/>
      <x:c r="AP346" s="24"/>
      <x:c r="AQ346" s="24"/>
      <x:c r="AR346" s="24"/>
    </x:row>
    <x:row r="347" spans="41:44" ht="13.19999999999999928946">
      <x:c r="AO347" s="23"/>
      <x:c r="AP347" s="24"/>
      <x:c r="AQ347" s="24"/>
      <x:c r="AR347" s="24"/>
    </x:row>
    <x:row r="348" spans="41:44" ht="13.19999999999999928946">
      <x:c r="AO348" s="23"/>
      <x:c r="AP348" s="24"/>
      <x:c r="AQ348" s="24"/>
      <x:c r="AR348" s="24"/>
    </x:row>
    <x:row r="349" spans="41:44" ht="13.19999999999999928946">
      <x:c r="AO349" s="23"/>
      <x:c r="AP349" s="24"/>
      <x:c r="AQ349" s="24"/>
      <x:c r="AR349" s="24"/>
    </x:row>
    <x:row r="350" spans="41:44" ht="13.19999999999999928946">
      <x:c r="AO350" s="23"/>
      <x:c r="AP350" s="24"/>
      <x:c r="AQ350" s="24"/>
      <x:c r="AR350" s="24"/>
    </x:row>
    <x:row r="351" spans="41:44" ht="13.19999999999999928946">
      <x:c r="AO351" s="23"/>
      <x:c r="AP351" s="24"/>
      <x:c r="AQ351" s="24"/>
      <x:c r="AR351" s="24"/>
    </x:row>
    <x:row r="352" spans="41:44" ht="13.19999999999999928946">
      <x:c r="AO352" s="23"/>
      <x:c r="AP352" s="24"/>
      <x:c r="AQ352" s="24"/>
      <x:c r="AR352" s="24"/>
    </x:row>
    <x:row r="353" spans="41:44" ht="13.19999999999999928946">
      <x:c r="AO353" s="23"/>
      <x:c r="AP353" s="24"/>
      <x:c r="AQ353" s="24"/>
      <x:c r="AR353" s="24"/>
    </x:row>
    <x:row r="354" spans="41:44" ht="13.19999999999999928946">
      <x:c r="AO354" s="23"/>
      <x:c r="AP354" s="24"/>
      <x:c r="AQ354" s="24"/>
      <x:c r="AR354" s="24"/>
    </x:row>
    <x:row r="355" spans="41:44" ht="13.19999999999999928946">
      <x:c r="AO355" s="23"/>
      <x:c r="AP355" s="24"/>
      <x:c r="AQ355" s="24"/>
      <x:c r="AR355" s="24"/>
    </x:row>
    <x:row r="356" spans="41:44" ht="13.19999999999999928946">
      <x:c r="AO356" s="23"/>
      <x:c r="AP356" s="24"/>
      <x:c r="AQ356" s="24"/>
      <x:c r="AR356" s="24"/>
    </x:row>
    <x:row r="357" spans="41:44" ht="13.19999999999999928946">
      <x:c r="AO357" s="23"/>
      <x:c r="AP357" s="24"/>
      <x:c r="AQ357" s="24"/>
      <x:c r="AR357" s="24"/>
    </x:row>
    <x:row r="358" spans="41:44" ht="13.19999999999999928946">
      <x:c r="AO358" s="23"/>
      <x:c r="AP358" s="24"/>
      <x:c r="AQ358" s="24"/>
      <x:c r="AR358" s="24"/>
    </x:row>
    <x:row r="359" spans="41:44" ht="13.19999999999999928946">
      <x:c r="AO359" s="23"/>
      <x:c r="AP359" s="24"/>
      <x:c r="AQ359" s="24"/>
      <x:c r="AR359" s="24"/>
    </x:row>
    <x:row r="360" spans="41:44" ht="13.19999999999999928946">
      <x:c r="AO360" s="23"/>
      <x:c r="AP360" s="24"/>
      <x:c r="AQ360" s="24"/>
      <x:c r="AR360" s="24"/>
    </x:row>
    <x:row r="361" spans="41:44" ht="13.19999999999999928946">
      <x:c r="AO361" s="23"/>
      <x:c r="AP361" s="24"/>
      <x:c r="AQ361" s="24"/>
      <x:c r="AR361" s="24"/>
    </x:row>
    <x:row r="362" spans="41:44" ht="13.19999999999999928946">
      <x:c r="AO362" s="23"/>
      <x:c r="AP362" s="24"/>
      <x:c r="AQ362" s="24"/>
      <x:c r="AR362" s="24"/>
    </x:row>
    <x:row r="363" spans="41:44" ht="13.19999999999999928946">
      <x:c r="AO363" s="23"/>
      <x:c r="AP363" s="24"/>
      <x:c r="AQ363" s="24"/>
      <x:c r="AR363" s="24"/>
    </x:row>
    <x:row r="364" spans="41:44" ht="13.19999999999999928946">
      <x:c r="AO364" s="23"/>
      <x:c r="AP364" s="24"/>
      <x:c r="AQ364" s="24"/>
      <x:c r="AR364" s="24"/>
    </x:row>
    <x:row r="365" spans="41:44" ht="13.19999999999999928946">
      <x:c r="AO365" s="23"/>
      <x:c r="AP365" s="24"/>
      <x:c r="AQ365" s="24"/>
      <x:c r="AR365" s="24"/>
    </x:row>
    <x:row r="366" spans="41:44" ht="13.19999999999999928946">
      <x:c r="AO366" s="23"/>
      <x:c r="AP366" s="24"/>
      <x:c r="AQ366" s="24"/>
      <x:c r="AR366" s="24"/>
    </x:row>
    <x:row r="367" spans="41:44" ht="13.19999999999999928946">
      <x:c r="AO367" s="23"/>
      <x:c r="AP367" s="24"/>
      <x:c r="AQ367" s="24"/>
      <x:c r="AR367" s="24"/>
    </x:row>
    <x:row r="368" spans="41:44" ht="13.19999999999999928946">
      <x:c r="AO368" s="23"/>
      <x:c r="AP368" s="24"/>
      <x:c r="AQ368" s="24"/>
      <x:c r="AR368" s="24"/>
    </x:row>
    <x:row r="369" spans="41:44" ht="13.19999999999999928946">
      <x:c r="AO369" s="23"/>
      <x:c r="AP369" s="24"/>
      <x:c r="AQ369" s="24"/>
      <x:c r="AR369" s="24"/>
    </x:row>
    <x:row r="370" spans="41:44" ht="13.19999999999999928946">
      <x:c r="AO370" s="23"/>
      <x:c r="AP370" s="24"/>
      <x:c r="AQ370" s="24"/>
      <x:c r="AR370" s="24"/>
    </x:row>
    <x:row r="371" spans="41:44" ht="13.19999999999999928946">
      <x:c r="AO371" s="23"/>
      <x:c r="AP371" s="24"/>
      <x:c r="AQ371" s="24"/>
      <x:c r="AR371" s="24"/>
    </x:row>
    <x:row r="372" spans="41:44" ht="13.19999999999999928946">
      <x:c r="AO372" s="23"/>
      <x:c r="AP372" s="24"/>
      <x:c r="AQ372" s="24"/>
      <x:c r="AR372" s="24"/>
    </x:row>
    <x:row r="373" spans="41:44" ht="13.19999999999999928946">
      <x:c r="AO373" s="23"/>
      <x:c r="AP373" s="24"/>
      <x:c r="AQ373" s="24"/>
      <x:c r="AR373" s="24"/>
    </x:row>
    <x:row r="374" spans="41:44" ht="13.19999999999999928946">
      <x:c r="AO374" s="23"/>
      <x:c r="AP374" s="24"/>
      <x:c r="AQ374" s="24"/>
      <x:c r="AR374" s="24"/>
    </x:row>
    <x:row r="375" spans="41:44" ht="13.19999999999999928946">
      <x:c r="AO375" s="23"/>
      <x:c r="AP375" s="24"/>
      <x:c r="AQ375" s="24"/>
      <x:c r="AR375" s="24"/>
    </x:row>
    <x:row r="376" spans="41:44" ht="13.19999999999999928946">
      <x:c r="AO376" s="23"/>
      <x:c r="AP376" s="24"/>
      <x:c r="AQ376" s="24"/>
      <x:c r="AR376" s="24"/>
    </x:row>
    <x:row r="377" spans="41:44" ht="13.19999999999999928946">
      <x:c r="AO377" s="23"/>
      <x:c r="AP377" s="24"/>
      <x:c r="AQ377" s="24"/>
      <x:c r="AR377" s="24"/>
    </x:row>
    <x:row r="378" spans="41:44" ht="13.19999999999999928946">
      <x:c r="AO378" s="23"/>
      <x:c r="AP378" s="24"/>
      <x:c r="AQ378" s="24"/>
      <x:c r="AR378" s="24"/>
    </x:row>
    <x:row r="379" spans="41:44" ht="13.19999999999999928946">
      <x:c r="AO379" s="23"/>
      <x:c r="AP379" s="24"/>
      <x:c r="AQ379" s="24"/>
      <x:c r="AR379" s="24"/>
    </x:row>
    <x:row r="380" spans="41:44" ht="13.19999999999999928946">
      <x:c r="AO380" s="23"/>
      <x:c r="AP380" s="24"/>
      <x:c r="AQ380" s="24"/>
      <x:c r="AR380" s="24"/>
    </x:row>
    <x:row r="381" spans="41:44" ht="13.19999999999999928946">
      <x:c r="AO381" s="23"/>
      <x:c r="AP381" s="24"/>
      <x:c r="AQ381" s="24"/>
      <x:c r="AR381" s="24"/>
    </x:row>
    <x:row r="382" spans="41:44" ht="13.19999999999999928946">
      <x:c r="AO382" s="23"/>
      <x:c r="AP382" s="24"/>
      <x:c r="AQ382" s="24"/>
      <x:c r="AR382" s="24"/>
    </x:row>
    <x:row r="383" spans="41:44" ht="13.19999999999999928946">
      <x:c r="AO383" s="23"/>
      <x:c r="AP383" s="24"/>
      <x:c r="AQ383" s="24"/>
      <x:c r="AR383" s="24"/>
    </x:row>
    <x:row r="384" spans="41:44" ht="13.19999999999999928946">
      <x:c r="AO384" s="23"/>
      <x:c r="AP384" s="24"/>
      <x:c r="AQ384" s="24"/>
      <x:c r="AR384" s="24"/>
    </x:row>
    <x:row r="385" spans="41:44" ht="13.19999999999999928946">
      <x:c r="AO385" s="23"/>
      <x:c r="AP385" s="24"/>
      <x:c r="AQ385" s="24"/>
      <x:c r="AR385" s="24"/>
    </x:row>
    <x:row r="386" spans="41:44" ht="13.19999999999999928946">
      <x:c r="AO386" s="23"/>
      <x:c r="AP386" s="24"/>
      <x:c r="AQ386" s="24"/>
      <x:c r="AR386" s="24"/>
    </x:row>
    <x:row r="387" spans="41:44" ht="13.19999999999999928946">
      <x:c r="AO387" s="23"/>
      <x:c r="AP387" s="24"/>
      <x:c r="AQ387" s="24"/>
      <x:c r="AR387" s="24"/>
    </x:row>
    <x:row r="388" spans="41:44" ht="13.19999999999999928946">
      <x:c r="AO388" s="23"/>
      <x:c r="AP388" s="24"/>
      <x:c r="AQ388" s="24"/>
      <x:c r="AR388" s="24"/>
    </x:row>
    <x:row r="389" spans="41:44" ht="13.19999999999999928946">
      <x:c r="AO389" s="23"/>
      <x:c r="AP389" s="24"/>
      <x:c r="AQ389" s="24"/>
      <x:c r="AR389" s="24"/>
    </x:row>
    <x:row r="390" spans="41:44" ht="13.19999999999999928946">
      <x:c r="AO390" s="23"/>
      <x:c r="AP390" s="24"/>
      <x:c r="AQ390" s="24"/>
      <x:c r="AR390" s="24"/>
    </x:row>
    <x:row r="391" spans="41:44" ht="13.19999999999999928946">
      <x:c r="AO391" s="23"/>
      <x:c r="AP391" s="24"/>
      <x:c r="AQ391" s="24"/>
      <x:c r="AR391" s="24"/>
    </x:row>
    <x:row r="392" spans="41:44" ht="13.19999999999999928946">
      <x:c r="AO392" s="23"/>
      <x:c r="AP392" s="24"/>
      <x:c r="AQ392" s="24"/>
      <x:c r="AR392" s="24"/>
    </x:row>
    <x:row r="393" spans="41:44" ht="13.19999999999999928946">
      <x:c r="AO393" s="23"/>
      <x:c r="AP393" s="24"/>
      <x:c r="AQ393" s="24"/>
      <x:c r="AR393" s="24"/>
    </x:row>
    <x:row r="394" spans="41:44" ht="13.19999999999999928946">
      <x:c r="AO394" s="23"/>
      <x:c r="AP394" s="24"/>
      <x:c r="AQ394" s="24"/>
      <x:c r="AR394" s="24"/>
    </x:row>
    <x:row r="395" spans="41:44" ht="13.19999999999999928946">
      <x:c r="AO395" s="23"/>
      <x:c r="AP395" s="24"/>
      <x:c r="AQ395" s="24"/>
      <x:c r="AR395" s="24"/>
    </x:row>
    <x:row r="396" spans="41:44" ht="13.19999999999999928946">
      <x:c r="AO396" s="23"/>
      <x:c r="AP396" s="24"/>
      <x:c r="AQ396" s="24"/>
      <x:c r="AR396" s="24"/>
    </x:row>
    <x:row r="397" spans="41:44" ht="13.19999999999999928946">
      <x:c r="AO397" s="23"/>
      <x:c r="AP397" s="24"/>
      <x:c r="AQ397" s="24"/>
      <x:c r="AR397" s="24"/>
    </x:row>
    <x:row r="398" spans="41:44" ht="13.19999999999999928946">
      <x:c r="AO398" s="23"/>
      <x:c r="AP398" s="24"/>
      <x:c r="AQ398" s="24"/>
      <x:c r="AR398" s="24"/>
    </x:row>
    <x:row r="399" spans="41:44" ht="13.19999999999999928946">
      <x:c r="AO399" s="23"/>
      <x:c r="AP399" s="24"/>
      <x:c r="AQ399" s="24"/>
      <x:c r="AR399" s="24"/>
    </x:row>
    <x:row r="400" spans="41:44" ht="13.19999999999999928946">
      <x:c r="AO400" s="23"/>
      <x:c r="AP400" s="24"/>
      <x:c r="AQ400" s="24"/>
      <x:c r="AR400" s="24"/>
    </x:row>
    <x:row r="401" spans="41:44" ht="13.19999999999999928946">
      <x:c r="AO401" s="23"/>
      <x:c r="AP401" s="24"/>
      <x:c r="AQ401" s="24"/>
      <x:c r="AR401" s="24"/>
    </x:row>
    <x:row r="402" spans="41:44" ht="13.19999999999999928946">
      <x:c r="AO402" s="23"/>
      <x:c r="AP402" s="24"/>
      <x:c r="AQ402" s="24"/>
      <x:c r="AR402" s="24"/>
    </x:row>
    <x:row r="403" spans="41:44" ht="13.19999999999999928946">
      <x:c r="AO403" s="23"/>
      <x:c r="AP403" s="24"/>
      <x:c r="AQ403" s="24"/>
      <x:c r="AR403" s="24"/>
    </x:row>
    <x:row r="404" spans="41:44" ht="13.19999999999999928946">
      <x:c r="AO404" s="23"/>
      <x:c r="AP404" s="24"/>
      <x:c r="AQ404" s="24"/>
      <x:c r="AR404" s="24"/>
    </x:row>
    <x:row r="405" spans="41:44" ht="13.19999999999999928946">
      <x:c r="AO405" s="23"/>
      <x:c r="AP405" s="24"/>
      <x:c r="AQ405" s="24"/>
      <x:c r="AR405" s="24"/>
    </x:row>
    <x:row r="406" spans="41:44" ht="13.19999999999999928946">
      <x:c r="AO406" s="23"/>
      <x:c r="AP406" s="24"/>
      <x:c r="AQ406" s="24"/>
      <x:c r="AR406" s="24"/>
    </x:row>
    <x:row r="407" spans="41:44" ht="13.19999999999999928946">
      <x:c r="AO407" s="23"/>
      <x:c r="AP407" s="24"/>
      <x:c r="AQ407" s="24"/>
      <x:c r="AR407" s="24"/>
    </x:row>
    <x:row r="408" spans="41:44" ht="13.19999999999999928946">
      <x:c r="AO408" s="23"/>
      <x:c r="AP408" s="24"/>
      <x:c r="AQ408" s="24"/>
      <x:c r="AR408" s="24"/>
    </x:row>
    <x:row r="409" spans="41:44" ht="13.19999999999999928946">
      <x:c r="AO409" s="23"/>
      <x:c r="AP409" s="24"/>
      <x:c r="AQ409" s="24"/>
      <x:c r="AR409" s="24"/>
    </x:row>
    <x:row r="410" spans="41:44" ht="13.19999999999999928946">
      <x:c r="AO410" s="23"/>
      <x:c r="AP410" s="24"/>
      <x:c r="AQ410" s="24"/>
      <x:c r="AR410" s="24"/>
    </x:row>
    <x:row r="411" spans="41:44" ht="13.19999999999999928946">
      <x:c r="AO411" s="23"/>
      <x:c r="AP411" s="24"/>
      <x:c r="AQ411" s="24"/>
      <x:c r="AR411" s="24"/>
    </x:row>
    <x:row r="412" spans="41:44" ht="13.19999999999999928946">
      <x:c r="AO412" s="23"/>
      <x:c r="AP412" s="24"/>
      <x:c r="AQ412" s="24"/>
      <x:c r="AR412" s="24"/>
    </x:row>
    <x:row r="413" spans="41:44" ht="13.19999999999999928946">
      <x:c r="AO413" s="23"/>
      <x:c r="AP413" s="24"/>
      <x:c r="AQ413" s="24"/>
      <x:c r="AR413" s="24"/>
    </x:row>
    <x:row r="414" spans="41:44" ht="13.19999999999999928946">
      <x:c r="AO414" s="23"/>
      <x:c r="AP414" s="24"/>
      <x:c r="AQ414" s="24"/>
      <x:c r="AR414" s="24"/>
    </x:row>
    <x:row r="415" spans="41:44" ht="13.19999999999999928946">
      <x:c r="AO415" s="23"/>
      <x:c r="AP415" s="24"/>
      <x:c r="AQ415" s="24"/>
      <x:c r="AR415" s="24"/>
    </x:row>
    <x:row r="416" spans="41:44" ht="13.19999999999999928946">
      <x:c r="AO416" s="23"/>
      <x:c r="AP416" s="24"/>
      <x:c r="AQ416" s="24"/>
      <x:c r="AR416" s="24"/>
    </x:row>
    <x:row r="417" spans="41:44" ht="13.19999999999999928946">
      <x:c r="AO417" s="23"/>
      <x:c r="AP417" s="24"/>
      <x:c r="AQ417" s="24"/>
      <x:c r="AR417" s="24"/>
    </x:row>
    <x:row r="418" spans="41:44" ht="13.19999999999999928946">
      <x:c r="AO418" s="23"/>
      <x:c r="AP418" s="24"/>
      <x:c r="AQ418" s="24"/>
      <x:c r="AR418" s="24"/>
    </x:row>
    <x:row r="419" spans="41:44" ht="13.19999999999999928946">
      <x:c r="AO419" s="23"/>
      <x:c r="AP419" s="24"/>
      <x:c r="AQ419" s="24"/>
      <x:c r="AR419" s="24"/>
    </x:row>
    <x:row r="420" spans="41:44" ht="13.19999999999999928946">
      <x:c r="AO420" s="23"/>
      <x:c r="AP420" s="24"/>
      <x:c r="AQ420" s="24"/>
      <x:c r="AR420" s="24"/>
    </x:row>
    <x:row r="421" spans="41:44" ht="13.19999999999999928946">
      <x:c r="AO421" s="23"/>
      <x:c r="AP421" s="24"/>
      <x:c r="AQ421" s="24"/>
      <x:c r="AR421" s="24"/>
    </x:row>
    <x:row r="422" spans="41:44" ht="13.19999999999999928946">
      <x:c r="AO422" s="23"/>
      <x:c r="AP422" s="24"/>
      <x:c r="AQ422" s="24"/>
      <x:c r="AR422" s="24"/>
    </x:row>
    <x:row r="423" spans="41:44" ht="13.19999999999999928946">
      <x:c r="AO423" s="23"/>
      <x:c r="AP423" s="24"/>
      <x:c r="AQ423" s="24"/>
      <x:c r="AR423" s="24"/>
    </x:row>
    <x:row r="424" spans="41:44" ht="13.19999999999999928946">
      <x:c r="AO424" s="23"/>
      <x:c r="AP424" s="24"/>
      <x:c r="AQ424" s="24"/>
      <x:c r="AR424" s="24"/>
    </x:row>
    <x:row r="425" spans="41:44" ht="13.19999999999999928946">
      <x:c r="AO425" s="23"/>
      <x:c r="AP425" s="24"/>
      <x:c r="AQ425" s="24"/>
      <x:c r="AR425" s="24"/>
    </x:row>
    <x:row r="426" spans="41:44" ht="13.19999999999999928946">
      <x:c r="AO426" s="23"/>
      <x:c r="AP426" s="24"/>
      <x:c r="AQ426" s="24"/>
      <x:c r="AR426" s="24"/>
    </x:row>
    <x:row r="427" spans="41:44" ht="13.19999999999999928946">
      <x:c r="AO427" s="23"/>
      <x:c r="AP427" s="24"/>
      <x:c r="AQ427" s="24"/>
      <x:c r="AR427" s="24"/>
    </x:row>
    <x:row r="428" spans="41:44" ht="13.19999999999999928946">
      <x:c r="AO428" s="23"/>
      <x:c r="AP428" s="24"/>
      <x:c r="AQ428" s="24"/>
      <x:c r="AR428" s="24"/>
    </x:row>
    <x:row r="429" spans="41:44" ht="13.19999999999999928946">
      <x:c r="AO429" s="23"/>
      <x:c r="AP429" s="24"/>
      <x:c r="AQ429" s="24"/>
      <x:c r="AR429" s="24"/>
    </x:row>
    <x:row r="430" spans="41:44" ht="13.19999999999999928946">
      <x:c r="AO430" s="23"/>
      <x:c r="AP430" s="24"/>
      <x:c r="AQ430" s="24"/>
      <x:c r="AR430" s="24"/>
    </x:row>
    <x:row r="431" spans="41:44" ht="13.19999999999999928946">
      <x:c r="AO431" s="23"/>
      <x:c r="AP431" s="24"/>
      <x:c r="AQ431" s="24"/>
      <x:c r="AR431" s="24"/>
    </x:row>
    <x:row r="432" spans="41:44" ht="13.19999999999999928946">
      <x:c r="AO432" s="23"/>
      <x:c r="AP432" s="24"/>
      <x:c r="AQ432" s="24"/>
      <x:c r="AR432" s="24"/>
    </x:row>
    <x:row r="433" spans="41:44" ht="13.19999999999999928946">
      <x:c r="AO433" s="23"/>
      <x:c r="AP433" s="24"/>
      <x:c r="AQ433" s="24"/>
      <x:c r="AR433" s="24"/>
    </x:row>
    <x:row r="434" spans="41:44" ht="13.19999999999999928946">
      <x:c r="AO434" s="23"/>
      <x:c r="AP434" s="24"/>
      <x:c r="AQ434" s="24"/>
      <x:c r="AR434" s="24"/>
    </x:row>
    <x:row r="435" spans="41:44" ht="13.19999999999999928946">
      <x:c r="AO435" s="23"/>
      <x:c r="AP435" s="24"/>
      <x:c r="AQ435" s="24"/>
      <x:c r="AR435" s="24"/>
    </x:row>
    <x:row r="436" spans="41:44" ht="13.19999999999999928946">
      <x:c r="AO436" s="23"/>
      <x:c r="AP436" s="24"/>
      <x:c r="AQ436" s="24"/>
      <x:c r="AR436" s="24"/>
    </x:row>
    <x:row r="437" spans="41:44" ht="13.19999999999999928946">
      <x:c r="AO437" s="23"/>
      <x:c r="AP437" s="24"/>
      <x:c r="AQ437" s="24"/>
      <x:c r="AR437" s="24"/>
    </x:row>
    <x:row r="438" spans="41:44" ht="13.19999999999999928946">
      <x:c r="AO438" s="23"/>
      <x:c r="AP438" s="24"/>
      <x:c r="AQ438" s="24"/>
      <x:c r="AR438" s="24"/>
    </x:row>
    <x:row r="439" spans="41:44" ht="13.19999999999999928946">
      <x:c r="AO439" s="23"/>
      <x:c r="AP439" s="24"/>
      <x:c r="AQ439" s="24"/>
      <x:c r="AR439" s="24"/>
    </x:row>
    <x:row r="440" spans="41:44" ht="13.19999999999999928946">
      <x:c r="AO440" s="23"/>
      <x:c r="AP440" s="24"/>
      <x:c r="AQ440" s="24"/>
      <x:c r="AR440" s="24"/>
    </x:row>
    <x:row r="441" spans="41:44" ht="13.19999999999999928946">
      <x:c r="AO441" s="23"/>
      <x:c r="AP441" s="24"/>
      <x:c r="AQ441" s="24"/>
      <x:c r="AR441" s="24"/>
    </x:row>
    <x:row r="442" spans="41:44" ht="13.19999999999999928946">
      <x:c r="AO442" s="23"/>
      <x:c r="AP442" s="24"/>
      <x:c r="AQ442" s="24"/>
      <x:c r="AR442" s="24"/>
    </x:row>
    <x:row r="443" spans="41:44" ht="13.19999999999999928946">
      <x:c r="AO443" s="23"/>
      <x:c r="AP443" s="24"/>
      <x:c r="AQ443" s="24"/>
      <x:c r="AR443" s="24"/>
    </x:row>
    <x:row r="444" spans="41:44" ht="13.19999999999999928946">
      <x:c r="AO444" s="23"/>
      <x:c r="AP444" s="24"/>
      <x:c r="AQ444" s="24"/>
      <x:c r="AR444" s="24"/>
    </x:row>
    <x:row r="445" spans="41:44" ht="13.19999999999999928946">
      <x:c r="AO445" s="23"/>
      <x:c r="AP445" s="24"/>
      <x:c r="AQ445" s="24"/>
      <x:c r="AR445" s="24"/>
    </x:row>
    <x:row r="446" spans="41:44" ht="13.19999999999999928946">
      <x:c r="AO446" s="23"/>
      <x:c r="AP446" s="24"/>
      <x:c r="AQ446" s="24"/>
      <x:c r="AR446" s="24"/>
    </x:row>
    <x:row r="447" spans="41:44" ht="13.19999999999999928946">
      <x:c r="AO447" s="23"/>
      <x:c r="AP447" s="24"/>
      <x:c r="AQ447" s="24"/>
      <x:c r="AR447" s="24"/>
    </x:row>
    <x:row r="448" spans="41:44" ht="13.19999999999999928946">
      <x:c r="AO448" s="23"/>
      <x:c r="AP448" s="24"/>
      <x:c r="AQ448" s="24"/>
      <x:c r="AR448" s="24"/>
    </x:row>
    <x:row r="449" spans="41:44" ht="13.19999999999999928946">
      <x:c r="AO449" s="23"/>
      <x:c r="AP449" s="24"/>
      <x:c r="AQ449" s="24"/>
      <x:c r="AR449" s="24"/>
    </x:row>
    <x:row r="450" spans="41:44" ht="13.19999999999999928946">
      <x:c r="AO450" s="23"/>
      <x:c r="AP450" s="24"/>
      <x:c r="AQ450" s="24"/>
      <x:c r="AR450" s="24"/>
    </x:row>
    <x:row r="451" spans="41:44" ht="13.19999999999999928946">
      <x:c r="AO451" s="23"/>
      <x:c r="AP451" s="24"/>
      <x:c r="AQ451" s="24"/>
      <x:c r="AR451" s="24"/>
    </x:row>
    <x:row r="452" spans="41:44" ht="13.19999999999999928946">
      <x:c r="AO452" s="23"/>
      <x:c r="AP452" s="24"/>
      <x:c r="AQ452" s="24"/>
      <x:c r="AR452" s="24"/>
    </x:row>
    <x:row r="453" spans="41:44" ht="13.19999999999999928946">
      <x:c r="AO453" s="23"/>
      <x:c r="AP453" s="24"/>
      <x:c r="AQ453" s="24"/>
      <x:c r="AR453" s="24"/>
    </x:row>
    <x:row r="454" spans="41:44" ht="13.19999999999999928946">
      <x:c r="AO454" s="23"/>
      <x:c r="AP454" s="24"/>
      <x:c r="AQ454" s="24"/>
      <x:c r="AR454" s="24"/>
    </x:row>
    <x:row r="455" spans="41:44" ht="13.19999999999999928946">
      <x:c r="AO455" s="23"/>
      <x:c r="AP455" s="24"/>
      <x:c r="AQ455" s="24"/>
      <x:c r="AR455" s="24"/>
    </x:row>
    <x:row r="456" spans="41:44" ht="13.19999999999999928946">
      <x:c r="AO456" s="23"/>
      <x:c r="AP456" s="24"/>
      <x:c r="AQ456" s="24"/>
      <x:c r="AR456" s="24"/>
    </x:row>
    <x:row r="457" spans="41:44" ht="13.19999999999999928946">
      <x:c r="AO457" s="23"/>
      <x:c r="AP457" s="24"/>
      <x:c r="AQ457" s="24"/>
      <x:c r="AR457" s="24"/>
    </x:row>
    <x:row r="458" spans="41:44" ht="13.19999999999999928946">
      <x:c r="AO458" s="23"/>
      <x:c r="AP458" s="24"/>
      <x:c r="AQ458" s="24"/>
      <x:c r="AR458" s="24"/>
    </x:row>
    <x:row r="459" spans="41:44" ht="13.19999999999999928946">
      <x:c r="AO459" s="23"/>
      <x:c r="AP459" s="24"/>
      <x:c r="AQ459" s="24"/>
      <x:c r="AR459" s="24"/>
    </x:row>
    <x:row r="460" spans="41:44" ht="13.19999999999999928946">
      <x:c r="AO460" s="23"/>
      <x:c r="AP460" s="24"/>
      <x:c r="AQ460" s="24"/>
      <x:c r="AR460" s="24"/>
    </x:row>
    <x:row r="461" spans="41:44" ht="13.19999999999999928946">
      <x:c r="AO461" s="23"/>
      <x:c r="AP461" s="24"/>
      <x:c r="AQ461" s="24"/>
      <x:c r="AR461" s="24"/>
    </x:row>
    <x:row r="462" spans="41:44" ht="13.19999999999999928946">
      <x:c r="AO462" s="23"/>
      <x:c r="AP462" s="24"/>
      <x:c r="AQ462" s="24"/>
      <x:c r="AR462" s="24"/>
    </x:row>
    <x:row r="463" spans="41:44" ht="13.19999999999999928946">
      <x:c r="AO463" s="23"/>
      <x:c r="AP463" s="24"/>
      <x:c r="AQ463" s="24"/>
      <x:c r="AR463" s="24"/>
    </x:row>
    <x:row r="464" spans="41:44" ht="13.19999999999999928946">
      <x:c r="AO464" s="23"/>
      <x:c r="AP464" s="24"/>
      <x:c r="AQ464" s="24"/>
      <x:c r="AR464" s="24"/>
    </x:row>
    <x:row r="465" spans="41:44" ht="13.19999999999999928946">
      <x:c r="AO465" s="23"/>
      <x:c r="AP465" s="24"/>
      <x:c r="AQ465" s="24"/>
      <x:c r="AR465" s="24"/>
    </x:row>
    <x:row r="466" spans="41:44" ht="13.19999999999999928946">
      <x:c r="AO466" s="23"/>
      <x:c r="AP466" s="24"/>
      <x:c r="AQ466" s="24"/>
      <x:c r="AR466" s="24"/>
    </x:row>
    <x:row r="467" spans="41:44" ht="13.19999999999999928946">
      <x:c r="AO467" s="23"/>
      <x:c r="AP467" s="24"/>
      <x:c r="AQ467" s="24"/>
      <x:c r="AR467" s="24"/>
    </x:row>
    <x:row r="468" spans="41:44" ht="13.19999999999999928946">
      <x:c r="AO468" s="23"/>
      <x:c r="AP468" s="24"/>
      <x:c r="AQ468" s="24"/>
      <x:c r="AR468" s="24"/>
    </x:row>
    <x:row r="469" spans="41:44" ht="13.19999999999999928946">
      <x:c r="AO469" s="23"/>
      <x:c r="AP469" s="24"/>
      <x:c r="AQ469" s="24"/>
      <x:c r="AR469" s="24"/>
    </x:row>
    <x:row r="470" spans="41:44" ht="13.19999999999999928946">
      <x:c r="AO470" s="23"/>
      <x:c r="AP470" s="24"/>
      <x:c r="AQ470" s="24"/>
      <x:c r="AR470" s="24"/>
    </x:row>
    <x:row r="471" spans="41:44" ht="13.19999999999999928946">
      <x:c r="AO471" s="23"/>
      <x:c r="AP471" s="24"/>
      <x:c r="AQ471" s="24"/>
      <x:c r="AR471" s="24"/>
    </x:row>
    <x:row r="472" spans="41:44" ht="13.19999999999999928946">
      <x:c r="AO472" s="23"/>
      <x:c r="AP472" s="24"/>
      <x:c r="AQ472" s="24"/>
      <x:c r="AR472" s="24"/>
    </x:row>
    <x:row r="473" spans="41:44" ht="13.19999999999999928946">
      <x:c r="AO473" s="23"/>
      <x:c r="AP473" s="24"/>
      <x:c r="AQ473" s="24"/>
      <x:c r="AR473" s="24"/>
    </x:row>
    <x:row r="474" spans="41:44" ht="13.19999999999999928946">
      <x:c r="AO474" s="23"/>
      <x:c r="AP474" s="24"/>
      <x:c r="AQ474" s="24"/>
      <x:c r="AR474" s="24"/>
    </x:row>
    <x:row r="475" spans="41:44" ht="13.19999999999999928946">
      <x:c r="AO475" s="23"/>
      <x:c r="AP475" s="24"/>
      <x:c r="AQ475" s="24"/>
      <x:c r="AR475" s="24"/>
    </x:row>
    <x:row r="476" spans="41:44" ht="13.19999999999999928946">
      <x:c r="AO476" s="23"/>
      <x:c r="AP476" s="24"/>
      <x:c r="AQ476" s="24"/>
      <x:c r="AR476" s="24"/>
    </x:row>
    <x:row r="477" spans="41:44" ht="13.19999999999999928946">
      <x:c r="AO477" s="23"/>
      <x:c r="AP477" s="24"/>
      <x:c r="AQ477" s="24"/>
      <x:c r="AR477" s="24"/>
    </x:row>
    <x:row r="478" spans="41:44" ht="13.19999999999999928946">
      <x:c r="AO478" s="23"/>
      <x:c r="AP478" s="24"/>
      <x:c r="AQ478" s="24"/>
      <x:c r="AR478" s="24"/>
    </x:row>
    <x:row r="479" spans="41:44" ht="13.19999999999999928946">
      <x:c r="AO479" s="23"/>
      <x:c r="AP479" s="24"/>
      <x:c r="AQ479" s="24"/>
      <x:c r="AR479" s="24"/>
    </x:row>
    <x:row r="480" spans="41:44" ht="13.19999999999999928946">
      <x:c r="AO480" s="23"/>
      <x:c r="AP480" s="24"/>
      <x:c r="AQ480" s="24"/>
      <x:c r="AR480" s="24"/>
    </x:row>
    <x:row r="481" spans="41:44" ht="13.19999999999999928946">
      <x:c r="AO481" s="23"/>
      <x:c r="AP481" s="24"/>
      <x:c r="AQ481" s="24"/>
      <x:c r="AR481" s="24"/>
    </x:row>
    <x:row r="482" spans="41:44" ht="13.19999999999999928946">
      <x:c r="AO482" s="23"/>
      <x:c r="AP482" s="24"/>
      <x:c r="AQ482" s="24"/>
      <x:c r="AR482" s="24"/>
    </x:row>
    <x:row r="483" spans="41:44" ht="13.19999999999999928946">
      <x:c r="AO483" s="23"/>
      <x:c r="AP483" s="24"/>
      <x:c r="AQ483" s="24"/>
      <x:c r="AR483" s="24"/>
    </x:row>
    <x:row r="484" spans="41:44" ht="13.19999999999999928946">
      <x:c r="AO484" s="23"/>
      <x:c r="AP484" s="24"/>
      <x:c r="AQ484" s="24"/>
      <x:c r="AR484" s="24"/>
    </x:row>
    <x:row r="485" spans="41:44" ht="13.19999999999999928946">
      <x:c r="AO485" s="23"/>
      <x:c r="AP485" s="24"/>
      <x:c r="AQ485" s="24"/>
      <x:c r="AR485" s="24"/>
    </x:row>
    <x:row r="486" spans="41:44" ht="13.19999999999999928946">
      <x:c r="AO486" s="23"/>
      <x:c r="AP486" s="24"/>
      <x:c r="AQ486" s="24"/>
      <x:c r="AR486" s="24"/>
    </x:row>
    <x:row r="487" spans="41:44" ht="13.19999999999999928946">
      <x:c r="AO487" s="23"/>
      <x:c r="AP487" s="24"/>
      <x:c r="AQ487" s="24"/>
      <x:c r="AR487" s="24"/>
    </x:row>
    <x:row r="488" spans="41:44" ht="13.19999999999999928946">
      <x:c r="AO488" s="23"/>
      <x:c r="AP488" s="24"/>
      <x:c r="AQ488" s="24"/>
      <x:c r="AR488" s="24"/>
    </x:row>
    <x:row r="489" spans="41:44" ht="13.19999999999999928946">
      <x:c r="AO489" s="23"/>
      <x:c r="AP489" s="24"/>
      <x:c r="AQ489" s="24"/>
      <x:c r="AR489" s="24"/>
    </x:row>
    <x:row r="490" spans="41:44" ht="13.19999999999999928946">
      <x:c r="AO490" s="23"/>
      <x:c r="AP490" s="24"/>
      <x:c r="AQ490" s="24"/>
      <x:c r="AR490" s="24"/>
    </x:row>
    <x:row r="491" spans="41:44" ht="13.19999999999999928946">
      <x:c r="AO491" s="23"/>
      <x:c r="AP491" s="24"/>
      <x:c r="AQ491" s="24"/>
      <x:c r="AR491" s="24"/>
    </x:row>
    <x:row r="492" spans="41:44" ht="13.19999999999999928946">
      <x:c r="AO492" s="23"/>
      <x:c r="AP492" s="24"/>
      <x:c r="AQ492" s="24"/>
      <x:c r="AR492" s="24"/>
    </x:row>
    <x:row r="493" spans="41:44" ht="13.19999999999999928946">
      <x:c r="AO493" s="23"/>
      <x:c r="AP493" s="24"/>
      <x:c r="AQ493" s="24"/>
      <x:c r="AR493" s="24"/>
    </x:row>
    <x:row r="494" spans="41:44" ht="13.19999999999999928946">
      <x:c r="AO494" s="23"/>
      <x:c r="AP494" s="24"/>
      <x:c r="AQ494" s="24"/>
      <x:c r="AR494" s="24"/>
    </x:row>
    <x:row r="495" spans="41:44" ht="13.19999999999999928946">
      <x:c r="AO495" s="23"/>
      <x:c r="AP495" s="24"/>
      <x:c r="AQ495" s="24"/>
      <x:c r="AR495" s="24"/>
    </x:row>
    <x:row r="496" spans="41:44" ht="13.19999999999999928946">
      <x:c r="AO496" s="23"/>
      <x:c r="AP496" s="24"/>
      <x:c r="AQ496" s="24"/>
      <x:c r="AR496" s="24"/>
    </x:row>
    <x:row r="497" spans="41:44" ht="13.19999999999999928946">
      <x:c r="AO497" s="23"/>
      <x:c r="AP497" s="24"/>
      <x:c r="AQ497" s="24"/>
      <x:c r="AR497" s="24"/>
    </x:row>
    <x:row r="498" spans="41:44" ht="13.19999999999999928946">
      <x:c r="AO498" s="23"/>
      <x:c r="AP498" s="24"/>
      <x:c r="AQ498" s="24"/>
      <x:c r="AR498" s="24"/>
    </x:row>
    <x:row r="499" spans="41:44" ht="13.19999999999999928946">
      <x:c r="AO499" s="23"/>
      <x:c r="AP499" s="24"/>
      <x:c r="AQ499" s="24"/>
      <x:c r="AR499" s="24"/>
    </x:row>
    <x:row r="500" spans="41:44" ht="13.19999999999999928946">
      <x:c r="AO500" s="23"/>
      <x:c r="AP500" s="24"/>
      <x:c r="AQ500" s="24"/>
      <x:c r="AR500" s="24"/>
    </x:row>
    <x:row r="501" spans="41:44" ht="13.19999999999999928946">
      <x:c r="AO501" s="23"/>
      <x:c r="AP501" s="24"/>
      <x:c r="AQ501" s="24"/>
      <x:c r="AR501" s="24"/>
    </x:row>
    <x:row r="502" spans="41:44" ht="13.19999999999999928946">
      <x:c r="AO502" s="23"/>
      <x:c r="AP502" s="24"/>
      <x:c r="AQ502" s="24"/>
      <x:c r="AR502" s="24"/>
    </x:row>
    <x:row r="503" spans="41:44" ht="13.19999999999999928946">
      <x:c r="AO503" s="23"/>
      <x:c r="AP503" s="24"/>
      <x:c r="AQ503" s="24"/>
      <x:c r="AR503" s="24"/>
    </x:row>
    <x:row r="504" spans="41:44" ht="13.19999999999999928946">
      <x:c r="AO504" s="23"/>
      <x:c r="AP504" s="24"/>
      <x:c r="AQ504" s="24"/>
      <x:c r="AR504" s="24"/>
    </x:row>
    <x:row r="505" spans="41:44" ht="13.19999999999999928946">
      <x:c r="AO505" s="23"/>
      <x:c r="AP505" s="24"/>
      <x:c r="AQ505" s="24"/>
      <x:c r="AR505" s="24"/>
    </x:row>
    <x:row r="506" spans="41:44" ht="13.19999999999999928946">
      <x:c r="AO506" s="23"/>
      <x:c r="AP506" s="24"/>
      <x:c r="AQ506" s="24"/>
      <x:c r="AR506" s="24"/>
    </x:row>
    <x:row r="507" spans="41:44" ht="13.19999999999999928946">
      <x:c r="AO507" s="23"/>
      <x:c r="AP507" s="24"/>
      <x:c r="AQ507" s="24"/>
      <x:c r="AR507" s="24"/>
    </x:row>
    <x:row r="508" spans="41:44" ht="13.19999999999999928946">
      <x:c r="AO508" s="23"/>
      <x:c r="AP508" s="24"/>
      <x:c r="AQ508" s="24"/>
      <x:c r="AR508" s="24"/>
    </x:row>
    <x:row r="509" spans="41:44" ht="13.19999999999999928946">
      <x:c r="AO509" s="23"/>
      <x:c r="AP509" s="24"/>
      <x:c r="AQ509" s="24"/>
      <x:c r="AR509" s="24"/>
    </x:row>
    <x:row r="510" spans="41:44" ht="13.19999999999999928946">
      <x:c r="AO510" s="23"/>
      <x:c r="AP510" s="24"/>
      <x:c r="AQ510" s="24"/>
      <x:c r="AR510" s="24"/>
    </x:row>
    <x:row r="511" spans="41:44" ht="13.19999999999999928946">
      <x:c r="AO511" s="23"/>
      <x:c r="AP511" s="24"/>
      <x:c r="AQ511" s="24"/>
      <x:c r="AR511" s="24"/>
    </x:row>
    <x:row r="512" spans="41:44" ht="13.19999999999999928946">
      <x:c r="AO512" s="23"/>
      <x:c r="AP512" s="24"/>
      <x:c r="AQ512" s="24"/>
      <x:c r="AR512" s="24"/>
    </x:row>
    <x:row r="513" spans="41:44" ht="13.19999999999999928946">
      <x:c r="AO513" s="23"/>
      <x:c r="AP513" s="24"/>
      <x:c r="AQ513" s="24"/>
      <x:c r="AR513" s="24"/>
    </x:row>
    <x:row r="514" spans="41:44" ht="13.19999999999999928946">
      <x:c r="AO514" s="23"/>
      <x:c r="AP514" s="24"/>
      <x:c r="AQ514" s="24"/>
      <x:c r="AR514" s="24"/>
    </x:row>
    <x:row r="515" spans="41:44" ht="13.19999999999999928946">
      <x:c r="AO515" s="23"/>
      <x:c r="AP515" s="24"/>
      <x:c r="AQ515" s="24"/>
      <x:c r="AR515" s="24"/>
    </x:row>
    <x:row r="516" spans="41:44" ht="13.19999999999999928946">
      <x:c r="AO516" s="23"/>
      <x:c r="AP516" s="24"/>
      <x:c r="AQ516" s="24"/>
      <x:c r="AR516" s="24"/>
    </x:row>
    <x:row r="517" spans="41:44" ht="13.19999999999999928946">
      <x:c r="AO517" s="23"/>
      <x:c r="AP517" s="24"/>
      <x:c r="AQ517" s="24"/>
      <x:c r="AR517" s="24"/>
    </x:row>
    <x:row r="518" spans="41:44" ht="13.19999999999999928946">
      <x:c r="AO518" s="23"/>
      <x:c r="AP518" s="24"/>
      <x:c r="AQ518" s="24"/>
      <x:c r="AR518" s="24"/>
    </x:row>
    <x:row r="519" spans="41:44" ht="13.19999999999999928946">
      <x:c r="AO519" s="23"/>
      <x:c r="AP519" s="24"/>
      <x:c r="AQ519" s="24"/>
      <x:c r="AR519" s="24"/>
    </x:row>
    <x:row r="520" spans="41:44" ht="13.19999999999999928946">
      <x:c r="AO520" s="23"/>
      <x:c r="AP520" s="24"/>
      <x:c r="AQ520" s="24"/>
      <x:c r="AR520" s="24"/>
    </x:row>
    <x:row r="521" spans="41:44" ht="13.19999999999999928946">
      <x:c r="AO521" s="23"/>
      <x:c r="AP521" s="24"/>
      <x:c r="AQ521" s="24"/>
      <x:c r="AR521" s="24"/>
    </x:row>
    <x:row r="522" spans="41:44" ht="13.19999999999999928946">
      <x:c r="AO522" s="23"/>
      <x:c r="AP522" s="24"/>
      <x:c r="AQ522" s="24"/>
      <x:c r="AR522" s="24"/>
    </x:row>
    <x:row r="523" spans="41:44" ht="13.19999999999999928946">
      <x:c r="AO523" s="23"/>
      <x:c r="AP523" s="24"/>
      <x:c r="AQ523" s="24"/>
      <x:c r="AR523" s="24"/>
    </x:row>
    <x:row r="524" spans="41:44" ht="13.19999999999999928946">
      <x:c r="AO524" s="23"/>
      <x:c r="AP524" s="24"/>
      <x:c r="AQ524" s="24"/>
      <x:c r="AR524" s="24"/>
    </x:row>
    <x:row r="525" spans="41:44" ht="13.19999999999999928946">
      <x:c r="AO525" s="23"/>
      <x:c r="AP525" s="24"/>
      <x:c r="AQ525" s="24"/>
      <x:c r="AR525" s="24"/>
    </x:row>
    <x:row r="526" spans="41:44" ht="13.19999999999999928946">
      <x:c r="AO526" s="23"/>
      <x:c r="AP526" s="24"/>
      <x:c r="AQ526" s="24"/>
      <x:c r="AR526" s="24"/>
    </x:row>
    <x:row r="527" spans="41:44" ht="13.19999999999999928946">
      <x:c r="AO527" s="23"/>
      <x:c r="AP527" s="24"/>
      <x:c r="AQ527" s="24"/>
      <x:c r="AR527" s="24"/>
    </x:row>
    <x:row r="528" spans="41:44" ht="13.19999999999999928946">
      <x:c r="AO528" s="23"/>
      <x:c r="AP528" s="24"/>
      <x:c r="AQ528" s="24"/>
      <x:c r="AR528" s="24"/>
    </x:row>
    <x:row r="529" spans="41:44" ht="13.19999999999999928946">
      <x:c r="AO529" s="23"/>
      <x:c r="AP529" s="24"/>
      <x:c r="AQ529" s="24"/>
      <x:c r="AR529" s="24"/>
    </x:row>
    <x:row r="530" spans="41:44" ht="13.19999999999999928946">
      <x:c r="AO530" s="23"/>
      <x:c r="AP530" s="24"/>
      <x:c r="AQ530" s="24"/>
      <x:c r="AR530" s="24"/>
    </x:row>
    <x:row r="531" spans="41:44" ht="13.19999999999999928946">
      <x:c r="AO531" s="23"/>
      <x:c r="AP531" s="24"/>
      <x:c r="AQ531" s="24"/>
      <x:c r="AR531" s="24"/>
    </x:row>
    <x:row r="532" spans="41:44" ht="13.19999999999999928946">
      <x:c r="AO532" s="23"/>
      <x:c r="AP532" s="24"/>
      <x:c r="AQ532" s="24"/>
      <x:c r="AR532" s="24"/>
    </x:row>
    <x:row r="533" spans="41:44" ht="13.19999999999999928946">
      <x:c r="AO533" s="23"/>
      <x:c r="AP533" s="24"/>
      <x:c r="AQ533" s="24"/>
      <x:c r="AR533" s="24"/>
    </x:row>
    <x:row r="534" spans="41:44" ht="13.19999999999999928946">
      <x:c r="AO534" s="23"/>
      <x:c r="AP534" s="24"/>
      <x:c r="AQ534" s="24"/>
      <x:c r="AR534" s="24"/>
    </x:row>
    <x:row r="535" spans="41:44" ht="13.19999999999999928946">
      <x:c r="AO535" s="23"/>
      <x:c r="AP535" s="24"/>
      <x:c r="AQ535" s="24"/>
      <x:c r="AR535" s="24"/>
    </x:row>
    <x:row r="536" spans="41:44" ht="13.19999999999999928946">
      <x:c r="AO536" s="23"/>
      <x:c r="AP536" s="24"/>
      <x:c r="AQ536" s="24"/>
      <x:c r="AR536" s="24"/>
    </x:row>
    <x:row r="537" spans="41:44" ht="13.19999999999999928946">
      <x:c r="AO537" s="23"/>
      <x:c r="AP537" s="24"/>
      <x:c r="AQ537" s="24"/>
      <x:c r="AR537" s="24"/>
    </x:row>
    <x:row r="538" spans="41:44" ht="13.19999999999999928946">
      <x:c r="AO538" s="23"/>
      <x:c r="AP538" s="24"/>
      <x:c r="AQ538" s="24"/>
      <x:c r="AR538" s="24"/>
    </x:row>
    <x:row r="539" spans="41:44" ht="13.19999999999999928946">
      <x:c r="AO539" s="23"/>
      <x:c r="AP539" s="24"/>
      <x:c r="AQ539" s="24"/>
      <x:c r="AR539" s="24"/>
    </x:row>
    <x:row r="540" spans="41:44" ht="13.19999999999999928946">
      <x:c r="AO540" s="23"/>
      <x:c r="AP540" s="24"/>
      <x:c r="AQ540" s="24"/>
      <x:c r="AR540" s="24"/>
    </x:row>
    <x:row r="541" spans="41:44" ht="13.19999999999999928946">
      <x:c r="AO541" s="23"/>
      <x:c r="AP541" s="24"/>
      <x:c r="AQ541" s="24"/>
      <x:c r="AR541" s="24"/>
    </x:row>
    <x:row r="542" spans="41:44" ht="13.19999999999999928946">
      <x:c r="AO542" s="23"/>
      <x:c r="AP542" s="24"/>
      <x:c r="AQ542" s="24"/>
      <x:c r="AR542" s="24"/>
    </x:row>
    <x:row r="543" spans="41:44" ht="13.19999999999999928946">
      <x:c r="AO543" s="23"/>
      <x:c r="AP543" s="24"/>
      <x:c r="AQ543" s="24"/>
      <x:c r="AR543" s="24"/>
    </x:row>
    <x:row r="544" spans="41:44" ht="13.19999999999999928946">
      <x:c r="AO544" s="23"/>
      <x:c r="AP544" s="24"/>
      <x:c r="AQ544" s="24"/>
      <x:c r="AR544" s="24"/>
    </x:row>
    <x:row r="545" spans="41:44" ht="13.19999999999999928946">
      <x:c r="AO545" s="23"/>
      <x:c r="AP545" s="24"/>
      <x:c r="AQ545" s="24"/>
      <x:c r="AR545" s="24"/>
    </x:row>
    <x:row r="546" spans="41:44" ht="13.19999999999999928946">
      <x:c r="AO546" s="23"/>
      <x:c r="AP546" s="24"/>
      <x:c r="AQ546" s="24"/>
      <x:c r="AR546" s="24"/>
    </x:row>
    <x:row r="547" spans="41:44" ht="13.19999999999999928946">
      <x:c r="AO547" s="23"/>
      <x:c r="AP547" s="24"/>
      <x:c r="AQ547" s="24"/>
      <x:c r="AR547" s="24"/>
    </x:row>
    <x:row r="548" spans="41:44" ht="13.19999999999999928946">
      <x:c r="AO548" s="23"/>
      <x:c r="AP548" s="24"/>
      <x:c r="AQ548" s="24"/>
      <x:c r="AR548" s="24"/>
    </x:row>
    <x:row r="549" spans="41:44" ht="13.19999999999999928946">
      <x:c r="AO549" s="23"/>
      <x:c r="AP549" s="24"/>
      <x:c r="AQ549" s="24"/>
      <x:c r="AR549" s="24"/>
    </x:row>
    <x:row r="550" spans="41:44" ht="13.19999999999999928946">
      <x:c r="AO550" s="23"/>
      <x:c r="AP550" s="24"/>
      <x:c r="AQ550" s="24"/>
      <x:c r="AR550" s="24"/>
    </x:row>
    <x:row r="551" spans="41:44" ht="13.19999999999999928946">
      <x:c r="AO551" s="23"/>
      <x:c r="AP551" s="24"/>
      <x:c r="AQ551" s="24"/>
      <x:c r="AR551" s="24"/>
    </x:row>
    <x:row r="552" spans="41:44" ht="13.19999999999999928946">
      <x:c r="AO552" s="23"/>
      <x:c r="AP552" s="24"/>
      <x:c r="AQ552" s="24"/>
      <x:c r="AR552" s="24"/>
    </x:row>
    <x:row r="553" spans="41:44" ht="13.19999999999999928946">
      <x:c r="AO553" s="23"/>
      <x:c r="AP553" s="24"/>
      <x:c r="AQ553" s="24"/>
      <x:c r="AR553" s="24"/>
    </x:row>
    <x:row r="554" spans="41:44" ht="13.19999999999999928946">
      <x:c r="AO554" s="23"/>
      <x:c r="AP554" s="24"/>
      <x:c r="AQ554" s="24"/>
      <x:c r="AR554" s="24"/>
    </x:row>
    <x:row r="555" spans="41:44" ht="13.19999999999999928946">
      <x:c r="AO555" s="23"/>
      <x:c r="AP555" s="24"/>
      <x:c r="AQ555" s="24"/>
      <x:c r="AR555" s="24"/>
    </x:row>
    <x:row r="556" spans="41:44" ht="13.19999999999999928946">
      <x:c r="AO556" s="23"/>
      <x:c r="AP556" s="24"/>
      <x:c r="AQ556" s="24"/>
      <x:c r="AR556" s="24"/>
    </x:row>
    <x:row r="557" spans="41:44" ht="13.19999999999999928946">
      <x:c r="AO557" s="23"/>
      <x:c r="AP557" s="24"/>
      <x:c r="AQ557" s="24"/>
      <x:c r="AR557" s="24"/>
    </x:row>
    <x:row r="558" spans="41:44" ht="13.19999999999999928946">
      <x:c r="AO558" s="23"/>
      <x:c r="AP558" s="24"/>
      <x:c r="AQ558" s="24"/>
      <x:c r="AR558" s="24"/>
    </x:row>
    <x:row r="559" spans="41:44" ht="13.19999999999999928946">
      <x:c r="AO559" s="23"/>
      <x:c r="AP559" s="24"/>
      <x:c r="AQ559" s="24"/>
      <x:c r="AR559" s="24"/>
    </x:row>
    <x:row r="560" spans="41:44" ht="13.19999999999999928946">
      <x:c r="AO560" s="23"/>
      <x:c r="AP560" s="24"/>
      <x:c r="AQ560" s="24"/>
      <x:c r="AR560" s="24"/>
    </x:row>
    <x:row r="561" spans="41:44" ht="13.19999999999999928946">
      <x:c r="AO561" s="23"/>
      <x:c r="AP561" s="24"/>
      <x:c r="AQ561" s="24"/>
      <x:c r="AR561" s="24"/>
    </x:row>
    <x:row r="562" spans="41:44" ht="13.19999999999999928946">
      <x:c r="AO562" s="23"/>
      <x:c r="AP562" s="24"/>
      <x:c r="AQ562" s="24"/>
      <x:c r="AR562" s="24"/>
    </x:row>
    <x:row r="563" spans="41:44" ht="13.19999999999999928946">
      <x:c r="AO563" s="23"/>
      <x:c r="AP563" s="24"/>
      <x:c r="AQ563" s="24"/>
      <x:c r="AR563" s="24"/>
    </x:row>
    <x:row r="564" spans="41:44" ht="13.19999999999999928946">
      <x:c r="AO564" s="23"/>
      <x:c r="AP564" s="24"/>
      <x:c r="AQ564" s="24"/>
      <x:c r="AR564" s="24"/>
    </x:row>
    <x:row r="565" spans="41:44" ht="13.19999999999999928946">
      <x:c r="AO565" s="23"/>
      <x:c r="AP565" s="24"/>
      <x:c r="AQ565" s="24"/>
      <x:c r="AR565" s="24"/>
    </x:row>
    <x:row r="566" spans="41:44" ht="13.19999999999999928946">
      <x:c r="AO566" s="23"/>
      <x:c r="AP566" s="24"/>
      <x:c r="AQ566" s="24"/>
      <x:c r="AR566" s="24"/>
    </x:row>
    <x:row r="567" spans="41:44" ht="13.19999999999999928946">
      <x:c r="AO567" s="23"/>
      <x:c r="AP567" s="24"/>
      <x:c r="AQ567" s="24"/>
      <x:c r="AR567" s="24"/>
    </x:row>
    <x:row r="568" spans="41:44" ht="13.19999999999999928946">
      <x:c r="AO568" s="23"/>
      <x:c r="AP568" s="24"/>
      <x:c r="AQ568" s="24"/>
      <x:c r="AR568" s="24"/>
    </x:row>
    <x:row r="569" spans="41:44" ht="13.19999999999999928946">
      <x:c r="AO569" s="23"/>
      <x:c r="AP569" s="24"/>
      <x:c r="AQ569" s="24"/>
      <x:c r="AR569" s="24"/>
    </x:row>
    <x:row r="570" spans="41:44" ht="13.19999999999999928946">
      <x:c r="AO570" s="23"/>
      <x:c r="AP570" s="24"/>
      <x:c r="AQ570" s="24"/>
      <x:c r="AR570" s="24"/>
    </x:row>
    <x:row r="571" spans="41:44" ht="13.19999999999999928946">
      <x:c r="AO571" s="23"/>
      <x:c r="AP571" s="24"/>
      <x:c r="AQ571" s="24"/>
      <x:c r="AR571" s="24"/>
    </x:row>
    <x:row r="572" spans="41:44" ht="13.19999999999999928946">
      <x:c r="AO572" s="23"/>
      <x:c r="AP572" s="24"/>
      <x:c r="AQ572" s="24"/>
      <x:c r="AR572" s="24"/>
    </x:row>
    <x:row r="573" spans="41:44" ht="13.19999999999999928946">
      <x:c r="AO573" s="23"/>
      <x:c r="AP573" s="24"/>
      <x:c r="AQ573" s="24"/>
      <x:c r="AR573" s="24"/>
    </x:row>
    <x:row r="574" spans="41:44" ht="13.19999999999999928946">
      <x:c r="AO574" s="23"/>
      <x:c r="AP574" s="24"/>
      <x:c r="AQ574" s="24"/>
      <x:c r="AR574" s="24"/>
    </x:row>
    <x:row r="575" spans="41:44" ht="13.19999999999999928946">
      <x:c r="AO575" s="23"/>
      <x:c r="AP575" s="24"/>
      <x:c r="AQ575" s="24"/>
      <x:c r="AR575" s="24"/>
    </x:row>
    <x:row r="576" spans="41:44" ht="13.19999999999999928946">
      <x:c r="AO576" s="23"/>
      <x:c r="AP576" s="24"/>
      <x:c r="AQ576" s="24"/>
      <x:c r="AR576" s="24"/>
    </x:row>
    <x:row r="577" spans="41:44" ht="13.19999999999999928946">
      <x:c r="AO577" s="23"/>
      <x:c r="AP577" s="24"/>
      <x:c r="AQ577" s="24"/>
      <x:c r="AR577" s="24"/>
    </x:row>
    <x:row r="578" spans="41:44" ht="13.19999999999999928946">
      <x:c r="AO578" s="23"/>
      <x:c r="AP578" s="24"/>
      <x:c r="AQ578" s="24"/>
      <x:c r="AR578" s="24"/>
    </x:row>
    <x:row r="579" spans="41:44" ht="13.19999999999999928946">
      <x:c r="AO579" s="23"/>
      <x:c r="AP579" s="24"/>
      <x:c r="AQ579" s="24"/>
      <x:c r="AR579" s="24"/>
    </x:row>
    <x:row r="580" spans="41:44" ht="13.19999999999999928946">
      <x:c r="AO580" s="23"/>
      <x:c r="AP580" s="24"/>
      <x:c r="AQ580" s="24"/>
      <x:c r="AR580" s="24"/>
    </x:row>
    <x:row r="581" spans="41:44" ht="13.19999999999999928946">
      <x:c r="AO581" s="23"/>
      <x:c r="AP581" s="24"/>
      <x:c r="AQ581" s="24"/>
      <x:c r="AR581" s="24"/>
    </x:row>
    <x:row r="582" spans="41:44" ht="13.19999999999999928946">
      <x:c r="AO582" s="23"/>
      <x:c r="AP582" s="24"/>
      <x:c r="AQ582" s="24"/>
      <x:c r="AR582" s="24"/>
    </x:row>
    <x:row r="583" spans="41:44" ht="13.19999999999999928946">
      <x:c r="AO583" s="23"/>
      <x:c r="AP583" s="24"/>
      <x:c r="AQ583" s="24"/>
      <x:c r="AR583" s="24"/>
    </x:row>
    <x:row r="584" spans="41:44" ht="13.19999999999999928946">
      <x:c r="AO584" s="23"/>
      <x:c r="AP584" s="24"/>
      <x:c r="AQ584" s="24"/>
      <x:c r="AR584" s="24"/>
    </x:row>
    <x:row r="585" spans="41:44" ht="13.19999999999999928946">
      <x:c r="AO585" s="23"/>
      <x:c r="AP585" s="24"/>
      <x:c r="AQ585" s="24"/>
      <x:c r="AR585" s="24"/>
    </x:row>
    <x:row r="586" spans="41:44" ht="13.19999999999999928946">
      <x:c r="AO586" s="23"/>
      <x:c r="AP586" s="24"/>
      <x:c r="AQ586" s="24"/>
      <x:c r="AR586" s="24"/>
    </x:row>
    <x:row r="587" spans="41:44" ht="13.19999999999999928946">
      <x:c r="AO587" s="23"/>
      <x:c r="AP587" s="24"/>
      <x:c r="AQ587" s="24"/>
      <x:c r="AR587" s="24"/>
    </x:row>
    <x:row r="588" spans="41:44" ht="13.19999999999999928946">
      <x:c r="AO588" s="23"/>
      <x:c r="AP588" s="24"/>
      <x:c r="AQ588" s="24"/>
      <x:c r="AR588" s="24"/>
    </x:row>
    <x:row r="589" spans="41:44" ht="13.19999999999999928946">
      <x:c r="AO589" s="23"/>
      <x:c r="AP589" s="24"/>
      <x:c r="AQ589" s="24"/>
      <x:c r="AR589" s="24"/>
    </x:row>
    <x:row r="590" spans="41:44" ht="13.19999999999999928946">
      <x:c r="AO590" s="23"/>
      <x:c r="AP590" s="24"/>
      <x:c r="AQ590" s="24"/>
      <x:c r="AR590" s="24"/>
    </x:row>
    <x:row r="591" spans="41:44" ht="13.19999999999999928946">
      <x:c r="AO591" s="23"/>
      <x:c r="AP591" s="24"/>
      <x:c r="AQ591" s="24"/>
      <x:c r="AR591" s="24"/>
    </x:row>
    <x:row r="592" spans="41:44" ht="13.19999999999999928946">
      <x:c r="AO592" s="23"/>
      <x:c r="AP592" s="24"/>
      <x:c r="AQ592" s="24"/>
      <x:c r="AR592" s="24"/>
    </x:row>
    <x:row r="593" spans="41:44" ht="13.19999999999999928946">
      <x:c r="AO593" s="23"/>
      <x:c r="AP593" s="24"/>
      <x:c r="AQ593" s="24"/>
      <x:c r="AR593" s="24"/>
    </x:row>
    <x:row r="594" spans="41:44" ht="13.19999999999999928946">
      <x:c r="AO594" s="23"/>
      <x:c r="AP594" s="24"/>
      <x:c r="AQ594" s="24"/>
      <x:c r="AR594" s="24"/>
    </x:row>
    <x:row r="595" spans="41:44" ht="13.19999999999999928946">
      <x:c r="AO595" s="23"/>
      <x:c r="AP595" s="24"/>
      <x:c r="AQ595" s="24"/>
      <x:c r="AR595" s="24"/>
    </x:row>
    <x:row r="596" spans="41:44" ht="13.19999999999999928946">
      <x:c r="AO596" s="23"/>
      <x:c r="AP596" s="24"/>
      <x:c r="AQ596" s="24"/>
      <x:c r="AR596" s="24"/>
    </x:row>
    <x:row r="597" spans="41:44" ht="13.19999999999999928946">
      <x:c r="AO597" s="23"/>
      <x:c r="AP597" s="24"/>
      <x:c r="AQ597" s="24"/>
      <x:c r="AR597" s="24"/>
    </x:row>
    <x:row r="598" spans="41:44" ht="13.19999999999999928946">
      <x:c r="AO598" s="23"/>
      <x:c r="AP598" s="24"/>
      <x:c r="AQ598" s="24"/>
      <x:c r="AR598" s="24"/>
    </x:row>
    <x:row r="599" spans="41:44" ht="13.19999999999999928946">
      <x:c r="AO599" s="23"/>
      <x:c r="AP599" s="24"/>
      <x:c r="AQ599" s="24"/>
      <x:c r="AR599" s="24"/>
    </x:row>
    <x:row r="600" spans="41:44" ht="13.19999999999999928946">
      <x:c r="AO600" s="23"/>
      <x:c r="AP600" s="24"/>
      <x:c r="AQ600" s="24"/>
      <x:c r="AR600" s="24"/>
    </x:row>
    <x:row r="601" spans="41:44" ht="13.19999999999999928946">
      <x:c r="AO601" s="23"/>
      <x:c r="AP601" s="24"/>
      <x:c r="AQ601" s="24"/>
      <x:c r="AR601" s="24"/>
    </x:row>
    <x:row r="602" spans="41:44" ht="13.19999999999999928946">
      <x:c r="AO602" s="23"/>
      <x:c r="AP602" s="24"/>
      <x:c r="AQ602" s="24"/>
      <x:c r="AR602" s="24"/>
    </x:row>
    <x:row r="603" spans="41:44" ht="13.19999999999999928946">
      <x:c r="AO603" s="23"/>
      <x:c r="AP603" s="24"/>
      <x:c r="AQ603" s="24"/>
      <x:c r="AR603" s="24"/>
    </x:row>
    <x:row r="604" spans="41:44" ht="13.19999999999999928946">
      <x:c r="AO604" s="23"/>
      <x:c r="AP604" s="24"/>
      <x:c r="AQ604" s="24"/>
      <x:c r="AR604" s="24"/>
    </x:row>
    <x:row r="605" spans="41:44" ht="13.19999999999999928946">
      <x:c r="AO605" s="23"/>
      <x:c r="AP605" s="24"/>
      <x:c r="AQ605" s="24"/>
      <x:c r="AR605" s="24"/>
    </x:row>
    <x:row r="606" spans="41:44" ht="13.19999999999999928946">
      <x:c r="AO606" s="23"/>
      <x:c r="AP606" s="24"/>
      <x:c r="AQ606" s="24"/>
      <x:c r="AR606" s="24"/>
    </x:row>
    <x:row r="607" spans="41:44" ht="13.19999999999999928946">
      <x:c r="AO607" s="23"/>
      <x:c r="AP607" s="24"/>
      <x:c r="AQ607" s="24"/>
      <x:c r="AR607" s="24"/>
    </x:row>
    <x:row r="608" spans="41:44" ht="13.19999999999999928946">
      <x:c r="AO608" s="23"/>
      <x:c r="AP608" s="24"/>
      <x:c r="AQ608" s="24"/>
      <x:c r="AR608" s="24"/>
    </x:row>
    <x:row r="609" spans="41:44" ht="13.19999999999999928946">
      <x:c r="AO609" s="23"/>
      <x:c r="AP609" s="24"/>
      <x:c r="AQ609" s="24"/>
      <x:c r="AR609" s="24"/>
    </x:row>
    <x:row r="610" spans="41:44" ht="13.19999999999999928946">
      <x:c r="AO610" s="23"/>
      <x:c r="AP610" s="24"/>
      <x:c r="AQ610" s="24"/>
      <x:c r="AR610" s="24"/>
    </x:row>
    <x:row r="611" spans="41:44" ht="13.19999999999999928946">
      <x:c r="AO611" s="23"/>
      <x:c r="AP611" s="24"/>
      <x:c r="AQ611" s="24"/>
      <x:c r="AR611" s="24"/>
    </x:row>
    <x:row r="612" spans="41:44" ht="13.19999999999999928946">
      <x:c r="AO612" s="23"/>
      <x:c r="AP612" s="24"/>
      <x:c r="AQ612" s="24"/>
      <x:c r="AR612" s="24"/>
    </x:row>
    <x:row r="613" spans="41:44" ht="13.19999999999999928946">
      <x:c r="AO613" s="23"/>
      <x:c r="AP613" s="24"/>
      <x:c r="AQ613" s="24"/>
      <x:c r="AR613" s="24"/>
    </x:row>
    <x:row r="614" spans="41:44" ht="13.19999999999999928946">
      <x:c r="AO614" s="23"/>
      <x:c r="AP614" s="24"/>
      <x:c r="AQ614" s="24"/>
      <x:c r="AR614" s="24"/>
    </x:row>
    <x:row r="615" spans="41:44" ht="13.19999999999999928946">
      <x:c r="AO615" s="23"/>
      <x:c r="AP615" s="24"/>
      <x:c r="AQ615" s="24"/>
      <x:c r="AR615" s="24"/>
    </x:row>
    <x:row r="616" spans="41:44" ht="13.19999999999999928946">
      <x:c r="AO616" s="23"/>
      <x:c r="AP616" s="24"/>
      <x:c r="AQ616" s="24"/>
      <x:c r="AR616" s="24"/>
    </x:row>
    <x:row r="617" spans="41:44" ht="13.19999999999999928946">
      <x:c r="AO617" s="23"/>
      <x:c r="AP617" s="24"/>
      <x:c r="AQ617" s="24"/>
      <x:c r="AR617" s="24"/>
    </x:row>
    <x:row r="618" spans="41:44" ht="13.19999999999999928946">
      <x:c r="AO618" s="23"/>
      <x:c r="AP618" s="24"/>
      <x:c r="AQ618" s="24"/>
      <x:c r="AR618" s="24"/>
    </x:row>
    <x:row r="619" spans="41:44" ht="13.19999999999999928946">
      <x:c r="AO619" s="23"/>
      <x:c r="AP619" s="24"/>
      <x:c r="AQ619" s="24"/>
      <x:c r="AR619" s="24"/>
    </x:row>
    <x:row r="620" spans="41:44" ht="13.19999999999999928946">
      <x:c r="AO620" s="23"/>
      <x:c r="AP620" s="24"/>
      <x:c r="AQ620" s="24"/>
      <x:c r="AR620" s="24"/>
    </x:row>
    <x:row r="621" spans="41:44" ht="13.19999999999999928946">
      <x:c r="AO621" s="23"/>
      <x:c r="AP621" s="24"/>
      <x:c r="AQ621" s="24"/>
      <x:c r="AR621" s="24"/>
    </x:row>
    <x:row r="622" spans="41:44" ht="13.19999999999999928946">
      <x:c r="AO622" s="23"/>
      <x:c r="AP622" s="24"/>
      <x:c r="AQ622" s="24"/>
      <x:c r="AR622" s="24"/>
    </x:row>
    <x:row r="623" spans="41:44" ht="13.19999999999999928946">
      <x:c r="AO623" s="23"/>
      <x:c r="AP623" s="24"/>
      <x:c r="AQ623" s="24"/>
      <x:c r="AR623" s="24"/>
    </x:row>
    <x:row r="624" spans="41:44" ht="13.19999999999999928946">
      <x:c r="AO624" s="23"/>
      <x:c r="AP624" s="24"/>
      <x:c r="AQ624" s="24"/>
      <x:c r="AR624" s="24"/>
    </x:row>
    <x:row r="625" spans="41:44" ht="13.19999999999999928946">
      <x:c r="AO625" s="23"/>
      <x:c r="AP625" s="24"/>
      <x:c r="AQ625" s="24"/>
      <x:c r="AR625" s="24"/>
    </x:row>
    <x:row r="626" spans="41:44" ht="13.19999999999999928946">
      <x:c r="AO626" s="23"/>
      <x:c r="AP626" s="24"/>
      <x:c r="AQ626" s="24"/>
      <x:c r="AR626" s="24"/>
    </x:row>
    <x:row r="627" spans="41:44" ht="13.19999999999999928946">
      <x:c r="AO627" s="23"/>
      <x:c r="AP627" s="24"/>
      <x:c r="AQ627" s="24"/>
      <x:c r="AR627" s="24"/>
    </x:row>
    <x:row r="628" spans="41:44" ht="13.19999999999999928946">
      <x:c r="AO628" s="23"/>
      <x:c r="AP628" s="24"/>
      <x:c r="AQ628" s="24"/>
      <x:c r="AR628" s="24"/>
    </x:row>
    <x:row r="629" spans="41:44" ht="13.19999999999999928946">
      <x:c r="AO629" s="23"/>
      <x:c r="AP629" s="24"/>
      <x:c r="AQ629" s="24"/>
      <x:c r="AR629" s="24"/>
    </x:row>
    <x:row r="630" spans="41:44" ht="13.19999999999999928946">
      <x:c r="AO630" s="23"/>
      <x:c r="AP630" s="24"/>
      <x:c r="AQ630" s="24"/>
      <x:c r="AR630" s="24"/>
    </x:row>
    <x:row r="631" spans="41:44" ht="13.19999999999999928946">
      <x:c r="AO631" s="23"/>
      <x:c r="AP631" s="24"/>
      <x:c r="AQ631" s="24"/>
      <x:c r="AR631" s="24"/>
    </x:row>
    <x:row r="632" spans="41:44" ht="13.19999999999999928946">
      <x:c r="AO632" s="23"/>
      <x:c r="AP632" s="24"/>
      <x:c r="AQ632" s="24"/>
      <x:c r="AR632" s="24"/>
    </x:row>
    <x:row r="633" spans="41:44" ht="13.19999999999999928946">
      <x:c r="AO633" s="23"/>
      <x:c r="AP633" s="24"/>
      <x:c r="AQ633" s="24"/>
      <x:c r="AR633" s="24"/>
    </x:row>
    <x:row r="634" spans="41:44" ht="13.19999999999999928946">
      <x:c r="AO634" s="23"/>
      <x:c r="AP634" s="24"/>
      <x:c r="AQ634" s="24"/>
      <x:c r="AR634" s="24"/>
    </x:row>
    <x:row r="635" spans="41:44" ht="13.19999999999999928946">
      <x:c r="AO635" s="23"/>
      <x:c r="AP635" s="24"/>
      <x:c r="AQ635" s="24"/>
      <x:c r="AR635" s="24"/>
    </x:row>
    <x:row r="636" spans="41:44" ht="13.19999999999999928946">
      <x:c r="AO636" s="23"/>
      <x:c r="AP636" s="24"/>
      <x:c r="AQ636" s="24"/>
      <x:c r="AR636" s="24"/>
    </x:row>
    <x:row r="637" spans="41:44" ht="13.19999999999999928946">
      <x:c r="AO637" s="23"/>
      <x:c r="AP637" s="24"/>
      <x:c r="AQ637" s="24"/>
      <x:c r="AR637" s="24"/>
    </x:row>
    <x:row r="638" spans="41:44" ht="13.19999999999999928946">
      <x:c r="AO638" s="23"/>
      <x:c r="AP638" s="24"/>
      <x:c r="AQ638" s="24"/>
      <x:c r="AR638" s="24"/>
    </x:row>
    <x:row r="639" spans="41:44" ht="13.19999999999999928946">
      <x:c r="AO639" s="23"/>
      <x:c r="AP639" s="24"/>
      <x:c r="AQ639" s="24"/>
      <x:c r="AR639" s="24"/>
    </x:row>
    <x:row r="640" spans="41:44" ht="13.19999999999999928946">
      <x:c r="AO640" s="23"/>
      <x:c r="AP640" s="24"/>
      <x:c r="AQ640" s="24"/>
      <x:c r="AR640" s="24"/>
    </x:row>
    <x:row r="641" spans="41:44" ht="13.19999999999999928946">
      <x:c r="AO641" s="23"/>
      <x:c r="AP641" s="24"/>
      <x:c r="AQ641" s="24"/>
      <x:c r="AR641" s="24"/>
    </x:row>
    <x:row r="642" spans="41:44" ht="13.19999999999999928946">
      <x:c r="AO642" s="23"/>
      <x:c r="AP642" s="24"/>
      <x:c r="AQ642" s="24"/>
      <x:c r="AR642" s="24"/>
    </x:row>
    <x:row r="643" spans="41:44" ht="13.19999999999999928946">
      <x:c r="AO643" s="23"/>
      <x:c r="AP643" s="24"/>
      <x:c r="AQ643" s="24"/>
      <x:c r="AR643" s="24"/>
    </x:row>
    <x:row r="644" spans="41:44" ht="13.19999999999999928946">
      <x:c r="AO644" s="23"/>
      <x:c r="AP644" s="24"/>
      <x:c r="AQ644" s="24"/>
      <x:c r="AR644" s="24"/>
    </x:row>
    <x:row r="645" spans="41:44" ht="13.19999999999999928946">
      <x:c r="AO645" s="23"/>
      <x:c r="AP645" s="24"/>
      <x:c r="AQ645" s="24"/>
      <x:c r="AR645" s="24"/>
    </x:row>
    <x:row r="646" spans="41:44" ht="13.19999999999999928946">
      <x:c r="AO646" s="23"/>
      <x:c r="AP646" s="24"/>
      <x:c r="AQ646" s="24"/>
      <x:c r="AR646" s="24"/>
    </x:row>
    <x:row r="647" spans="41:44" ht="13.19999999999999928946">
      <x:c r="AO647" s="23"/>
      <x:c r="AP647" s="24"/>
      <x:c r="AQ647" s="24"/>
      <x:c r="AR647" s="24"/>
    </x:row>
    <x:row r="648" spans="41:44" ht="13.19999999999999928946">
      <x:c r="AO648" s="23"/>
      <x:c r="AP648" s="24"/>
      <x:c r="AQ648" s="24"/>
      <x:c r="AR648" s="24"/>
    </x:row>
    <x:row r="649" spans="41:44" ht="13.19999999999999928946">
      <x:c r="AO649" s="23"/>
      <x:c r="AP649" s="24"/>
      <x:c r="AQ649" s="24"/>
      <x:c r="AR649" s="24"/>
    </x:row>
    <x:row r="650" spans="41:44" ht="13.19999999999999928946">
      <x:c r="AO650" s="23"/>
      <x:c r="AP650" s="24"/>
      <x:c r="AQ650" s="24"/>
      <x:c r="AR650" s="24"/>
    </x:row>
    <x:row r="651" spans="41:44" ht="13.19999999999999928946">
      <x:c r="AO651" s="23"/>
      <x:c r="AP651" s="24"/>
      <x:c r="AQ651" s="24"/>
      <x:c r="AR651" s="24"/>
    </x:row>
    <x:row r="652" spans="41:44" ht="13.19999999999999928946">
      <x:c r="AO652" s="23"/>
      <x:c r="AP652" s="24"/>
      <x:c r="AQ652" s="24"/>
      <x:c r="AR652" s="24"/>
    </x:row>
    <x:row r="653" spans="41:44" ht="13.19999999999999928946">
      <x:c r="AO653" s="23"/>
      <x:c r="AP653" s="24"/>
      <x:c r="AQ653" s="24"/>
      <x:c r="AR653" s="24"/>
    </x:row>
    <x:row r="654" spans="41:44" ht="13.19999999999999928946">
      <x:c r="AO654" s="23"/>
      <x:c r="AP654" s="24"/>
      <x:c r="AQ654" s="24"/>
      <x:c r="AR654" s="24"/>
    </x:row>
    <x:row r="655" spans="41:44" ht="13.19999999999999928946">
      <x:c r="AO655" s="23"/>
      <x:c r="AP655" s="24"/>
      <x:c r="AQ655" s="24"/>
      <x:c r="AR655" s="24"/>
    </x:row>
    <x:row r="656" spans="41:44" ht="13.19999999999999928946">
      <x:c r="AO656" s="23"/>
      <x:c r="AP656" s="24"/>
      <x:c r="AQ656" s="24"/>
      <x:c r="AR656" s="24"/>
    </x:row>
    <x:row r="657" spans="41:44" ht="13.19999999999999928946">
      <x:c r="AO657" s="23"/>
      <x:c r="AP657" s="24"/>
      <x:c r="AQ657" s="24"/>
      <x:c r="AR657" s="24"/>
    </x:row>
    <x:row r="658" spans="41:44" ht="13.19999999999999928946">
      <x:c r="AO658" s="23"/>
      <x:c r="AP658" s="24"/>
      <x:c r="AQ658" s="24"/>
      <x:c r="AR658" s="24"/>
    </x:row>
    <x:row r="659" spans="41:44" ht="13.19999999999999928946">
      <x:c r="AO659" s="23"/>
      <x:c r="AP659" s="24"/>
      <x:c r="AQ659" s="24"/>
      <x:c r="AR659" s="24"/>
    </x:row>
    <x:row r="660" spans="41:44" ht="13.19999999999999928946">
      <x:c r="AO660" s="23"/>
      <x:c r="AP660" s="24"/>
      <x:c r="AQ660" s="24"/>
      <x:c r="AR660" s="24"/>
    </x:row>
    <x:row r="661" spans="41:44" ht="13.19999999999999928946">
      <x:c r="AO661" s="23"/>
      <x:c r="AP661" s="24"/>
      <x:c r="AQ661" s="24"/>
      <x:c r="AR661" s="24"/>
    </x:row>
    <x:row r="662" spans="41:44" ht="13.19999999999999928946">
      <x:c r="AO662" s="23"/>
      <x:c r="AP662" s="24"/>
      <x:c r="AQ662" s="24"/>
      <x:c r="AR662" s="24"/>
    </x:row>
    <x:row r="663" spans="41:44" ht="13.19999999999999928946">
      <x:c r="AO663" s="23"/>
      <x:c r="AP663" s="24"/>
      <x:c r="AQ663" s="24"/>
      <x:c r="AR663" s="24"/>
    </x:row>
    <x:row r="664" spans="41:44" ht="13.19999999999999928946">
      <x:c r="AO664" s="23"/>
      <x:c r="AP664" s="24"/>
      <x:c r="AQ664" s="24"/>
      <x:c r="AR664" s="24"/>
    </x:row>
    <x:row r="665" spans="41:44" ht="13.19999999999999928946">
      <x:c r="AO665" s="23"/>
      <x:c r="AP665" s="24"/>
      <x:c r="AQ665" s="24"/>
      <x:c r="AR665" s="24"/>
    </x:row>
    <x:row r="666" spans="41:44" ht="13.19999999999999928946">
      <x:c r="AO666" s="23"/>
      <x:c r="AP666" s="24"/>
      <x:c r="AQ666" s="24"/>
      <x:c r="AR666" s="24"/>
    </x:row>
    <x:row r="667" spans="41:44" ht="13.19999999999999928946">
      <x:c r="AO667" s="23"/>
      <x:c r="AP667" s="24"/>
      <x:c r="AQ667" s="24"/>
      <x:c r="AR667" s="24"/>
    </x:row>
    <x:row r="668" spans="41:44" ht="13.19999999999999928946">
      <x:c r="AO668" s="23"/>
      <x:c r="AP668" s="24"/>
      <x:c r="AQ668" s="24"/>
      <x:c r="AR668" s="24"/>
    </x:row>
    <x:row r="669" spans="41:44" ht="13.19999999999999928946">
      <x:c r="AO669" s="23"/>
      <x:c r="AP669" s="24"/>
      <x:c r="AQ669" s="24"/>
      <x:c r="AR669" s="24"/>
    </x:row>
    <x:row r="670" spans="41:44" ht="13.19999999999999928946">
      <x:c r="AO670" s="23"/>
      <x:c r="AP670" s="24"/>
      <x:c r="AQ670" s="24"/>
      <x:c r="AR670" s="24"/>
    </x:row>
    <x:row r="671" spans="41:44" ht="13.19999999999999928946">
      <x:c r="AO671" s="23"/>
      <x:c r="AP671" s="24"/>
      <x:c r="AQ671" s="24"/>
      <x:c r="AR671" s="24"/>
    </x:row>
    <x:row r="672" spans="41:44" ht="13.19999999999999928946">
      <x:c r="AO672" s="23"/>
      <x:c r="AP672" s="24"/>
      <x:c r="AQ672" s="24"/>
      <x:c r="AR672" s="24"/>
    </x:row>
    <x:row r="673" spans="41:44" ht="13.19999999999999928946">
      <x:c r="AO673" s="23"/>
      <x:c r="AP673" s="24"/>
      <x:c r="AQ673" s="24"/>
      <x:c r="AR673" s="24"/>
    </x:row>
    <x:row r="674" spans="41:44" ht="13.19999999999999928946">
      <x:c r="AO674" s="23"/>
      <x:c r="AP674" s="24"/>
      <x:c r="AQ674" s="24"/>
      <x:c r="AR674" s="24"/>
    </x:row>
    <x:row r="675" spans="41:44" ht="13.19999999999999928946">
      <x:c r="AO675" s="23"/>
      <x:c r="AP675" s="24"/>
      <x:c r="AQ675" s="24"/>
      <x:c r="AR675" s="24"/>
    </x:row>
    <x:row r="676" spans="41:44" ht="13.19999999999999928946">
      <x:c r="AO676" s="23"/>
      <x:c r="AP676" s="24"/>
      <x:c r="AQ676" s="24"/>
      <x:c r="AR676" s="24"/>
    </x:row>
    <x:row r="677" spans="41:44" ht="13.19999999999999928946">
      <x:c r="AO677" s="23"/>
      <x:c r="AP677" s="24"/>
      <x:c r="AQ677" s="24"/>
      <x:c r="AR677" s="24"/>
    </x:row>
    <x:row r="678" spans="41:44" ht="13.19999999999999928946">
      <x:c r="AO678" s="23"/>
      <x:c r="AP678" s="24"/>
      <x:c r="AQ678" s="24"/>
      <x:c r="AR678" s="24"/>
    </x:row>
    <x:row r="679" spans="41:44" ht="13.19999999999999928946">
      <x:c r="AO679" s="23"/>
      <x:c r="AP679" s="24"/>
      <x:c r="AQ679" s="24"/>
      <x:c r="AR679" s="24"/>
    </x:row>
    <x:row r="680" spans="41:44" ht="13.19999999999999928946">
      <x:c r="AO680" s="23"/>
      <x:c r="AP680" s="24"/>
      <x:c r="AQ680" s="24"/>
      <x:c r="AR680" s="24"/>
    </x:row>
    <x:row r="681" spans="41:44" ht="13.19999999999999928946">
      <x:c r="AO681" s="23"/>
      <x:c r="AP681" s="24"/>
      <x:c r="AQ681" s="24"/>
      <x:c r="AR681" s="24"/>
    </x:row>
    <x:row r="682" spans="41:44" ht="13.19999999999999928946">
      <x:c r="AO682" s="23"/>
      <x:c r="AP682" s="24"/>
      <x:c r="AQ682" s="24"/>
      <x:c r="AR682" s="24"/>
    </x:row>
    <x:row r="683" spans="41:44" ht="13.19999999999999928946">
      <x:c r="AO683" s="23"/>
      <x:c r="AP683" s="24"/>
      <x:c r="AQ683" s="24"/>
      <x:c r="AR683" s="24"/>
    </x:row>
    <x:row r="684" spans="41:44" ht="13.19999999999999928946">
      <x:c r="AO684" s="23"/>
      <x:c r="AP684" s="24"/>
      <x:c r="AQ684" s="24"/>
      <x:c r="AR684" s="24"/>
    </x:row>
    <x:row r="685" spans="41:44" ht="13.19999999999999928946">
      <x:c r="AO685" s="23"/>
      <x:c r="AP685" s="24"/>
      <x:c r="AQ685" s="24"/>
      <x:c r="AR685" s="24"/>
    </x:row>
    <x:row r="686" spans="41:44" ht="13.19999999999999928946">
      <x:c r="AO686" s="23"/>
      <x:c r="AP686" s="24"/>
      <x:c r="AQ686" s="24"/>
      <x:c r="AR686" s="24"/>
    </x:row>
    <x:row r="687" spans="41:44" ht="13.19999999999999928946">
      <x:c r="AO687" s="23"/>
      <x:c r="AP687" s="24"/>
      <x:c r="AQ687" s="24"/>
      <x:c r="AR687" s="24"/>
    </x:row>
    <x:row r="688" spans="41:44" ht="13.19999999999999928946">
      <x:c r="AO688" s="23"/>
      <x:c r="AP688" s="24"/>
      <x:c r="AQ688" s="24"/>
      <x:c r="AR688" s="24"/>
    </x:row>
    <x:row r="689" spans="41:44" ht="13.19999999999999928946">
      <x:c r="AO689" s="23"/>
      <x:c r="AP689" s="24"/>
      <x:c r="AQ689" s="24"/>
      <x:c r="AR689" s="24"/>
    </x:row>
    <x:row r="690" spans="41:44" ht="13.19999999999999928946">
      <x:c r="AO690" s="23"/>
      <x:c r="AP690" s="24"/>
      <x:c r="AQ690" s="24"/>
      <x:c r="AR690" s="24"/>
    </x:row>
    <x:row r="691" spans="41:44" ht="13.19999999999999928946">
      <x:c r="AO691" s="23"/>
      <x:c r="AP691" s="24"/>
      <x:c r="AQ691" s="24"/>
      <x:c r="AR691" s="24"/>
    </x:row>
    <x:row r="692" spans="41:44" ht="13.19999999999999928946">
      <x:c r="AO692" s="23"/>
      <x:c r="AP692" s="24"/>
      <x:c r="AQ692" s="24"/>
      <x:c r="AR692" s="24"/>
    </x:row>
    <x:row r="693" spans="41:44" ht="13.19999999999999928946">
      <x:c r="AO693" s="23"/>
      <x:c r="AP693" s="24"/>
      <x:c r="AQ693" s="24"/>
      <x:c r="AR693" s="24"/>
    </x:row>
    <x:row r="694" spans="41:44" ht="13.19999999999999928946">
      <x:c r="AO694" s="23"/>
      <x:c r="AP694" s="24"/>
      <x:c r="AQ694" s="24"/>
      <x:c r="AR694" s="24"/>
    </x:row>
    <x:row r="695" spans="41:44" ht="13.19999999999999928946">
      <x:c r="AO695" s="23"/>
      <x:c r="AP695" s="24"/>
      <x:c r="AQ695" s="24"/>
      <x:c r="AR695" s="24"/>
    </x:row>
    <x:row r="696" spans="41:44" ht="13.19999999999999928946">
      <x:c r="AO696" s="23"/>
      <x:c r="AP696" s="24"/>
      <x:c r="AQ696" s="24"/>
      <x:c r="AR696" s="24"/>
    </x:row>
    <x:row r="697" spans="41:44" ht="13.19999999999999928946">
      <x:c r="AO697" s="23"/>
      <x:c r="AP697" s="24"/>
      <x:c r="AQ697" s="24"/>
      <x:c r="AR697" s="24"/>
    </x:row>
    <x:row r="698" spans="41:44" ht="13.19999999999999928946">
      <x:c r="AO698" s="23"/>
      <x:c r="AP698" s="24"/>
      <x:c r="AQ698" s="24"/>
      <x:c r="AR698" s="24"/>
    </x:row>
    <x:row r="699" spans="41:44" ht="13.19999999999999928946">
      <x:c r="AO699" s="23"/>
      <x:c r="AP699" s="24"/>
      <x:c r="AQ699" s="24"/>
      <x:c r="AR699" s="24"/>
    </x:row>
    <x:row r="700" spans="41:44" ht="13.19999999999999928946">
      <x:c r="AO700" s="23"/>
      <x:c r="AP700" s="24"/>
      <x:c r="AQ700" s="24"/>
      <x:c r="AR700" s="24"/>
    </x:row>
    <x:row r="701" spans="41:44" ht="13.19999999999999928946">
      <x:c r="AO701" s="23"/>
      <x:c r="AP701" s="24"/>
      <x:c r="AQ701" s="24"/>
      <x:c r="AR701" s="24"/>
    </x:row>
    <x:row r="702" spans="41:44" ht="13.19999999999999928946">
      <x:c r="AO702" s="23"/>
      <x:c r="AP702" s="24"/>
      <x:c r="AQ702" s="24"/>
      <x:c r="AR702" s="24"/>
    </x:row>
    <x:row r="703" spans="41:44" ht="13.19999999999999928946">
      <x:c r="AO703" s="23"/>
      <x:c r="AP703" s="24"/>
      <x:c r="AQ703" s="24"/>
      <x:c r="AR703" s="24"/>
    </x:row>
    <x:row r="704" spans="41:44" ht="13.19999999999999928946">
      <x:c r="AO704" s="23"/>
      <x:c r="AP704" s="24"/>
      <x:c r="AQ704" s="24"/>
      <x:c r="AR704" s="24"/>
    </x:row>
    <x:row r="705" spans="41:44" ht="13.19999999999999928946">
      <x:c r="AO705" s="23"/>
      <x:c r="AP705" s="24"/>
      <x:c r="AQ705" s="24"/>
      <x:c r="AR705" s="24"/>
    </x:row>
    <x:row r="706" spans="41:44" ht="13.19999999999999928946">
      <x:c r="AO706" s="23"/>
      <x:c r="AP706" s="24"/>
      <x:c r="AQ706" s="24"/>
      <x:c r="AR706" s="24"/>
    </x:row>
    <x:row r="707" spans="41:44" ht="13.19999999999999928946">
      <x:c r="AO707" s="23"/>
      <x:c r="AP707" s="24"/>
      <x:c r="AQ707" s="24"/>
      <x:c r="AR707" s="24"/>
    </x:row>
    <x:row r="708" spans="41:44" ht="13.19999999999999928946">
      <x:c r="AO708" s="23"/>
      <x:c r="AP708" s="24"/>
      <x:c r="AQ708" s="24"/>
      <x:c r="AR708" s="24"/>
    </x:row>
    <x:row r="709" spans="41:44" ht="13.19999999999999928946">
      <x:c r="AO709" s="23"/>
      <x:c r="AP709" s="24"/>
      <x:c r="AQ709" s="24"/>
      <x:c r="AR709" s="24"/>
    </x:row>
    <x:row r="710" spans="41:44" ht="13.19999999999999928946">
      <x:c r="AO710" s="23"/>
      <x:c r="AP710" s="24"/>
      <x:c r="AQ710" s="24"/>
      <x:c r="AR710" s="24"/>
    </x:row>
    <x:row r="711" spans="41:44" ht="13.19999999999999928946">
      <x:c r="AO711" s="23"/>
      <x:c r="AP711" s="24"/>
      <x:c r="AQ711" s="24"/>
      <x:c r="AR711" s="24"/>
    </x:row>
    <x:row r="712" spans="41:44" ht="13.19999999999999928946">
      <x:c r="AO712" s="23"/>
      <x:c r="AP712" s="24"/>
      <x:c r="AQ712" s="24"/>
      <x:c r="AR712" s="24"/>
    </x:row>
    <x:row r="713" spans="41:44" ht="13.19999999999999928946">
      <x:c r="AO713" s="23"/>
      <x:c r="AP713" s="24"/>
      <x:c r="AQ713" s="24"/>
      <x:c r="AR713" s="24"/>
    </x:row>
    <x:row r="714" spans="41:44" ht="13.19999999999999928946">
      <x:c r="AO714" s="23"/>
      <x:c r="AP714" s="24"/>
      <x:c r="AQ714" s="24"/>
      <x:c r="AR714" s="24"/>
    </x:row>
    <x:row r="715" spans="41:44" ht="13.19999999999999928946">
      <x:c r="AO715" s="23"/>
      <x:c r="AP715" s="24"/>
      <x:c r="AQ715" s="24"/>
      <x:c r="AR715" s="24"/>
    </x:row>
    <x:row r="716" spans="41:44" ht="13.19999999999999928946">
      <x:c r="AO716" s="23"/>
      <x:c r="AP716" s="24"/>
      <x:c r="AQ716" s="24"/>
      <x:c r="AR716" s="24"/>
    </x:row>
    <x:row r="717" spans="41:44" ht="13.19999999999999928946">
      <x:c r="AO717" s="23"/>
      <x:c r="AP717" s="24"/>
      <x:c r="AQ717" s="24"/>
      <x:c r="AR717" s="24"/>
    </x:row>
    <x:row r="718" spans="41:44" ht="13.19999999999999928946">
      <x:c r="AO718" s="23"/>
      <x:c r="AP718" s="24"/>
      <x:c r="AQ718" s="24"/>
      <x:c r="AR718" s="24"/>
    </x:row>
    <x:row r="719" spans="41:44" ht="13.19999999999999928946">
      <x:c r="AO719" s="23"/>
      <x:c r="AP719" s="24"/>
      <x:c r="AQ719" s="24"/>
      <x:c r="AR719" s="24"/>
    </x:row>
    <x:row r="720" spans="41:44" ht="13.19999999999999928946">
      <x:c r="AO720" s="23"/>
      <x:c r="AP720" s="24"/>
      <x:c r="AQ720" s="24"/>
      <x:c r="AR720" s="24"/>
    </x:row>
    <x:row r="721" spans="41:44" ht="13.19999999999999928946">
      <x:c r="AO721" s="23"/>
      <x:c r="AP721" s="24"/>
      <x:c r="AQ721" s="24"/>
      <x:c r="AR721" s="24"/>
    </x:row>
    <x:row r="722" spans="41:44" ht="13.19999999999999928946">
      <x:c r="AO722" s="23"/>
      <x:c r="AP722" s="24"/>
      <x:c r="AQ722" s="24"/>
      <x:c r="AR722" s="24"/>
    </x:row>
    <x:row r="723" spans="41:44" ht="13.19999999999999928946">
      <x:c r="AO723" s="23"/>
      <x:c r="AP723" s="24"/>
      <x:c r="AQ723" s="24"/>
      <x:c r="AR723" s="24"/>
    </x:row>
    <x:row r="724" spans="41:44" ht="13.19999999999999928946">
      <x:c r="AO724" s="23"/>
      <x:c r="AP724" s="24"/>
      <x:c r="AQ724" s="24"/>
      <x:c r="AR724" s="24"/>
    </x:row>
    <x:row r="725" spans="41:44" ht="13.19999999999999928946">
      <x:c r="AO725" s="23"/>
      <x:c r="AP725" s="24"/>
      <x:c r="AQ725" s="24"/>
      <x:c r="AR725" s="24"/>
    </x:row>
    <x:row r="726" spans="41:44" ht="13.19999999999999928946">
      <x:c r="AO726" s="23"/>
      <x:c r="AP726" s="24"/>
      <x:c r="AQ726" s="24"/>
      <x:c r="AR726" s="24"/>
    </x:row>
    <x:row r="727" spans="41:44" ht="13.19999999999999928946">
      <x:c r="AO727" s="23"/>
      <x:c r="AP727" s="24"/>
      <x:c r="AQ727" s="24"/>
      <x:c r="AR727" s="24"/>
    </x:row>
    <x:row r="728" spans="41:44" ht="13.19999999999999928946">
      <x:c r="AO728" s="23"/>
      <x:c r="AP728" s="24"/>
      <x:c r="AQ728" s="24"/>
      <x:c r="AR728" s="24"/>
    </x:row>
    <x:row r="729" spans="41:44" ht="13.19999999999999928946">
      <x:c r="AO729" s="23"/>
      <x:c r="AP729" s="24"/>
      <x:c r="AQ729" s="24"/>
      <x:c r="AR729" s="24"/>
    </x:row>
    <x:row r="730" spans="41:44" ht="13.19999999999999928946">
      <x:c r="AO730" s="23"/>
      <x:c r="AP730" s="24"/>
      <x:c r="AQ730" s="24"/>
      <x:c r="AR730" s="24"/>
    </x:row>
    <x:row r="731" spans="41:44" ht="13.19999999999999928946">
      <x:c r="AO731" s="23"/>
      <x:c r="AP731" s="24"/>
      <x:c r="AQ731" s="24"/>
      <x:c r="AR731" s="24"/>
    </x:row>
    <x:row r="732" spans="41:44" ht="13.19999999999999928946">
      <x:c r="AO732" s="23"/>
      <x:c r="AP732" s="24"/>
      <x:c r="AQ732" s="24"/>
      <x:c r="AR732" s="24"/>
    </x:row>
    <x:row r="733" spans="41:44" ht="13.19999999999999928946">
      <x:c r="AO733" s="23"/>
      <x:c r="AP733" s="24"/>
      <x:c r="AQ733" s="24"/>
      <x:c r="AR733" s="24"/>
    </x:row>
    <x:row r="734" spans="41:44" ht="13.19999999999999928946">
      <x:c r="AO734" s="23"/>
      <x:c r="AP734" s="24"/>
      <x:c r="AQ734" s="24"/>
      <x:c r="AR734" s="24"/>
    </x:row>
    <x:row r="735" spans="41:44" ht="13.19999999999999928946">
      <x:c r="AO735" s="23"/>
      <x:c r="AP735" s="24"/>
      <x:c r="AQ735" s="24"/>
      <x:c r="AR735" s="24"/>
    </x:row>
    <x:row r="736" spans="41:44" ht="13.19999999999999928946">
      <x:c r="AO736" s="23"/>
      <x:c r="AP736" s="24"/>
      <x:c r="AQ736" s="24"/>
      <x:c r="AR736" s="24"/>
    </x:row>
    <x:row r="737" spans="41:44" ht="13.19999999999999928946">
      <x:c r="AO737" s="23"/>
      <x:c r="AP737" s="24"/>
      <x:c r="AQ737" s="24"/>
      <x:c r="AR737" s="24"/>
    </x:row>
    <x:row r="738" spans="41:44" ht="13.19999999999999928946">
      <x:c r="AO738" s="23"/>
      <x:c r="AP738" s="24"/>
      <x:c r="AQ738" s="24"/>
      <x:c r="AR738" s="24"/>
    </x:row>
    <x:row r="739" spans="41:44" ht="13.19999999999999928946">
      <x:c r="AO739" s="23"/>
      <x:c r="AP739" s="24"/>
      <x:c r="AQ739" s="24"/>
      <x:c r="AR739" s="24"/>
    </x:row>
    <x:row r="740" spans="41:44" ht="13.19999999999999928946">
      <x:c r="AO740" s="23"/>
      <x:c r="AP740" s="24"/>
      <x:c r="AQ740" s="24"/>
      <x:c r="AR740" s="24"/>
    </x:row>
    <x:row r="741" spans="41:44" ht="13.19999999999999928946">
      <x:c r="AO741" s="23"/>
      <x:c r="AP741" s="24"/>
      <x:c r="AQ741" s="24"/>
      <x:c r="AR741" s="24"/>
    </x:row>
    <x:row r="742" spans="41:44" ht="13.19999999999999928946">
      <x:c r="AO742" s="23"/>
      <x:c r="AP742" s="24"/>
      <x:c r="AQ742" s="24"/>
      <x:c r="AR742" s="24"/>
    </x:row>
    <x:row r="743" spans="41:44" ht="13.19999999999999928946">
      <x:c r="AO743" s="23"/>
      <x:c r="AP743" s="24"/>
      <x:c r="AQ743" s="24"/>
      <x:c r="AR743" s="24"/>
    </x:row>
    <x:row r="744" spans="41:44" ht="13.19999999999999928946">
      <x:c r="AO744" s="23"/>
      <x:c r="AP744" s="24"/>
      <x:c r="AQ744" s="24"/>
      <x:c r="AR744" s="24"/>
    </x:row>
    <x:row r="745" spans="41:44" ht="13.19999999999999928946">
      <x:c r="AO745" s="23"/>
      <x:c r="AP745" s="24"/>
      <x:c r="AQ745" s="24"/>
      <x:c r="AR745" s="24"/>
    </x:row>
    <x:row r="746" spans="41:44" ht="13.19999999999999928946">
      <x:c r="AO746" s="23"/>
      <x:c r="AP746" s="24"/>
      <x:c r="AQ746" s="24"/>
      <x:c r="AR746" s="24"/>
    </x:row>
    <x:row r="747" spans="41:44" ht="13.19999999999999928946">
      <x:c r="AO747" s="23"/>
      <x:c r="AP747" s="24"/>
      <x:c r="AQ747" s="24"/>
      <x:c r="AR747" s="24"/>
    </x:row>
    <x:row r="748" spans="41:44" ht="13.19999999999999928946">
      <x:c r="AO748" s="23"/>
      <x:c r="AP748" s="24"/>
      <x:c r="AQ748" s="24"/>
      <x:c r="AR748" s="24"/>
    </x:row>
    <x:row r="749" spans="41:44" ht="13.19999999999999928946">
      <x:c r="AO749" s="23"/>
      <x:c r="AP749" s="24"/>
      <x:c r="AQ749" s="24"/>
      <x:c r="AR749" s="24"/>
    </x:row>
    <x:row r="750" spans="41:44" ht="13.19999999999999928946">
      <x:c r="AO750" s="23"/>
      <x:c r="AP750" s="24"/>
      <x:c r="AQ750" s="24"/>
      <x:c r="AR750" s="24"/>
    </x:row>
    <x:row r="751" spans="41:44" ht="13.19999999999999928946">
      <x:c r="AO751" s="23"/>
      <x:c r="AP751" s="24"/>
      <x:c r="AQ751" s="24"/>
      <x:c r="AR751" s="24"/>
    </x:row>
    <x:row r="752" spans="41:44" ht="13.19999999999999928946">
      <x:c r="AO752" s="23"/>
      <x:c r="AP752" s="24"/>
      <x:c r="AQ752" s="24"/>
      <x:c r="AR752" s="24"/>
    </x:row>
    <x:row r="753" spans="41:44" ht="13.19999999999999928946">
      <x:c r="AO753" s="23"/>
      <x:c r="AP753" s="24"/>
      <x:c r="AQ753" s="24"/>
      <x:c r="AR753" s="24"/>
    </x:row>
    <x:row r="754" spans="41:44" ht="13.19999999999999928946">
      <x:c r="AO754" s="23"/>
      <x:c r="AP754" s="24"/>
      <x:c r="AQ754" s="24"/>
      <x:c r="AR754" s="24"/>
    </x:row>
    <x:row r="755" spans="41:44" ht="13.19999999999999928946">
      <x:c r="AO755" s="23"/>
      <x:c r="AP755" s="24"/>
      <x:c r="AQ755" s="24"/>
      <x:c r="AR755" s="24"/>
    </x:row>
    <x:row r="756" spans="41:44" ht="13.19999999999999928946">
      <x:c r="AO756" s="23"/>
      <x:c r="AP756" s="24"/>
      <x:c r="AQ756" s="24"/>
      <x:c r="AR756" s="24"/>
    </x:row>
    <x:row r="757" spans="41:44" ht="13.19999999999999928946">
      <x:c r="AO757" s="23"/>
      <x:c r="AP757" s="24"/>
      <x:c r="AQ757" s="24"/>
      <x:c r="AR757" s="24"/>
    </x:row>
    <x:row r="758" spans="41:44" ht="13.19999999999999928946">
      <x:c r="AO758" s="23"/>
      <x:c r="AP758" s="24"/>
      <x:c r="AQ758" s="24"/>
      <x:c r="AR758" s="24"/>
    </x:row>
    <x:row r="759" spans="41:44" ht="13.19999999999999928946">
      <x:c r="AO759" s="23"/>
      <x:c r="AP759" s="24"/>
      <x:c r="AQ759" s="24"/>
      <x:c r="AR759" s="24"/>
    </x:row>
    <x:row r="760" spans="41:44" ht="13.19999999999999928946">
      <x:c r="AO760" s="23"/>
      <x:c r="AP760" s="24"/>
      <x:c r="AQ760" s="24"/>
      <x:c r="AR760" s="24"/>
    </x:row>
    <x:row r="761" spans="41:44" ht="13.19999999999999928946">
      <x:c r="AO761" s="23"/>
      <x:c r="AP761" s="24"/>
      <x:c r="AQ761" s="24"/>
      <x:c r="AR761" s="24"/>
    </x:row>
    <x:row r="762" spans="41:44" ht="13.19999999999999928946">
      <x:c r="AO762" s="23"/>
      <x:c r="AP762" s="24"/>
      <x:c r="AQ762" s="24"/>
      <x:c r="AR762" s="24"/>
    </x:row>
    <x:row r="763" spans="41:44" ht="13.19999999999999928946">
      <x:c r="AO763" s="23"/>
      <x:c r="AP763" s="24"/>
      <x:c r="AQ763" s="24"/>
      <x:c r="AR763" s="24"/>
    </x:row>
    <x:row r="764" spans="41:44" ht="13.19999999999999928946">
      <x:c r="AO764" s="23"/>
      <x:c r="AP764" s="24"/>
      <x:c r="AQ764" s="24"/>
      <x:c r="AR764" s="24"/>
    </x:row>
    <x:row r="765" spans="41:44" ht="13.19999999999999928946">
      <x:c r="AO765" s="23"/>
      <x:c r="AP765" s="24"/>
      <x:c r="AQ765" s="24"/>
      <x:c r="AR765" s="24"/>
    </x:row>
    <x:row r="766" spans="41:44" ht="13.19999999999999928946">
      <x:c r="AO766" s="23"/>
      <x:c r="AP766" s="24"/>
      <x:c r="AQ766" s="24"/>
      <x:c r="AR766" s="24"/>
    </x:row>
    <x:row r="767" spans="41:44" ht="13.19999999999999928946">
      <x:c r="AO767" s="23"/>
      <x:c r="AP767" s="24"/>
      <x:c r="AQ767" s="24"/>
      <x:c r="AR767" s="24"/>
    </x:row>
    <x:row r="768" spans="41:44" ht="13.19999999999999928946">
      <x:c r="AO768" s="23"/>
      <x:c r="AP768" s="24"/>
      <x:c r="AQ768" s="24"/>
      <x:c r="AR768" s="24"/>
    </x:row>
    <x:row r="769" spans="41:44" ht="13.19999999999999928946">
      <x:c r="AO769" s="23"/>
      <x:c r="AP769" s="24"/>
      <x:c r="AQ769" s="24"/>
      <x:c r="AR769" s="24"/>
    </x:row>
    <x:row r="770" spans="41:44" ht="13.19999999999999928946">
      <x:c r="AO770" s="23"/>
      <x:c r="AP770" s="24"/>
      <x:c r="AQ770" s="24"/>
      <x:c r="AR770" s="24"/>
    </x:row>
    <x:row r="771" spans="41:44" ht="13.19999999999999928946">
      <x:c r="AO771" s="23"/>
      <x:c r="AP771" s="24"/>
      <x:c r="AQ771" s="24"/>
      <x:c r="AR771" s="24"/>
    </x:row>
    <x:row r="772" spans="41:44" ht="13.19999999999999928946">
      <x:c r="AO772" s="23"/>
      <x:c r="AP772" s="24"/>
      <x:c r="AQ772" s="24"/>
      <x:c r="AR772" s="24"/>
    </x:row>
    <x:row r="773" spans="41:44" ht="13.19999999999999928946">
      <x:c r="AO773" s="23"/>
      <x:c r="AP773" s="24"/>
      <x:c r="AQ773" s="24"/>
      <x:c r="AR773" s="24"/>
    </x:row>
    <x:row r="774" spans="41:44" ht="13.19999999999999928946">
      <x:c r="AO774" s="23"/>
      <x:c r="AP774" s="24"/>
      <x:c r="AQ774" s="24"/>
      <x:c r="AR774" s="24"/>
    </x:row>
    <x:row r="775" spans="41:44" ht="13.19999999999999928946">
      <x:c r="AO775" s="23"/>
      <x:c r="AP775" s="24"/>
      <x:c r="AQ775" s="24"/>
      <x:c r="AR775" s="24"/>
    </x:row>
    <x:row r="776" spans="41:44" ht="13.19999999999999928946">
      <x:c r="AO776" s="23"/>
      <x:c r="AP776" s="24"/>
      <x:c r="AQ776" s="24"/>
      <x:c r="AR776" s="24"/>
    </x:row>
    <x:row r="777" spans="41:44" ht="13.19999999999999928946">
      <x:c r="AO777" s="23"/>
      <x:c r="AP777" s="24"/>
      <x:c r="AQ777" s="24"/>
      <x:c r="AR777" s="24"/>
    </x:row>
    <x:row r="778" spans="41:44" ht="13.19999999999999928946">
      <x:c r="AO778" s="23"/>
      <x:c r="AP778" s="24"/>
      <x:c r="AQ778" s="24"/>
      <x:c r="AR778" s="24"/>
    </x:row>
    <x:row r="779" spans="41:44" ht="13.19999999999999928946">
      <x:c r="AO779" s="23"/>
      <x:c r="AP779" s="24"/>
      <x:c r="AQ779" s="24"/>
      <x:c r="AR779" s="24"/>
    </x:row>
    <x:row r="780" spans="41:44" ht="13.19999999999999928946">
      <x:c r="AO780" s="23"/>
      <x:c r="AP780" s="24"/>
      <x:c r="AQ780" s="24"/>
      <x:c r="AR780" s="24"/>
    </x:row>
    <x:row r="781" spans="41:44" ht="13.19999999999999928946">
      <x:c r="AO781" s="23"/>
      <x:c r="AP781" s="24"/>
      <x:c r="AQ781" s="24"/>
      <x:c r="AR781" s="24"/>
    </x:row>
    <x:row r="782" spans="41:44" ht="13.19999999999999928946">
      <x:c r="AO782" s="23"/>
      <x:c r="AP782" s="24"/>
      <x:c r="AQ782" s="24"/>
      <x:c r="AR782" s="24"/>
    </x:row>
    <x:row r="783" spans="41:44" ht="13.19999999999999928946">
      <x:c r="AO783" s="23"/>
      <x:c r="AP783" s="24"/>
      <x:c r="AQ783" s="24"/>
      <x:c r="AR783" s="24"/>
    </x:row>
    <x:row r="784" spans="41:44" ht="13.19999999999999928946">
      <x:c r="AO784" s="23"/>
      <x:c r="AP784" s="24"/>
      <x:c r="AQ784" s="24"/>
      <x:c r="AR784" s="24"/>
    </x:row>
    <x:row r="785" spans="41:44" ht="13.19999999999999928946">
      <x:c r="AO785" s="23"/>
      <x:c r="AP785" s="24"/>
      <x:c r="AQ785" s="24"/>
      <x:c r="AR785" s="24"/>
    </x:row>
    <x:row r="786" spans="41:44" ht="13.19999999999999928946">
      <x:c r="AO786" s="23"/>
      <x:c r="AP786" s="24"/>
      <x:c r="AQ786" s="24"/>
      <x:c r="AR786" s="24"/>
    </x:row>
    <x:row r="787" spans="41:44" ht="13.19999999999999928946">
      <x:c r="AO787" s="23"/>
      <x:c r="AP787" s="24"/>
      <x:c r="AQ787" s="24"/>
      <x:c r="AR787" s="24"/>
    </x:row>
    <x:row r="788" spans="41:44" ht="13.19999999999999928946">
      <x:c r="AO788" s="23"/>
      <x:c r="AP788" s="24"/>
      <x:c r="AQ788" s="24"/>
      <x:c r="AR788" s="24"/>
    </x:row>
    <x:row r="789" spans="41:44" ht="13.19999999999999928946">
      <x:c r="AO789" s="23"/>
      <x:c r="AP789" s="24"/>
      <x:c r="AQ789" s="24"/>
      <x:c r="AR789" s="24"/>
    </x:row>
    <x:row r="790" spans="41:44" ht="13.19999999999999928946">
      <x:c r="AO790" s="23"/>
      <x:c r="AP790" s="24"/>
      <x:c r="AQ790" s="24"/>
      <x:c r="AR790" s="24"/>
    </x:row>
    <x:row r="791" spans="41:44" ht="13.19999999999999928946">
      <x:c r="AO791" s="23"/>
      <x:c r="AP791" s="24"/>
      <x:c r="AQ791" s="24"/>
      <x:c r="AR791" s="24"/>
    </x:row>
    <x:row r="792" spans="41:44" ht="13.19999999999999928946">
      <x:c r="AO792" s="23"/>
      <x:c r="AP792" s="24"/>
      <x:c r="AQ792" s="24"/>
      <x:c r="AR792" s="24"/>
    </x:row>
    <x:row r="793" spans="41:44" ht="13.19999999999999928946">
      <x:c r="AO793" s="23"/>
      <x:c r="AP793" s="24"/>
      <x:c r="AQ793" s="24"/>
      <x:c r="AR793" s="24"/>
    </x:row>
    <x:row r="794" spans="41:44" ht="13.19999999999999928946">
      <x:c r="AO794" s="23"/>
      <x:c r="AP794" s="24"/>
      <x:c r="AQ794" s="24"/>
      <x:c r="AR794" s="24"/>
    </x:row>
    <x:row r="795" spans="41:44" ht="13.19999999999999928946">
      <x:c r="AO795" s="23"/>
      <x:c r="AP795" s="24"/>
      <x:c r="AQ795" s="24"/>
      <x:c r="AR795" s="24"/>
    </x:row>
    <x:row r="796" spans="41:44" ht="13.19999999999999928946">
      <x:c r="AO796" s="23"/>
      <x:c r="AP796" s="24"/>
      <x:c r="AQ796" s="24"/>
      <x:c r="AR796" s="24"/>
    </x:row>
    <x:row r="797" spans="41:44" ht="13.19999999999999928946">
      <x:c r="AO797" s="23"/>
      <x:c r="AP797" s="24"/>
      <x:c r="AQ797" s="24"/>
      <x:c r="AR797" s="24"/>
    </x:row>
    <x:row r="798" spans="41:44" ht="13.19999999999999928946">
      <x:c r="AO798" s="23"/>
      <x:c r="AP798" s="24"/>
      <x:c r="AQ798" s="24"/>
      <x:c r="AR798" s="24"/>
    </x:row>
    <x:row r="799" spans="41:44" ht="13.19999999999999928946">
      <x:c r="AO799" s="23"/>
      <x:c r="AP799" s="24"/>
      <x:c r="AQ799" s="24"/>
      <x:c r="AR799" s="24"/>
    </x:row>
    <x:row r="800" spans="41:44" ht="13.19999999999999928946">
      <x:c r="AO800" s="23"/>
      <x:c r="AP800" s="24"/>
      <x:c r="AQ800" s="24"/>
      <x:c r="AR800" s="24"/>
    </x:row>
    <x:row r="801" spans="41:44" ht="13.19999999999999928946">
      <x:c r="AO801" s="23"/>
      <x:c r="AP801" s="24"/>
      <x:c r="AQ801" s="24"/>
      <x:c r="AR801" s="24"/>
    </x:row>
    <x:row r="802" spans="41:44" ht="13.19999999999999928946">
      <x:c r="AO802" s="23"/>
      <x:c r="AP802" s="24"/>
      <x:c r="AQ802" s="24"/>
      <x:c r="AR802" s="24"/>
    </x:row>
    <x:row r="803" spans="41:44" ht="13.19999999999999928946">
      <x:c r="AO803" s="23"/>
      <x:c r="AP803" s="24"/>
      <x:c r="AQ803" s="24"/>
      <x:c r="AR803" s="24"/>
    </x:row>
    <x:row r="804" spans="41:44" ht="13.19999999999999928946">
      <x:c r="AO804" s="23"/>
      <x:c r="AP804" s="24"/>
      <x:c r="AQ804" s="24"/>
      <x:c r="AR804" s="24"/>
    </x:row>
    <x:row r="805" spans="41:44" ht="13.19999999999999928946">
      <x:c r="AO805" s="23"/>
      <x:c r="AP805" s="24"/>
      <x:c r="AQ805" s="24"/>
      <x:c r="AR805" s="24"/>
    </x:row>
    <x:row r="806" spans="41:44" ht="13.19999999999999928946">
      <x:c r="AO806" s="23"/>
      <x:c r="AP806" s="24"/>
      <x:c r="AQ806" s="24"/>
      <x:c r="AR806" s="24"/>
    </x:row>
    <x:row r="807" spans="41:44" ht="13.19999999999999928946">
      <x:c r="AO807" s="23"/>
      <x:c r="AP807" s="24"/>
      <x:c r="AQ807" s="24"/>
      <x:c r="AR807" s="24"/>
    </x:row>
    <x:row r="808" spans="41:44" ht="13.19999999999999928946">
      <x:c r="AO808" s="23"/>
      <x:c r="AP808" s="24"/>
      <x:c r="AQ808" s="24"/>
      <x:c r="AR808" s="24"/>
    </x:row>
    <x:row r="809" spans="41:44" ht="13.19999999999999928946">
      <x:c r="AO809" s="23"/>
      <x:c r="AP809" s="24"/>
      <x:c r="AQ809" s="24"/>
      <x:c r="AR809" s="24"/>
    </x:row>
    <x:row r="810" spans="41:44" ht="13.19999999999999928946">
      <x:c r="AO810" s="23"/>
      <x:c r="AP810" s="24"/>
      <x:c r="AQ810" s="24"/>
      <x:c r="AR810" s="24"/>
    </x:row>
    <x:row r="811" spans="41:44" ht="13.19999999999999928946">
      <x:c r="AO811" s="23"/>
      <x:c r="AP811" s="24"/>
      <x:c r="AQ811" s="24"/>
      <x:c r="AR811" s="24"/>
    </x:row>
    <x:row r="812" spans="41:44" ht="13.19999999999999928946">
      <x:c r="AO812" s="23"/>
      <x:c r="AP812" s="24"/>
      <x:c r="AQ812" s="24"/>
      <x:c r="AR812" s="24"/>
    </x:row>
    <x:row r="813" spans="41:44" ht="13.19999999999999928946">
      <x:c r="AO813" s="23"/>
      <x:c r="AP813" s="24"/>
      <x:c r="AQ813" s="24"/>
      <x:c r="AR813" s="24"/>
    </x:row>
    <x:row r="814" spans="41:44" ht="13.19999999999999928946">
      <x:c r="AO814" s="23"/>
      <x:c r="AP814" s="24"/>
      <x:c r="AQ814" s="24"/>
      <x:c r="AR814" s="24"/>
    </x:row>
    <x:row r="815" spans="41:44" ht="13.19999999999999928946">
      <x:c r="AO815" s="23"/>
      <x:c r="AP815" s="24"/>
      <x:c r="AQ815" s="24"/>
      <x:c r="AR815" s="24"/>
    </x:row>
    <x:row r="816" spans="41:44" ht="13.19999999999999928946">
      <x:c r="AO816" s="23"/>
      <x:c r="AP816" s="24"/>
      <x:c r="AQ816" s="24"/>
      <x:c r="AR816" s="24"/>
    </x:row>
    <x:row r="817" spans="41:44" ht="13.19999999999999928946">
      <x:c r="AO817" s="23"/>
      <x:c r="AP817" s="24"/>
      <x:c r="AQ817" s="24"/>
      <x:c r="AR817" s="24"/>
    </x:row>
    <x:row r="818" spans="41:44" ht="13.19999999999999928946">
      <x:c r="AO818" s="23"/>
      <x:c r="AP818" s="24"/>
      <x:c r="AQ818" s="24"/>
      <x:c r="AR818" s="24"/>
    </x:row>
    <x:row r="819" spans="41:44" ht="13.19999999999999928946">
      <x:c r="AO819" s="23"/>
      <x:c r="AP819" s="24"/>
      <x:c r="AQ819" s="24"/>
      <x:c r="AR819" s="24"/>
    </x:row>
    <x:row r="820" spans="41:44" ht="13.19999999999999928946">
      <x:c r="AO820" s="23"/>
      <x:c r="AP820" s="24"/>
      <x:c r="AQ820" s="24"/>
      <x:c r="AR820" s="24"/>
    </x:row>
    <x:row r="821" spans="41:44" ht="13.19999999999999928946">
      <x:c r="AO821" s="23"/>
      <x:c r="AP821" s="24"/>
      <x:c r="AQ821" s="24"/>
      <x:c r="AR821" s="24"/>
    </x:row>
    <x:row r="822" spans="41:44" ht="13.19999999999999928946">
      <x:c r="AO822" s="23"/>
      <x:c r="AP822" s="24"/>
      <x:c r="AQ822" s="24"/>
      <x:c r="AR822" s="24"/>
    </x:row>
    <x:row r="823" spans="41:44" ht="13.19999999999999928946">
      <x:c r="AO823" s="23"/>
      <x:c r="AP823" s="24"/>
      <x:c r="AQ823" s="24"/>
      <x:c r="AR823" s="24"/>
    </x:row>
    <x:row r="824" spans="41:44" ht="13.19999999999999928946">
      <x:c r="AO824" s="23"/>
      <x:c r="AP824" s="24"/>
      <x:c r="AQ824" s="24"/>
      <x:c r="AR824" s="24"/>
    </x:row>
    <x:row r="825" spans="41:44" ht="13.19999999999999928946">
      <x:c r="AO825" s="23"/>
      <x:c r="AP825" s="24"/>
      <x:c r="AQ825" s="24"/>
      <x:c r="AR825" s="24"/>
    </x:row>
    <x:row r="826" spans="41:44" ht="13.19999999999999928946">
      <x:c r="AO826" s="23"/>
      <x:c r="AP826" s="24"/>
      <x:c r="AQ826" s="24"/>
      <x:c r="AR826" s="24"/>
    </x:row>
    <x:row r="827" spans="41:44" ht="13.19999999999999928946">
      <x:c r="AO827" s="23"/>
      <x:c r="AP827" s="24"/>
      <x:c r="AQ827" s="24"/>
      <x:c r="AR827" s="24"/>
    </x:row>
    <x:row r="828" spans="41:44" ht="13.19999999999999928946">
      <x:c r="AO828" s="23"/>
      <x:c r="AP828" s="24"/>
      <x:c r="AQ828" s="24"/>
      <x:c r="AR828" s="24"/>
    </x:row>
    <x:row r="829" spans="41:44" ht="13.19999999999999928946">
      <x:c r="AO829" s="23"/>
      <x:c r="AP829" s="24"/>
      <x:c r="AQ829" s="24"/>
      <x:c r="AR829" s="24"/>
    </x:row>
    <x:row r="830" spans="41:44" ht="13.19999999999999928946">
      <x:c r="AO830" s="23"/>
      <x:c r="AP830" s="24"/>
      <x:c r="AQ830" s="24"/>
      <x:c r="AR830" s="24"/>
    </x:row>
    <x:row r="831" spans="41:44" ht="13.19999999999999928946">
      <x:c r="AO831" s="23"/>
      <x:c r="AP831" s="24"/>
      <x:c r="AQ831" s="24"/>
      <x:c r="AR831" s="24"/>
    </x:row>
    <x:row r="832" spans="41:44" ht="13.19999999999999928946">
      <x:c r="AO832" s="23"/>
      <x:c r="AP832" s="24"/>
      <x:c r="AQ832" s="24"/>
      <x:c r="AR832" s="24"/>
    </x:row>
    <x:row r="833" spans="41:44" ht="13.19999999999999928946">
      <x:c r="AO833" s="23"/>
      <x:c r="AP833" s="24"/>
      <x:c r="AQ833" s="24"/>
      <x:c r="AR833" s="24"/>
    </x:row>
    <x:row r="834" spans="41:44" ht="13.19999999999999928946">
      <x:c r="AO834" s="23"/>
      <x:c r="AP834" s="24"/>
      <x:c r="AQ834" s="24"/>
      <x:c r="AR834" s="24"/>
    </x:row>
    <x:row r="835" spans="41:44" ht="13.19999999999999928946">
      <x:c r="AO835" s="23"/>
      <x:c r="AP835" s="24"/>
      <x:c r="AQ835" s="24"/>
      <x:c r="AR835" s="24"/>
    </x:row>
    <x:row r="836" spans="41:44" ht="13.19999999999999928946">
      <x:c r="AO836" s="23"/>
      <x:c r="AP836" s="24"/>
      <x:c r="AQ836" s="24"/>
      <x:c r="AR836" s="24"/>
    </x:row>
    <x:row r="837" spans="41:44" ht="13.19999999999999928946">
      <x:c r="AO837" s="23"/>
      <x:c r="AP837" s="24"/>
      <x:c r="AQ837" s="24"/>
      <x:c r="AR837" s="24"/>
    </x:row>
    <x:row r="838" spans="41:44" ht="13.19999999999999928946">
      <x:c r="AO838" s="23"/>
      <x:c r="AP838" s="24"/>
      <x:c r="AQ838" s="24"/>
      <x:c r="AR838" s="24"/>
    </x:row>
    <x:row r="839" spans="41:44" ht="13.19999999999999928946">
      <x:c r="AO839" s="23"/>
      <x:c r="AP839" s="24"/>
      <x:c r="AQ839" s="24"/>
      <x:c r="AR839" s="24"/>
    </x:row>
    <x:row r="840" spans="41:44" ht="13.19999999999999928946">
      <x:c r="AO840" s="23"/>
      <x:c r="AP840" s="24"/>
      <x:c r="AQ840" s="24"/>
      <x:c r="AR840" s="24"/>
    </x:row>
    <x:row r="841" spans="41:44" ht="13.19999999999999928946">
      <x:c r="AO841" s="23"/>
      <x:c r="AP841" s="24"/>
      <x:c r="AQ841" s="24"/>
      <x:c r="AR841" s="24"/>
    </x:row>
    <x:row r="842" spans="41:44" ht="13.19999999999999928946">
      <x:c r="AO842" s="23"/>
      <x:c r="AP842" s="24"/>
      <x:c r="AQ842" s="24"/>
      <x:c r="AR842" s="24"/>
    </x:row>
    <x:row r="843" spans="41:44" ht="13.19999999999999928946">
      <x:c r="AO843" s="23"/>
      <x:c r="AP843" s="24"/>
      <x:c r="AQ843" s="24"/>
      <x:c r="AR843" s="24"/>
    </x:row>
    <x:row r="844" spans="41:44" ht="13.19999999999999928946">
      <x:c r="AO844" s="23"/>
      <x:c r="AP844" s="24"/>
      <x:c r="AQ844" s="24"/>
      <x:c r="AR844" s="24"/>
    </x:row>
    <x:row r="845" spans="41:44" ht="13.19999999999999928946">
      <x:c r="AO845" s="23"/>
      <x:c r="AP845" s="24"/>
      <x:c r="AQ845" s="24"/>
      <x:c r="AR845" s="24"/>
    </x:row>
    <x:row r="846" spans="41:44" ht="13.19999999999999928946">
      <x:c r="AO846" s="23"/>
      <x:c r="AP846" s="24"/>
      <x:c r="AQ846" s="24"/>
      <x:c r="AR846" s="24"/>
    </x:row>
    <x:row r="847" spans="41:44" ht="13.19999999999999928946">
      <x:c r="AO847" s="23"/>
      <x:c r="AP847" s="24"/>
      <x:c r="AQ847" s="24"/>
      <x:c r="AR847" s="24"/>
    </x:row>
    <x:row r="848" spans="41:44" ht="13.19999999999999928946">
      <x:c r="AO848" s="23"/>
      <x:c r="AP848" s="24"/>
      <x:c r="AQ848" s="24"/>
      <x:c r="AR848" s="24"/>
    </x:row>
    <x:row r="849" spans="41:44" ht="13.19999999999999928946">
      <x:c r="AO849" s="23"/>
      <x:c r="AP849" s="24"/>
      <x:c r="AQ849" s="24"/>
      <x:c r="AR849" s="24"/>
    </x:row>
    <x:row r="850" spans="41:44" ht="13.19999999999999928946">
      <x:c r="AO850" s="23"/>
      <x:c r="AP850" s="24"/>
      <x:c r="AQ850" s="24"/>
      <x:c r="AR850" s="24"/>
    </x:row>
    <x:row r="851" spans="41:44" ht="13.19999999999999928946">
      <x:c r="AO851" s="23"/>
      <x:c r="AP851" s="24"/>
      <x:c r="AQ851" s="24"/>
      <x:c r="AR851" s="24"/>
    </x:row>
    <x:row r="852" spans="41:44" ht="13.19999999999999928946">
      <x:c r="AO852" s="23"/>
      <x:c r="AP852" s="24"/>
      <x:c r="AQ852" s="24"/>
      <x:c r="AR852" s="24"/>
    </x:row>
    <x:row r="853" spans="41:44" ht="13.19999999999999928946">
      <x:c r="AO853" s="23"/>
      <x:c r="AP853" s="24"/>
      <x:c r="AQ853" s="24"/>
      <x:c r="AR853" s="24"/>
    </x:row>
    <x:row r="854" spans="41:44" ht="13.19999999999999928946">
      <x:c r="AO854" s="23"/>
      <x:c r="AP854" s="24"/>
      <x:c r="AQ854" s="24"/>
      <x:c r="AR854" s="24"/>
    </x:row>
    <x:row r="855" spans="41:44" ht="13.19999999999999928946">
      <x:c r="AO855" s="23"/>
      <x:c r="AP855" s="24"/>
      <x:c r="AQ855" s="24"/>
      <x:c r="AR855" s="24"/>
    </x:row>
    <x:row r="856" spans="41:44" ht="13.19999999999999928946">
      <x:c r="AO856" s="23"/>
      <x:c r="AP856" s="24"/>
      <x:c r="AQ856" s="24"/>
      <x:c r="AR856" s="24"/>
    </x:row>
    <x:row r="857" spans="41:44" ht="13.19999999999999928946">
      <x:c r="AO857" s="23"/>
      <x:c r="AP857" s="24"/>
      <x:c r="AQ857" s="24"/>
      <x:c r="AR857" s="24"/>
    </x:row>
    <x:row r="858" spans="41:44" ht="13.19999999999999928946">
      <x:c r="AO858" s="23"/>
      <x:c r="AP858" s="24"/>
      <x:c r="AQ858" s="24"/>
      <x:c r="AR858" s="24"/>
    </x:row>
    <x:row r="859" spans="41:44" ht="13.19999999999999928946">
      <x:c r="AO859" s="23"/>
      <x:c r="AP859" s="24"/>
      <x:c r="AQ859" s="24"/>
      <x:c r="AR859" s="24"/>
    </x:row>
    <x:row r="860" spans="41:44" ht="13.19999999999999928946">
      <x:c r="AO860" s="23"/>
      <x:c r="AP860" s="24"/>
      <x:c r="AQ860" s="24"/>
      <x:c r="AR860" s="24"/>
    </x:row>
    <x:row r="861" spans="41:44" ht="13.19999999999999928946">
      <x:c r="AO861" s="23"/>
      <x:c r="AP861" s="24"/>
      <x:c r="AQ861" s="24"/>
      <x:c r="AR861" s="24"/>
    </x:row>
    <x:row r="862" spans="41:44" ht="13.19999999999999928946">
      <x:c r="AO862" s="23"/>
      <x:c r="AP862" s="24"/>
      <x:c r="AQ862" s="24"/>
      <x:c r="AR862" s="24"/>
    </x:row>
    <x:row r="863" spans="41:44" ht="13.19999999999999928946">
      <x:c r="AO863" s="23"/>
      <x:c r="AP863" s="24"/>
      <x:c r="AQ863" s="24"/>
      <x:c r="AR863" s="24"/>
    </x:row>
    <x:row r="864" spans="41:44" ht="13.19999999999999928946">
      <x:c r="AO864" s="23"/>
      <x:c r="AP864" s="24"/>
      <x:c r="AQ864" s="24"/>
      <x:c r="AR864" s="24"/>
    </x:row>
    <x:row r="865" spans="41:44" ht="13.19999999999999928946">
      <x:c r="AO865" s="23"/>
      <x:c r="AP865" s="24"/>
      <x:c r="AQ865" s="24"/>
      <x:c r="AR865" s="24"/>
    </x:row>
    <x:row r="866" spans="41:44" ht="13.19999999999999928946">
      <x:c r="AO866" s="23"/>
      <x:c r="AP866" s="24"/>
      <x:c r="AQ866" s="24"/>
      <x:c r="AR866" s="24"/>
    </x:row>
    <x:row r="867" spans="41:44" ht="13.19999999999999928946">
      <x:c r="AO867" s="23"/>
      <x:c r="AP867" s="24"/>
      <x:c r="AQ867" s="24"/>
      <x:c r="AR867" s="24"/>
    </x:row>
    <x:row r="868" spans="41:44" ht="13.19999999999999928946">
      <x:c r="AO868" s="23"/>
      <x:c r="AP868" s="24"/>
      <x:c r="AQ868" s="24"/>
      <x:c r="AR868" s="24"/>
    </x:row>
    <x:row r="869" spans="41:44" ht="13.19999999999999928946">
      <x:c r="AO869" s="23"/>
      <x:c r="AP869" s="24"/>
      <x:c r="AQ869" s="24"/>
      <x:c r="AR869" s="24"/>
    </x:row>
    <x:row r="870" spans="41:44" ht="13.19999999999999928946">
      <x:c r="AO870" s="23"/>
      <x:c r="AP870" s="24"/>
      <x:c r="AQ870" s="24"/>
      <x:c r="AR870" s="24"/>
    </x:row>
    <x:row r="871" spans="41:44" ht="13.19999999999999928946">
      <x:c r="AO871" s="23"/>
      <x:c r="AP871" s="24"/>
      <x:c r="AQ871" s="24"/>
      <x:c r="AR871" s="24"/>
    </x:row>
    <x:row r="872" spans="41:44" ht="13.19999999999999928946">
      <x:c r="AO872" s="23"/>
      <x:c r="AP872" s="24"/>
      <x:c r="AQ872" s="24"/>
      <x:c r="AR872" s="24"/>
    </x:row>
    <x:row r="873" spans="41:44" ht="13.19999999999999928946">
      <x:c r="AO873" s="23"/>
      <x:c r="AP873" s="24"/>
      <x:c r="AQ873" s="24"/>
      <x:c r="AR873" s="24"/>
    </x:row>
    <x:row r="874" spans="41:44" ht="13.19999999999999928946">
      <x:c r="AO874" s="23"/>
      <x:c r="AP874" s="24"/>
      <x:c r="AQ874" s="24"/>
      <x:c r="AR874" s="24"/>
    </x:row>
    <x:row r="875" spans="41:44" ht="13.19999999999999928946">
      <x:c r="AO875" s="23"/>
      <x:c r="AP875" s="24"/>
      <x:c r="AQ875" s="24"/>
      <x:c r="AR875" s="24"/>
    </x:row>
    <x:row r="876" spans="41:44" ht="13.19999999999999928946">
      <x:c r="AO876" s="23"/>
      <x:c r="AP876" s="24"/>
      <x:c r="AQ876" s="24"/>
      <x:c r="AR876" s="24"/>
    </x:row>
    <x:row r="877" spans="41:44" ht="13.19999999999999928946">
      <x:c r="AO877" s="23"/>
      <x:c r="AP877" s="24"/>
      <x:c r="AQ877" s="24"/>
      <x:c r="AR877" s="24"/>
    </x:row>
    <x:row r="878" spans="41:44" ht="13.19999999999999928946">
      <x:c r="AO878" s="23"/>
      <x:c r="AP878" s="24"/>
      <x:c r="AQ878" s="24"/>
      <x:c r="AR878" s="24"/>
    </x:row>
    <x:row r="879" spans="41:44" ht="13.19999999999999928946">
      <x:c r="AO879" s="23"/>
      <x:c r="AP879" s="24"/>
      <x:c r="AQ879" s="24"/>
      <x:c r="AR879" s="24"/>
    </x:row>
    <x:row r="880" spans="41:44" ht="13.19999999999999928946">
      <x:c r="AO880" s="23"/>
      <x:c r="AP880" s="24"/>
      <x:c r="AQ880" s="24"/>
      <x:c r="AR880" s="24"/>
    </x:row>
    <x:row r="881" spans="41:44" ht="13.19999999999999928946">
      <x:c r="AO881" s="23"/>
      <x:c r="AP881" s="24"/>
      <x:c r="AQ881" s="24"/>
      <x:c r="AR881" s="24"/>
    </x:row>
    <x:row r="882" spans="41:44" ht="13.19999999999999928946">
      <x:c r="AO882" s="23"/>
      <x:c r="AP882" s="24"/>
      <x:c r="AQ882" s="24"/>
      <x:c r="AR882" s="24"/>
    </x:row>
    <x:row r="883" spans="41:44" ht="13.19999999999999928946">
      <x:c r="AO883" s="23"/>
      <x:c r="AP883" s="24"/>
      <x:c r="AQ883" s="24"/>
      <x:c r="AR883" s="24"/>
    </x:row>
    <x:row r="884" spans="41:44" ht="13.19999999999999928946">
      <x:c r="AO884" s="23"/>
      <x:c r="AP884" s="24"/>
      <x:c r="AQ884" s="24"/>
      <x:c r="AR884" s="24"/>
    </x:row>
    <x:row r="885" spans="41:44" ht="13.19999999999999928946">
      <x:c r="AO885" s="23"/>
      <x:c r="AP885" s="24"/>
      <x:c r="AQ885" s="24"/>
      <x:c r="AR885" s="24"/>
    </x:row>
    <x:row r="886" spans="41:44" ht="13.19999999999999928946">
      <x:c r="AO886" s="23"/>
      <x:c r="AP886" s="24"/>
      <x:c r="AQ886" s="24"/>
      <x:c r="AR886" s="24"/>
    </x:row>
    <x:row r="887" spans="41:44" ht="13.19999999999999928946">
      <x:c r="AO887" s="23"/>
      <x:c r="AP887" s="24"/>
      <x:c r="AQ887" s="24"/>
      <x:c r="AR887" s="24"/>
    </x:row>
    <x:row r="888" spans="41:44" ht="13.19999999999999928946">
      <x:c r="AO888" s="23"/>
      <x:c r="AP888" s="24"/>
      <x:c r="AQ888" s="24"/>
      <x:c r="AR888" s="24"/>
    </x:row>
    <x:row r="889" spans="41:44" ht="13.19999999999999928946">
      <x:c r="AO889" s="23"/>
      <x:c r="AP889" s="24"/>
      <x:c r="AQ889" s="24"/>
      <x:c r="AR889" s="24"/>
    </x:row>
    <x:row r="890" spans="41:44" ht="13.19999999999999928946">
      <x:c r="AO890" s="23"/>
      <x:c r="AP890" s="24"/>
      <x:c r="AQ890" s="24"/>
      <x:c r="AR890" s="24"/>
    </x:row>
    <x:row r="891" spans="41:44" ht="13.19999999999999928946">
      <x:c r="AO891" s="23"/>
      <x:c r="AP891" s="24"/>
      <x:c r="AQ891" s="24"/>
      <x:c r="AR891" s="24"/>
    </x:row>
    <x:row r="892" spans="41:44" ht="13.19999999999999928946">
      <x:c r="AO892" s="23"/>
      <x:c r="AP892" s="24"/>
      <x:c r="AQ892" s="24"/>
      <x:c r="AR892" s="24"/>
    </x:row>
    <x:row r="893" spans="41:44" ht="13.19999999999999928946">
      <x:c r="AO893" s="23"/>
      <x:c r="AP893" s="24"/>
      <x:c r="AQ893" s="24"/>
      <x:c r="AR893" s="24"/>
    </x:row>
    <x:row r="894" spans="41:44" ht="13.19999999999999928946">
      <x:c r="AO894" s="23"/>
      <x:c r="AP894" s="24"/>
      <x:c r="AQ894" s="24"/>
      <x:c r="AR894" s="24"/>
    </x:row>
    <x:row r="895" spans="41:44" ht="13.19999999999999928946">
      <x:c r="AO895" s="23"/>
      <x:c r="AP895" s="24"/>
      <x:c r="AQ895" s="24"/>
      <x:c r="AR895" s="24"/>
    </x:row>
    <x:row r="896" spans="41:44" ht="13.19999999999999928946">
      <x:c r="AO896" s="23"/>
      <x:c r="AP896" s="24"/>
      <x:c r="AQ896" s="24"/>
      <x:c r="AR896" s="24"/>
    </x:row>
    <x:row r="897" spans="41:44" ht="13.19999999999999928946">
      <x:c r="AO897" s="23"/>
      <x:c r="AP897" s="24"/>
      <x:c r="AQ897" s="24"/>
      <x:c r="AR897" s="24"/>
    </x:row>
    <x:row r="898" spans="41:44" ht="13.19999999999999928946">
      <x:c r="AO898" s="23"/>
      <x:c r="AP898" s="24"/>
      <x:c r="AQ898" s="24"/>
      <x:c r="AR898" s="24"/>
    </x:row>
    <x:row r="899" spans="41:44" ht="13.19999999999999928946">
      <x:c r="AO899" s="23"/>
      <x:c r="AP899" s="24"/>
      <x:c r="AQ899" s="24"/>
      <x:c r="AR899" s="24"/>
    </x:row>
    <x:row r="900" spans="41:44" ht="13.19999999999999928946">
      <x:c r="AO900" s="23"/>
      <x:c r="AP900" s="24"/>
      <x:c r="AQ900" s="24"/>
      <x:c r="AR900" s="24"/>
    </x:row>
    <x:row r="901" spans="41:44" ht="13.19999999999999928946">
      <x:c r="AO901" s="23"/>
      <x:c r="AP901" s="24"/>
      <x:c r="AQ901" s="24"/>
      <x:c r="AR901" s="24"/>
    </x:row>
    <x:row r="902" spans="41:44" ht="13.19999999999999928946">
      <x:c r="AO902" s="23"/>
      <x:c r="AP902" s="24"/>
      <x:c r="AQ902" s="24"/>
      <x:c r="AR902" s="24"/>
    </x:row>
    <x:row r="903" spans="41:44" ht="13.19999999999999928946">
      <x:c r="AO903" s="23"/>
      <x:c r="AP903" s="24"/>
      <x:c r="AQ903" s="24"/>
      <x:c r="AR903" s="24"/>
    </x:row>
    <x:row r="904" spans="41:44" ht="13.19999999999999928946">
      <x:c r="AO904" s="23"/>
      <x:c r="AP904" s="24"/>
      <x:c r="AQ904" s="24"/>
      <x:c r="AR904" s="24"/>
    </x:row>
    <x:row r="905" spans="41:44" ht="13.19999999999999928946">
      <x:c r="AO905" s="23"/>
      <x:c r="AP905" s="24"/>
      <x:c r="AQ905" s="24"/>
      <x:c r="AR905" s="24"/>
    </x:row>
    <x:row r="906" spans="41:44" ht="13.19999999999999928946">
      <x:c r="AO906" s="23"/>
      <x:c r="AP906" s="24"/>
      <x:c r="AQ906" s="24"/>
      <x:c r="AR906" s="24"/>
    </x:row>
    <x:row r="907" spans="41:44" ht="13.19999999999999928946">
      <x:c r="AO907" s="23"/>
      <x:c r="AP907" s="24"/>
      <x:c r="AQ907" s="24"/>
      <x:c r="AR907" s="24"/>
    </x:row>
    <x:row r="908" spans="41:44" ht="13.19999999999999928946">
      <x:c r="AO908" s="23"/>
      <x:c r="AP908" s="24"/>
      <x:c r="AQ908" s="24"/>
      <x:c r="AR908" s="24"/>
    </x:row>
    <x:row r="909" spans="41:44" ht="13.19999999999999928946">
      <x:c r="AO909" s="23"/>
      <x:c r="AP909" s="24"/>
      <x:c r="AQ909" s="24"/>
      <x:c r="AR909" s="24"/>
    </x:row>
    <x:row r="910" spans="41:44" ht="13.19999999999999928946">
      <x:c r="AO910" s="23"/>
      <x:c r="AP910" s="24"/>
      <x:c r="AQ910" s="24"/>
      <x:c r="AR910" s="24"/>
    </x:row>
    <x:row r="911" spans="41:44" ht="13.19999999999999928946">
      <x:c r="AO911" s="23"/>
      <x:c r="AP911" s="24"/>
      <x:c r="AQ911" s="24"/>
      <x:c r="AR911" s="24"/>
    </x:row>
    <x:row r="912" spans="41:44" ht="13.19999999999999928946">
      <x:c r="AO912" s="23"/>
      <x:c r="AP912" s="24"/>
      <x:c r="AQ912" s="24"/>
      <x:c r="AR912" s="24"/>
    </x:row>
    <x:row r="913" spans="41:44" ht="13.19999999999999928946">
      <x:c r="AO913" s="23"/>
      <x:c r="AP913" s="24"/>
      <x:c r="AQ913" s="24"/>
      <x:c r="AR913" s="24"/>
    </x:row>
    <x:row r="914" spans="41:44" ht="13.19999999999999928946">
      <x:c r="AO914" s="23"/>
      <x:c r="AP914" s="24"/>
      <x:c r="AQ914" s="24"/>
      <x:c r="AR914" s="24"/>
    </x:row>
    <x:row r="915" spans="41:44" ht="13.19999999999999928946">
      <x:c r="AO915" s="23"/>
      <x:c r="AP915" s="24"/>
      <x:c r="AQ915" s="24"/>
      <x:c r="AR915" s="24"/>
    </x:row>
    <x:row r="916" spans="41:44" ht="13.19999999999999928946">
      <x:c r="AO916" s="23"/>
      <x:c r="AP916" s="24"/>
      <x:c r="AQ916" s="24"/>
      <x:c r="AR916" s="24"/>
    </x:row>
    <x:row r="917" spans="41:44" ht="13.19999999999999928946">
      <x:c r="AO917" s="23"/>
      <x:c r="AP917" s="24"/>
      <x:c r="AQ917" s="24"/>
      <x:c r="AR917" s="24"/>
    </x:row>
    <x:row r="918" spans="41:44" ht="13.19999999999999928946">
      <x:c r="AO918" s="23"/>
      <x:c r="AP918" s="24"/>
      <x:c r="AQ918" s="24"/>
      <x:c r="AR918" s="24"/>
    </x:row>
    <x:row r="919" spans="41:44" ht="13.19999999999999928946">
      <x:c r="AO919" s="23"/>
      <x:c r="AP919" s="24"/>
      <x:c r="AQ919" s="24"/>
      <x:c r="AR919" s="24"/>
    </x:row>
    <x:row r="920" spans="41:44" ht="13.19999999999999928946">
      <x:c r="AO920" s="23"/>
      <x:c r="AP920" s="24"/>
      <x:c r="AQ920" s="24"/>
      <x:c r="AR920" s="24"/>
    </x:row>
    <x:row r="921" spans="41:44" ht="13.19999999999999928946">
      <x:c r="AO921" s="23"/>
      <x:c r="AP921" s="24"/>
      <x:c r="AQ921" s="24"/>
      <x:c r="AR921" s="24"/>
    </x:row>
    <x:row r="922" spans="41:44" ht="13.19999999999999928946">
      <x:c r="AO922" s="23"/>
      <x:c r="AP922" s="24"/>
      <x:c r="AQ922" s="24"/>
      <x:c r="AR922" s="24"/>
    </x:row>
    <x:row r="923" spans="41:44" ht="13.19999999999999928946">
      <x:c r="AO923" s="23"/>
      <x:c r="AP923" s="24"/>
      <x:c r="AQ923" s="24"/>
      <x:c r="AR923" s="24"/>
    </x:row>
    <x:row r="924" spans="41:44" ht="13.19999999999999928946">
      <x:c r="AO924" s="23"/>
      <x:c r="AP924" s="24"/>
      <x:c r="AQ924" s="24"/>
      <x:c r="AR924" s="24"/>
    </x:row>
    <x:row r="925" spans="41:44" ht="13.19999999999999928946">
      <x:c r="AO925" s="23"/>
      <x:c r="AP925" s="24"/>
      <x:c r="AQ925" s="24"/>
      <x:c r="AR925" s="24"/>
    </x:row>
    <x:row r="926" spans="41:44" ht="13.19999999999999928946">
      <x:c r="AO926" s="23"/>
      <x:c r="AP926" s="24"/>
      <x:c r="AQ926" s="24"/>
      <x:c r="AR926" s="24"/>
    </x:row>
    <x:row r="927" spans="41:44" ht="13.19999999999999928946">
      <x:c r="AO927" s="23"/>
      <x:c r="AP927" s="24"/>
      <x:c r="AQ927" s="24"/>
      <x:c r="AR927" s="24"/>
    </x:row>
    <x:row r="928" spans="41:44" ht="13.19999999999999928946">
      <x:c r="AO928" s="23"/>
      <x:c r="AP928" s="24"/>
      <x:c r="AQ928" s="24"/>
      <x:c r="AR928" s="24"/>
    </x:row>
    <x:row r="929" spans="41:44" ht="13.19999999999999928946">
      <x:c r="AO929" s="23"/>
      <x:c r="AP929" s="24"/>
      <x:c r="AQ929" s="24"/>
      <x:c r="AR929" s="24"/>
    </x:row>
    <x:row r="930" spans="41:44" ht="13.19999999999999928946">
      <x:c r="AO930" s="23"/>
      <x:c r="AP930" s="24"/>
      <x:c r="AQ930" s="24"/>
      <x:c r="AR930" s="24"/>
    </x:row>
    <x:row r="931" spans="41:44" ht="13.19999999999999928946">
      <x:c r="AO931" s="23"/>
      <x:c r="AP931" s="24"/>
      <x:c r="AQ931" s="24"/>
      <x:c r="AR931" s="24"/>
    </x:row>
    <x:row r="932" spans="41:44" ht="13.19999999999999928946">
      <x:c r="AO932" s="23"/>
      <x:c r="AP932" s="24"/>
      <x:c r="AQ932" s="24"/>
      <x:c r="AR932" s="24"/>
    </x:row>
    <x:row r="933" spans="41:44" ht="13.19999999999999928946">
      <x:c r="AO933" s="23"/>
      <x:c r="AP933" s="24"/>
      <x:c r="AQ933" s="24"/>
      <x:c r="AR933" s="24"/>
    </x:row>
    <x:row r="934" spans="41:44" ht="13.19999999999999928946">
      <x:c r="AO934" s="23"/>
      <x:c r="AP934" s="24"/>
      <x:c r="AQ934" s="24"/>
      <x:c r="AR934" s="24"/>
    </x:row>
    <x:row r="935" spans="41:44" ht="13.19999999999999928946">
      <x:c r="AO935" s="23"/>
      <x:c r="AP935" s="24"/>
      <x:c r="AQ935" s="24"/>
      <x:c r="AR935" s="24"/>
    </x:row>
    <x:row r="936" spans="41:44" ht="13.19999999999999928946">
      <x:c r="AO936" s="23"/>
      <x:c r="AP936" s="24"/>
      <x:c r="AQ936" s="24"/>
      <x:c r="AR936" s="24"/>
    </x:row>
    <x:row r="937" spans="41:44" ht="13.19999999999999928946">
      <x:c r="AO937" s="23"/>
      <x:c r="AP937" s="24"/>
      <x:c r="AQ937" s="24"/>
      <x:c r="AR937" s="24"/>
    </x:row>
    <x:row r="938" spans="41:44" ht="13.19999999999999928946">
      <x:c r="AO938" s="23"/>
      <x:c r="AP938" s="24"/>
      <x:c r="AQ938" s="24"/>
      <x:c r="AR938" s="24"/>
    </x:row>
    <x:row r="939" spans="41:44" ht="13.19999999999999928946">
      <x:c r="AO939" s="23"/>
      <x:c r="AP939" s="24"/>
      <x:c r="AQ939" s="24"/>
      <x:c r="AR939" s="24"/>
    </x:row>
    <x:row r="940" spans="41:44" ht="13.19999999999999928946">
      <x:c r="AO940" s="23"/>
      <x:c r="AP940" s="24"/>
      <x:c r="AQ940" s="24"/>
      <x:c r="AR940" s="24"/>
    </x:row>
    <x:row r="941" spans="41:44" ht="13.19999999999999928946">
      <x:c r="AO941" s="23"/>
      <x:c r="AP941" s="24"/>
      <x:c r="AQ941" s="24"/>
      <x:c r="AR941" s="24"/>
    </x:row>
    <x:row r="942" spans="41:44" ht="13.19999999999999928946">
      <x:c r="AO942" s="23"/>
      <x:c r="AP942" s="24"/>
      <x:c r="AQ942" s="24"/>
      <x:c r="AR942" s="24"/>
    </x:row>
    <x:row r="943" spans="41:44" ht="13.19999999999999928946">
      <x:c r="AO943" s="23"/>
      <x:c r="AP943" s="24"/>
      <x:c r="AQ943" s="24"/>
      <x:c r="AR943" s="24"/>
    </x:row>
    <x:row r="944" spans="41:44" ht="13.19999999999999928946">
      <x:c r="AO944" s="23"/>
      <x:c r="AP944" s="24"/>
      <x:c r="AQ944" s="24"/>
      <x:c r="AR944" s="24"/>
    </x:row>
    <x:row r="945" spans="41:44" ht="13.19999999999999928946">
      <x:c r="AO945" s="23"/>
      <x:c r="AP945" s="24"/>
      <x:c r="AQ945" s="24"/>
      <x:c r="AR945" s="24"/>
    </x:row>
    <x:row r="946" spans="41:44" ht="13.19999999999999928946">
      <x:c r="AO946" s="23"/>
      <x:c r="AP946" s="24"/>
      <x:c r="AQ946" s="24"/>
      <x:c r="AR946" s="24"/>
    </x:row>
    <x:row r="947" spans="41:44" ht="13.19999999999999928946">
      <x:c r="AO947" s="23"/>
      <x:c r="AP947" s="24"/>
      <x:c r="AQ947" s="24"/>
      <x:c r="AR947" s="24"/>
    </x:row>
    <x:row r="948" spans="41:44" ht="13.19999999999999928946">
      <x:c r="AO948" s="23"/>
      <x:c r="AP948" s="24"/>
      <x:c r="AQ948" s="24"/>
      <x:c r="AR948" s="24"/>
    </x:row>
    <x:row r="949" spans="41:44" ht="13.19999999999999928946">
      <x:c r="AO949" s="23"/>
      <x:c r="AP949" s="24"/>
      <x:c r="AQ949" s="24"/>
      <x:c r="AR949" s="24"/>
    </x:row>
    <x:row r="950" spans="41:44" ht="13.19999999999999928946">
      <x:c r="AO950" s="23"/>
      <x:c r="AP950" s="24"/>
      <x:c r="AQ950" s="24"/>
      <x:c r="AR950" s="24"/>
    </x:row>
    <x:row r="951" spans="41:44" ht="13.19999999999999928946">
      <x:c r="AO951" s="23"/>
      <x:c r="AP951" s="24"/>
      <x:c r="AQ951" s="24"/>
      <x:c r="AR951" s="24"/>
    </x:row>
    <x:row r="952" spans="41:44" ht="13.19999999999999928946">
      <x:c r="AO952" s="23"/>
      <x:c r="AP952" s="24"/>
      <x:c r="AQ952" s="24"/>
      <x:c r="AR952" s="24"/>
    </x:row>
    <x:row r="953" spans="41:44" ht="13.19999999999999928946">
      <x:c r="AO953" s="23"/>
      <x:c r="AP953" s="24"/>
      <x:c r="AQ953" s="24"/>
      <x:c r="AR953" s="24"/>
    </x:row>
    <x:row r="954" spans="41:44" ht="13.19999999999999928946">
      <x:c r="AO954" s="23"/>
      <x:c r="AP954" s="24"/>
      <x:c r="AQ954" s="24"/>
      <x:c r="AR954" s="24"/>
    </x:row>
    <x:row r="955" spans="41:44" ht="13.19999999999999928946">
      <x:c r="AO955" s="23"/>
      <x:c r="AP955" s="24"/>
      <x:c r="AQ955" s="24"/>
      <x:c r="AR955" s="24"/>
    </x:row>
    <x:row r="956" spans="41:44" ht="13.19999999999999928946">
      <x:c r="AO956" s="23"/>
      <x:c r="AP956" s="24"/>
      <x:c r="AQ956" s="24"/>
      <x:c r="AR956" s="24"/>
    </x:row>
    <x:row r="957" spans="41:44" ht="13.19999999999999928946">
      <x:c r="AO957" s="23"/>
      <x:c r="AP957" s="24"/>
      <x:c r="AQ957" s="24"/>
      <x:c r="AR957" s="24"/>
    </x:row>
    <x:row r="958" spans="41:44" ht="13.19999999999999928946">
      <x:c r="AO958" s="23"/>
      <x:c r="AP958" s="24"/>
      <x:c r="AQ958" s="24"/>
      <x:c r="AR958" s="24"/>
    </x:row>
    <x:row r="959" spans="41:44" ht="13.19999999999999928946">
      <x:c r="AO959" s="23"/>
      <x:c r="AP959" s="24"/>
      <x:c r="AQ959" s="24"/>
      <x:c r="AR959" s="24"/>
    </x:row>
    <x:row r="960" spans="41:44" ht="13.19999999999999928946">
      <x:c r="AO960" s="23"/>
      <x:c r="AP960" s="24"/>
      <x:c r="AQ960" s="24"/>
      <x:c r="AR960" s="24"/>
    </x:row>
    <x:row r="961" spans="41:44" ht="13.19999999999999928946">
      <x:c r="AO961" s="23"/>
      <x:c r="AP961" s="24"/>
      <x:c r="AQ961" s="24"/>
      <x:c r="AR961" s="24"/>
    </x:row>
    <x:row r="962" spans="41:44" ht="13.19999999999999928946">
      <x:c r="AO962" s="23"/>
      <x:c r="AP962" s="24"/>
      <x:c r="AQ962" s="24"/>
      <x:c r="AR962" s="24"/>
    </x:row>
    <x:row r="963" spans="41:44" ht="13.19999999999999928946">
      <x:c r="AO963" s="23"/>
      <x:c r="AP963" s="24"/>
      <x:c r="AQ963" s="24"/>
      <x:c r="AR963" s="24"/>
    </x:row>
    <x:row r="964" spans="41:44" ht="13.19999999999999928946">
      <x:c r="AO964" s="23"/>
      <x:c r="AP964" s="24"/>
      <x:c r="AQ964" s="24"/>
      <x:c r="AR964" s="24"/>
    </x:row>
    <x:row r="965" spans="41:44" ht="13.19999999999999928946">
      <x:c r="AO965" s="23"/>
      <x:c r="AP965" s="24"/>
      <x:c r="AQ965" s="24"/>
      <x:c r="AR965" s="24"/>
    </x:row>
    <x:row r="966" spans="41:44" ht="13.19999999999999928946">
      <x:c r="AO966" s="23"/>
      <x:c r="AP966" s="24"/>
      <x:c r="AQ966" s="24"/>
      <x:c r="AR966" s="24"/>
    </x:row>
    <x:row r="967" spans="41:44" ht="13.19999999999999928946">
      <x:c r="AO967" s="23"/>
      <x:c r="AP967" s="24"/>
      <x:c r="AQ967" s="24"/>
      <x:c r="AR967" s="24"/>
    </x:row>
    <x:row r="968" spans="41:44" ht="13.19999999999999928946">
      <x:c r="AO968" s="23"/>
      <x:c r="AP968" s="24"/>
      <x:c r="AQ968" s="24"/>
      <x:c r="AR968" s="24"/>
    </x:row>
    <x:row r="969" spans="41:44" ht="13.19999999999999928946">
      <x:c r="AO969" s="23"/>
      <x:c r="AP969" s="24"/>
      <x:c r="AQ969" s="24"/>
      <x:c r="AR969" s="24"/>
    </x:row>
    <x:row r="970" spans="41:44" ht="13.19999999999999928946">
      <x:c r="AO970" s="23"/>
      <x:c r="AP970" s="24"/>
      <x:c r="AQ970" s="24"/>
      <x:c r="AR970" s="24"/>
    </x:row>
    <x:row r="971" spans="41:44" ht="13.19999999999999928946">
      <x:c r="AO971" s="23"/>
      <x:c r="AP971" s="24"/>
      <x:c r="AQ971" s="24"/>
      <x:c r="AR971" s="24"/>
    </x:row>
    <x:row r="972" spans="41:44" ht="13.19999999999999928946">
      <x:c r="AO972" s="23"/>
      <x:c r="AP972" s="24"/>
      <x:c r="AQ972" s="24"/>
      <x:c r="AR972" s="24"/>
    </x:row>
    <x:row r="973" spans="41:44" ht="13.19999999999999928946">
      <x:c r="AO973" s="23"/>
      <x:c r="AP973" s="24"/>
      <x:c r="AQ973" s="24"/>
      <x:c r="AR973" s="24"/>
    </x:row>
    <x:row r="974" spans="41:44" ht="13.19999999999999928946">
      <x:c r="AO974" s="23"/>
      <x:c r="AP974" s="24"/>
      <x:c r="AQ974" s="24"/>
      <x:c r="AR974" s="24"/>
    </x:row>
    <x:row r="975" spans="41:44" ht="13.19999999999999928946">
      <x:c r="AO975" s="23"/>
      <x:c r="AP975" s="24"/>
      <x:c r="AQ975" s="24"/>
      <x:c r="AR975" s="24"/>
    </x:row>
    <x:row r="976" spans="41:44" ht="13.19999999999999928946">
      <x:c r="AO976" s="23"/>
      <x:c r="AP976" s="24"/>
      <x:c r="AQ976" s="24"/>
      <x:c r="AR976" s="24"/>
    </x:row>
    <x:row r="977" spans="41:44" ht="13.19999999999999928946">
      <x:c r="AO977" s="23"/>
      <x:c r="AP977" s="24"/>
      <x:c r="AQ977" s="24"/>
      <x:c r="AR977" s="24"/>
    </x:row>
    <x:row r="978" spans="41:44" ht="13.19999999999999928946">
      <x:c r="AO978" s="23"/>
      <x:c r="AP978" s="24"/>
      <x:c r="AQ978" s="24"/>
      <x:c r="AR978" s="24"/>
    </x:row>
    <x:row r="979" spans="41:44" ht="13.19999999999999928946">
      <x:c r="AO979" s="23"/>
      <x:c r="AP979" s="24"/>
      <x:c r="AQ979" s="24"/>
      <x:c r="AR979" s="24"/>
    </x:row>
    <x:row r="980" spans="41:44" ht="13.19999999999999928946">
      <x:c r="AO980" s="23"/>
      <x:c r="AP980" s="24"/>
      <x:c r="AQ980" s="24"/>
      <x:c r="AR980" s="24"/>
    </x:row>
    <x:row r="981" spans="41:44" ht="13.19999999999999928946">
      <x:c r="AO981" s="23"/>
      <x:c r="AP981" s="24"/>
      <x:c r="AQ981" s="24"/>
      <x:c r="AR981" s="24"/>
    </x:row>
    <x:row r="982" spans="41:44" ht="13.19999999999999928946">
      <x:c r="AO982" s="23"/>
      <x:c r="AP982" s="24"/>
      <x:c r="AQ982" s="24"/>
      <x:c r="AR982" s="24"/>
    </x:row>
    <x:row r="983" spans="41:44" ht="13.19999999999999928946">
      <x:c r="AO983" s="23"/>
      <x:c r="AP983" s="24"/>
      <x:c r="AQ983" s="24"/>
      <x:c r="AR983" s="24"/>
    </x:row>
    <x:row r="984" spans="41:44" ht="13.19999999999999928946">
      <x:c r="AO984" s="23"/>
      <x:c r="AP984" s="24"/>
      <x:c r="AQ984" s="24"/>
      <x:c r="AR984" s="24"/>
    </x:row>
    <x:row r="985" spans="41:44" ht="13.19999999999999928946">
      <x:c r="AO985" s="23"/>
      <x:c r="AP985" s="24"/>
      <x:c r="AQ985" s="24"/>
      <x:c r="AR985" s="24"/>
    </x:row>
    <x:row r="986" spans="41:44" ht="13.19999999999999928946">
      <x:c r="AO986" s="23"/>
      <x:c r="AP986" s="24"/>
      <x:c r="AQ986" s="24"/>
      <x:c r="AR986" s="24"/>
    </x:row>
    <x:row r="987" spans="41:44" ht="13.19999999999999928946">
      <x:c r="AO987" s="23"/>
      <x:c r="AP987" s="24"/>
      <x:c r="AQ987" s="24"/>
      <x:c r="AR987" s="24"/>
    </x:row>
    <x:row r="988" spans="41:44" ht="13.19999999999999928946">
      <x:c r="AO988" s="23"/>
      <x:c r="AP988" s="24"/>
      <x:c r="AQ988" s="24"/>
      <x:c r="AR988" s="24"/>
    </x:row>
    <x:row r="989" spans="41:44" ht="13.19999999999999928946">
      <x:c r="AO989" s="23"/>
      <x:c r="AP989" s="24"/>
      <x:c r="AQ989" s="24"/>
      <x:c r="AR989" s="24"/>
    </x:row>
    <x:row r="990" spans="41:44" ht="13.19999999999999928946">
      <x:c r="AO990" s="23"/>
      <x:c r="AP990" s="24"/>
      <x:c r="AQ990" s="24"/>
      <x:c r="AR990" s="24"/>
    </x:row>
    <x:row r="991" spans="41:44" ht="13.19999999999999928946">
      <x:c r="AO991" s="23"/>
      <x:c r="AP991" s="24"/>
      <x:c r="AQ991" s="24"/>
      <x:c r="AR991" s="24"/>
    </x:row>
    <x:row r="992" spans="41:44" ht="13.19999999999999928946">
      <x:c r="AO992" s="23"/>
      <x:c r="AP992" s="24"/>
      <x:c r="AQ992" s="24"/>
      <x:c r="AR992" s="24"/>
    </x:row>
    <x:row r="993" spans="41:44" ht="13.19999999999999928946">
      <x:c r="AO993" s="23"/>
      <x:c r="AP993" s="24"/>
      <x:c r="AQ993" s="24"/>
      <x:c r="AR993" s="24"/>
    </x:row>
    <x:row r="994" spans="41:44" ht="13.19999999999999928946">
      <x:c r="AO994" s="23"/>
      <x:c r="AP994" s="24"/>
      <x:c r="AQ994" s="24"/>
      <x:c r="AR994" s="24"/>
    </x:row>
    <x:row r="995" spans="41:44" ht="13.19999999999999928946">
      <x:c r="AO995" s="23"/>
      <x:c r="AP995" s="24"/>
      <x:c r="AQ995" s="24"/>
      <x:c r="AR995" s="24"/>
    </x:row>
    <x:row r="996" spans="41:44" ht="13.19999999999999928946">
      <x:c r="AO996" s="23"/>
      <x:c r="AP996" s="24"/>
      <x:c r="AQ996" s="24"/>
      <x:c r="AR996" s="24"/>
    </x:row>
    <x:row r="997" spans="41:44" ht="13.19999999999999928946">
      <x:c r="AO997" s="23"/>
      <x:c r="AP997" s="24"/>
      <x:c r="AQ997" s="24"/>
      <x:c r="AR997" s="24"/>
    </x:row>
    <x:row r="998" spans="41:44" ht="13.19999999999999928946">
      <x:c r="AO998" s="23"/>
      <x:c r="AP998" s="24"/>
      <x:c r="AQ998" s="24"/>
      <x:c r="AR998" s="24"/>
    </x:row>
    <x:row r="999" spans="41:44" ht="13.19999999999999928946">
      <x:c r="AO999" s="23"/>
      <x:c r="AP999" s="24"/>
      <x:c r="AQ999" s="24"/>
      <x:c r="AR999" s="24"/>
    </x:row>
    <x:row r="1000" spans="41:44" ht="13.19999999999999928946">
      <x:c r="AO1000" s="23"/>
      <x:c r="AP1000" s="24"/>
      <x:c r="AQ1000" s="24"/>
      <x:c r="AR1000" s="24"/>
    </x:row>
  </x:sheetData>
  <x:mergeCells count="31">
    <x:mergeCell ref="A1:A3"/>
    <x:mergeCell ref="B1:B3"/>
    <x:mergeCell ref="C1:C3"/>
    <x:mergeCell ref="D1:D3"/>
    <x:mergeCell ref="E1:E3"/>
    <x:mergeCell ref="F1:F3"/>
    <x:mergeCell ref="G1:G3"/>
    <x:mergeCell ref="H1:I1"/>
    <x:mergeCell ref="J1:L1"/>
    <x:mergeCell ref="M1:M3"/>
    <x:mergeCell ref="N1:Q1"/>
    <x:mergeCell ref="R1:AC1"/>
    <x:mergeCell ref="AD1:AE2"/>
    <x:mergeCell ref="AF1:AN1"/>
    <x:mergeCell ref="AO1:AO3"/>
    <x:mergeCell ref="AP1:AP3"/>
    <x:mergeCell ref="AQ1:AQ3"/>
    <x:mergeCell ref="AR1:AR3"/>
    <x:mergeCell ref="H2:H3"/>
    <x:mergeCell ref="I2:I3"/>
    <x:mergeCell ref="K2:L2"/>
    <x:mergeCell ref="N2:N3"/>
    <x:mergeCell ref="O2:O3"/>
    <x:mergeCell ref="P2:P3"/>
    <x:mergeCell ref="Q2:Q3"/>
    <x:mergeCell ref="R2:U2"/>
    <x:mergeCell ref="V2:Y2"/>
    <x:mergeCell ref="Z2:AC2"/>
    <x:mergeCell ref="AF2:AH2"/>
    <x:mergeCell ref="AI2:AK2"/>
    <x:mergeCell ref="AL2:AN2"/>
  </x:mergeCells>
  <x:dataValidations count="1">
    <x:dataValidation type="list" allowBlank="1" showErrorMessage="1" sqref="AQ4:AR150">
      <x:formula1>"완료,미흡"</x:formula1>
    </x:dataValidation>
  </x:dataValidation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outlinePr applyStyles="0" summaryBelow="0" summaryRight="1" showOutlineSymbols="1"/>
  </x:sheetPr>
  <x:dimension ref="A1:AT32"/>
  <x:sheetViews>
    <x:sheetView topLeftCell="A1" zoomScale="80" zoomScaleNormal="80" zoomScaleSheetLayoutView="80" workbookViewId="0">
      <x:pane xSplit="12" ySplit="3" topLeftCell="M4" activePane="bottomRight" state="frozen"/>
      <x:selection pane="bottomRight" activeCell="M4" activeCellId="0" sqref="M4:M4"/>
    </x:sheetView>
  </x:sheetViews>
  <x:sheetFormatPr defaultColWidth="12.62890625" defaultRowHeight="15.75" customHeight="1"/>
  <x:cols>
    <x:col min="1" max="1" width="6.75" customWidth="1"/>
    <x:col min="2" max="2" width="19.37890625" customWidth="1"/>
    <x:col min="3" max="3" width="9.12890625" customWidth="1"/>
    <x:col min="4" max="4" width="7.37890625" customWidth="1"/>
    <x:col min="5" max="5" width="9.62890625" customWidth="1"/>
    <x:col min="6" max="6" width="7.37890625" customWidth="1"/>
    <x:col min="8" max="9" width="7.12890625" customWidth="1"/>
    <x:col min="12" max="12" width="7.25" customWidth="1"/>
    <x:col min="13" max="13" width="46.12890625" customWidth="1"/>
    <x:col min="17" max="25" width="12.62890625" hidden="1"/>
    <x:col min="32" max="32" width="15.5" customWidth="1"/>
    <x:col min="35" max="35" width="14" customWidth="1"/>
    <x:col min="37" max="37" width="39.75" customWidth="1"/>
    <x:col min="38" max="38" width="37" customWidth="1"/>
    <x:col min="39" max="39" width="31.37890625" customWidth="1"/>
    <x:col min="42" max="42" width="40.37890625" customWidth="1"/>
  </x:cols>
  <x:sheetData>
    <x:row r="1" spans="1:41" ht="16.39999999999999857891">
      <x:c r="A1" s="51" t="s">
        <x:v>101</x:v>
      </x:c>
      <x:c r="B1" s="51" t="s">
        <x:v>39</x:v>
      </x:c>
      <x:c r="C1" s="51" t="s">
        <x:v>665</x:v>
      </x:c>
      <x:c r="D1" s="51" t="s">
        <x:v>34</x:v>
      </x:c>
      <x:c r="E1" s="51" t="s">
        <x:v>35</x:v>
      </x:c>
      <x:c r="F1" s="51" t="s">
        <x:v>29</x:v>
      </x:c>
      <x:c r="G1" s="51" t="s">
        <x:v>667</x:v>
      </x:c>
      <x:c r="H1" s="54" t="s">
        <x:v>685</x:v>
      </x:c>
      <x:c r="I1" s="55"/>
      <x:c r="J1" s="56" t="s">
        <x:v>682</x:v>
      </x:c>
      <x:c r="K1" s="57"/>
      <x:c r="L1" s="55"/>
      <x:c r="M1" s="51" t="s">
        <x:v>45</x:v>
      </x:c>
      <x:c r="N1" s="54" t="s">
        <x:v>659</x:v>
      </x:c>
      <x:c r="O1" s="57"/>
      <x:c r="P1" s="55"/>
      <x:c r="Q1" s="58" t="s">
        <x:v>38</x:v>
      </x:c>
      <x:c r="R1" s="57"/>
      <x:c r="S1" s="57"/>
      <x:c r="T1" s="57"/>
      <x:c r="U1" s="57"/>
      <x:c r="V1" s="57"/>
      <x:c r="W1" s="57"/>
      <x:c r="X1" s="57"/>
      <x:c r="Y1" s="55"/>
      <x:c r="Z1" s="59" t="s">
        <x:v>33</x:v>
      </x:c>
      <x:c r="AA1" s="60"/>
      <x:c r="AB1" s="56" t="s">
        <x:v>769</x:v>
      </x:c>
      <x:c r="AC1" s="57"/>
      <x:c r="AD1" s="57"/>
      <x:c r="AE1" s="57"/>
      <x:c r="AF1" s="57"/>
      <x:c r="AG1" s="57"/>
      <x:c r="AH1" s="57"/>
      <x:c r="AI1" s="57"/>
      <x:c r="AJ1" s="55"/>
      <x:c r="AK1" s="63" t="s">
        <x:v>678</x:v>
      </x:c>
      <x:c r="AL1" s="64" t="s">
        <x:v>673</x:v>
      </x:c>
      <x:c r="AM1" s="64" t="s">
        <x:v>652</x:v>
      </x:c>
      <x:c r="AO1" s="25" t="s">
        <x:v>921</x:v>
      </x:c>
    </x:row>
    <x:row r="2" spans="1:41" ht="16.39999999999999857891">
      <x:c r="A2" s="52"/>
      <x:c r="B2" s="52"/>
      <x:c r="C2" s="52"/>
      <x:c r="D2" s="52"/>
      <x:c r="E2" s="52"/>
      <x:c r="F2" s="52"/>
      <x:c r="G2" s="52"/>
      <x:c r="H2" s="51" t="s">
        <x:v>41</x:v>
      </x:c>
      <x:c r="I2" s="51" t="s">
        <x:v>44</x:v>
      </x:c>
      <x:c r="J2" s="1" t="s">
        <x:v>661</x:v>
      </x:c>
      <x:c r="K2" s="56" t="s">
        <x:v>660</x:v>
      </x:c>
      <x:c r="L2" s="55"/>
      <x:c r="M2" s="52"/>
      <x:c r="N2" s="51" t="s">
        <x:v>37</x:v>
      </x:c>
      <x:c r="O2" s="51" t="s">
        <x:v>680</x:v>
      </x:c>
      <x:c r="P2" s="51" t="s">
        <x:v>675</x:v>
      </x:c>
      <x:c r="Q2" s="58" t="s">
        <x:v>683</x:v>
      </x:c>
      <x:c r="R2" s="57"/>
      <x:c r="S2" s="55"/>
      <x:c r="T2" s="58" t="s">
        <x:v>662</x:v>
      </x:c>
      <x:c r="U2" s="57"/>
      <x:c r="V2" s="55"/>
      <x:c r="W2" s="58" t="s">
        <x:v>672</x:v>
      </x:c>
      <x:c r="X2" s="57"/>
      <x:c r="Y2" s="55"/>
      <x:c r="Z2" s="61"/>
      <x:c r="AA2" s="62"/>
      <x:c r="AB2" s="56" t="s">
        <x:v>43</x:v>
      </x:c>
      <x:c r="AC2" s="57"/>
      <x:c r="AD2" s="55"/>
      <x:c r="AE2" s="56" t="s">
        <x:v>30</x:v>
      </x:c>
      <x:c r="AF2" s="57"/>
      <x:c r="AG2" s="55"/>
      <x:c r="AH2" s="56" t="s">
        <x:v>40</x:v>
      </x:c>
      <x:c r="AI2" s="57"/>
      <x:c r="AJ2" s="55"/>
      <x:c r="AK2" s="52"/>
      <x:c r="AL2" s="52"/>
      <x:c r="AM2" s="52"/>
      <x:c r="AO2" s="25" t="s">
        <x:v>384</x:v>
      </x:c>
    </x:row>
    <x:row r="3" spans="1:41" ht="16.39999999999999857891">
      <x:c r="A3" s="53"/>
      <x:c r="B3" s="53"/>
      <x:c r="C3" s="53"/>
      <x:c r="D3" s="53"/>
      <x:c r="E3" s="53"/>
      <x:c r="F3" s="53"/>
      <x:c r="G3" s="53"/>
      <x:c r="H3" s="53"/>
      <x:c r="I3" s="53"/>
      <x:c r="J3" s="1" t="s">
        <x:v>31</x:v>
      </x:c>
      <x:c r="K3" s="1" t="s">
        <x:v>31</x:v>
      </x:c>
      <x:c r="L3" s="1" t="s">
        <x:v>71</x:v>
      </x:c>
      <x:c r="M3" s="53"/>
      <x:c r="N3" s="53"/>
      <x:c r="O3" s="53"/>
      <x:c r="P3" s="53"/>
      <x:c r="Q3" s="2" t="s">
        <x:v>37</x:v>
      </x:c>
      <x:c r="R3" s="2" t="s">
        <x:v>680</x:v>
      </x:c>
      <x:c r="S3" s="2" t="s">
        <x:v>675</x:v>
      </x:c>
      <x:c r="T3" s="2" t="s">
        <x:v>37</x:v>
      </x:c>
      <x:c r="U3" s="2" t="s">
        <x:v>680</x:v>
      </x:c>
      <x:c r="V3" s="2" t="s">
        <x:v>675</x:v>
      </x:c>
      <x:c r="W3" s="2" t="s">
        <x:v>37</x:v>
      </x:c>
      <x:c r="X3" s="2" t="s">
        <x:v>680</x:v>
      </x:c>
      <x:c r="Y3" s="2" t="s">
        <x:v>675</x:v>
      </x:c>
      <x:c r="Z3" s="1" t="s">
        <x:v>67</x:v>
      </x:c>
      <x:c r="AA3" s="1" t="s">
        <x:v>679</x:v>
      </x:c>
      <x:c r="AB3" s="1" t="s">
        <x:v>49</x:v>
      </x:c>
      <x:c r="AC3" s="1" t="s">
        <x:v>37</x:v>
      </x:c>
      <x:c r="AD3" s="1" t="s">
        <x:v>665</x:v>
      </x:c>
      <x:c r="AE3" s="1" t="s">
        <x:v>49</x:v>
      </x:c>
      <x:c r="AF3" s="1" t="s">
        <x:v>37</x:v>
      </x:c>
      <x:c r="AG3" s="1" t="s">
        <x:v>665</x:v>
      </x:c>
      <x:c r="AH3" s="1" t="s">
        <x:v>49</x:v>
      </x:c>
      <x:c r="AI3" s="1" t="s">
        <x:v>37</x:v>
      </x:c>
      <x:c r="AJ3" s="1" t="s">
        <x:v>665</x:v>
      </x:c>
      <x:c r="AK3" s="53"/>
      <x:c r="AL3" s="53"/>
      <x:c r="AM3" s="53"/>
      <x:c r="AO3" s="25" t="s">
        <x:v>395</x:v>
      </x:c>
    </x:row>
    <x:row r="4" spans="1:46" ht="51.75" customHeight="1">
      <x:c r="A4" s="3">
        <x:v>1</x:v>
      </x:c>
      <x:c r="B4" s="3" t="s">
        <x:v>780</x:v>
      </x:c>
      <x:c r="C4" s="4"/>
      <x:c r="D4" s="3">
        <x:v>3</x:v>
      </x:c>
      <x:c r="E4" s="3" t="s">
        <x:v>138</x:v>
      </x:c>
      <x:c r="F4" s="3" t="s">
        <x:v>69</x:v>
      </x:c>
      <x:c r="G4" s="3" t="s">
        <x:v>777</x:v>
      </x:c>
      <x:c r="H4" s="4"/>
      <x:c r="I4" s="3" t="s">
        <x:v>57</x:v>
      </x:c>
      <x:c r="J4" s="3" t="s">
        <x:v>695</x:v>
      </x:c>
      <x:c r="K4" s="4"/>
      <x:c r="L4" s="4"/>
      <x:c r="M4" s="3" t="s">
        <x:v>289</x:v>
      </x:c>
      <x:c r="N4" s="3" t="s">
        <x:v>734</x:v>
      </x:c>
      <x:c r="O4" s="3" t="s">
        <x:v>677</x:v>
      </x:c>
      <x:c r="P4" s="3">
        <x:v>0.78300000000000003</x:v>
      </x:c>
      <x:c r="Q4" s="3" t="s">
        <x:v>734</x:v>
      </x:c>
      <x:c r="R4" s="3" t="s">
        <x:v>677</x:v>
      </x:c>
      <x:c r="S4" s="3">
        <x:v>0.78300000000000003</x:v>
      </x:c>
      <x:c r="T4" s="3" t="s">
        <x:v>696</x:v>
      </x:c>
      <x:c r="U4" s="3" t="s">
        <x:v>677</x:v>
      </x:c>
      <x:c r="V4" s="3">
        <x:v>1.1000000000000001</x:v>
      </x:c>
      <x:c r="W4" s="3" t="s">
        <x:v>747</x:v>
      </x:c>
      <x:c r="X4" s="3" t="s">
        <x:v>677</x:v>
      </x:c>
      <x:c r="Y4" s="3">
        <x:v>2.3999999999999999</x:v>
      </x:c>
      <x:c r="Z4" s="3" t="s">
        <x:v>326</x:v>
      </x:c>
      <x:c r="AA4" s="4"/>
      <x:c r="AB4" s="3" t="s">
        <x:v>671</x:v>
      </x:c>
      <x:c r="AC4" s="3" t="s">
        <x:v>716</x:v>
      </x:c>
      <x:c r="AD4" s="3" t="s">
        <x:v>688</x:v>
      </x:c>
      <x:c r="AE4" s="3" t="s">
        <x:v>671</x:v>
      </x:c>
      <x:c r="AF4" s="3" t="s">
        <x:v>776</x:v>
      </x:c>
      <x:c r="AG4" s="3" t="s">
        <x:v>692</x:v>
      </x:c>
      <x:c r="AH4" s="4"/>
      <x:c r="AI4" s="4"/>
      <x:c r="AJ4" s="4"/>
      <x:c r="AK4" s="8" t="s">
        <x:v>404</x:v>
      </x:c>
      <x:c r="AL4" s="4"/>
      <x:c r="AM4" s="26" t="s">
        <x:v>1054</x:v>
      </x:c>
      <x:c r="AN4" s="7"/>
      <x:c r="AO4" s="5">
        <x:v>4</x:v>
      </x:c>
      <x:c r="AP4" s="5" t="s">
        <x:v>252</x:v>
      </x:c>
      <x:c r="AQ4" s="7"/>
      <x:c r="AR4" s="7"/>
      <x:c r="AS4" s="7"/>
      <x:c r="AT4" s="7"/>
    </x:row>
    <x:row r="5" spans="1:46" ht="33.75" customHeight="1">
      <x:c r="A5" s="3">
        <x:v>2</x:v>
      </x:c>
      <x:c r="B5" s="3" t="s">
        <x:v>764</x:v>
      </x:c>
      <x:c r="C5" s="4"/>
      <x:c r="D5" s="3">
        <x:v>3</x:v>
      </x:c>
      <x:c r="E5" s="3" t="s">
        <x:v>137</x:v>
      </x:c>
      <x:c r="F5" s="3" t="s">
        <x:v>69</x:v>
      </x:c>
      <x:c r="G5" s="3" t="s">
        <x:v>809</x:v>
      </x:c>
      <x:c r="H5" s="4"/>
      <x:c r="I5" s="3" t="s">
        <x:v>57</x:v>
      </x:c>
      <x:c r="J5" s="3" t="s">
        <x:v>669</x:v>
      </x:c>
      <x:c r="K5" s="3" t="s">
        <x:v>669</x:v>
      </x:c>
      <x:c r="L5" s="3" t="s">
        <x:v>55</x:v>
      </x:c>
      <x:c r="M5" s="3" t="s">
        <x:v>377</x:v>
      </x:c>
      <x:c r="N5" s="3" t="s">
        <x:v>618</x:v>
      </x:c>
      <x:c r="O5" s="3" t="s">
        <x:v>677</x:v>
      </x:c>
      <x:c r="P5" s="3">
        <x:v>0.47999999999999998</x:v>
      </x:c>
      <x:c r="Q5" s="3" t="s">
        <x:v>618</x:v>
      </x:c>
      <x:c r="R5" s="3" t="s">
        <x:v>677</x:v>
      </x:c>
      <x:c r="S5" s="3">
        <x:v>0.47999999999999998</x:v>
      </x:c>
      <x:c r="T5" s="3" t="s">
        <x:v>530</x:v>
      </x:c>
      <x:c r="U5" s="3" t="s">
        <x:v>677</x:v>
      </x:c>
      <x:c r="V5" s="3">
        <x:v>0.84999999999999998</x:v>
      </x:c>
      <x:c r="W5" s="3" t="s">
        <x:v>532</x:v>
      </x:c>
      <x:c r="X5" s="3" t="s">
        <x:v>677</x:v>
      </x:c>
      <x:c r="Y5" s="3">
        <x:v>1</x:v>
      </x:c>
      <x:c r="Z5" s="3" t="s">
        <x:v>865</x:v>
      </x:c>
      <x:c r="AA5" s="4"/>
      <x:c r="AB5" s="3" t="s">
        <x:v>671</x:v>
      </x:c>
      <x:c r="AC5" s="3" t="s">
        <x:v>716</x:v>
      </x:c>
      <x:c r="AD5" s="3" t="s">
        <x:v>688</x:v>
      </x:c>
      <x:c r="AE5" s="3" t="s">
        <x:v>671</x:v>
      </x:c>
      <x:c r="AF5" s="3" t="s">
        <x:v>776</x:v>
      </x:c>
      <x:c r="AG5" s="4"/>
      <x:c r="AH5" s="4"/>
      <x:c r="AI5" s="4"/>
      <x:c r="AJ5" s="4"/>
      <x:c r="AK5" s="3" t="s">
        <x:v>519</x:v>
      </x:c>
      <x:c r="AL5" s="3" t="s">
        <x:v>419</x:v>
      </x:c>
      <x:c r="AM5" s="27" t="s">
        <x:v>208</x:v>
      </x:c>
      <x:c r="AN5" s="7"/>
      <x:c r="AO5" s="5">
        <x:v>4</x:v>
      </x:c>
      <x:c r="AP5" s="5" t="s">
        <x:v>851</x:v>
      </x:c>
      <x:c r="AQ5" s="7"/>
      <x:c r="AR5" s="7"/>
      <x:c r="AS5" s="7"/>
      <x:c r="AT5" s="7"/>
    </x:row>
    <x:row r="6" spans="1:46" ht="33.75" customHeight="1">
      <x:c r="A6" s="3">
        <x:v>3</x:v>
      </x:c>
      <x:c r="B6" s="3" t="s">
        <x:v>632</x:v>
      </x:c>
      <x:c r="C6" s="4"/>
      <x:c r="D6" s="3">
        <x:v>3</x:v>
      </x:c>
      <x:c r="E6" s="3" t="s">
        <x:v>113</x:v>
      </x:c>
      <x:c r="F6" s="3" t="s">
        <x:v>69</x:v>
      </x:c>
      <x:c r="G6" s="3" t="s">
        <x:v>816</x:v>
      </x:c>
      <x:c r="H6" s="4"/>
      <x:c r="I6" s="3" t="s">
        <x:v>57</x:v>
      </x:c>
      <x:c r="J6" s="3" t="s">
        <x:v>669</x:v>
      </x:c>
      <x:c r="K6" s="3" t="s">
        <x:v>669</x:v>
      </x:c>
      <x:c r="L6" s="3" t="s">
        <x:v>61</x:v>
      </x:c>
      <x:c r="M6" s="3" t="s">
        <x:v>11</x:v>
      </x:c>
      <x:c r="N6" s="3" t="s">
        <x:v>711</x:v>
      </x:c>
      <x:c r="O6" s="3" t="s">
        <x:v>677</x:v>
      </x:c>
      <x:c r="P6" s="3">
        <x:v>0.12</x:v>
      </x:c>
      <x:c r="Q6" s="3" t="s">
        <x:v>711</x:v>
      </x:c>
      <x:c r="R6" s="3" t="s">
        <x:v>677</x:v>
      </x:c>
      <x:c r="S6" s="3">
        <x:v>0.12</x:v>
      </x:c>
      <x:c r="T6" s="3" t="s">
        <x:v>691</x:v>
      </x:c>
      <x:c r="U6" s="3" t="s">
        <x:v>677</x:v>
      </x:c>
      <x:c r="V6" s="3">
        <x:v>2.2000000000000002</x:v>
      </x:c>
      <x:c r="W6" s="3" t="s">
        <x:v>617</x:v>
      </x:c>
      <x:c r="X6" s="3" t="s">
        <x:v>677</x:v>
      </x:c>
      <x:c r="Y6" s="3">
        <x:v>2.3999999999999999</x:v>
      </x:c>
      <x:c r="Z6" s="3" t="s">
        <x:v>987</x:v>
      </x:c>
      <x:c r="AA6" s="4"/>
      <x:c r="AB6" s="3" t="s">
        <x:v>671</x:v>
      </x:c>
      <x:c r="AC6" s="3" t="s">
        <x:v>716</x:v>
      </x:c>
      <x:c r="AD6" s="3" t="s">
        <x:v>688</x:v>
      </x:c>
      <x:c r="AE6" s="3" t="s">
        <x:v>125</x:v>
      </x:c>
      <x:c r="AF6" s="3" t="s">
        <x:v>655</x:v>
      </x:c>
      <x:c r="AG6" s="3" t="s">
        <x:v>688</x:v>
      </x:c>
      <x:c r="AH6" s="3" t="s">
        <x:v>671</x:v>
      </x:c>
      <x:c r="AI6" s="3" t="s">
        <x:v>811</x:v>
      </x:c>
      <x:c r="AJ6" s="4"/>
      <x:c r="AK6" s="3" t="s">
        <x:v>359</x:v>
      </x:c>
      <x:c r="AL6" s="4"/>
      <x:c r="AM6" s="27" t="s">
        <x:v>935</x:v>
      </x:c>
      <x:c r="AN6" s="7"/>
      <x:c r="AO6" s="5">
        <x:v>3</x:v>
      </x:c>
      <x:c r="AP6" s="5" t="s">
        <x:v>222</x:v>
      </x:c>
      <x:c r="AQ6" s="7"/>
      <x:c r="AR6" s="7"/>
      <x:c r="AS6" s="7"/>
      <x:c r="AT6" s="7"/>
    </x:row>
    <x:row r="7" spans="1:46" ht="33.75" customHeight="1">
      <x:c r="A7" s="3">
        <x:v>4</x:v>
      </x:c>
      <x:c r="B7" s="3" t="s">
        <x:v>425</x:v>
      </x:c>
      <x:c r="C7" s="3" t="s">
        <x:v>677</x:v>
      </x:c>
      <x:c r="D7" s="3">
        <x:v>3</x:v>
      </x:c>
      <x:c r="E7" s="3" t="s">
        <x:v>156</x:v>
      </x:c>
      <x:c r="F7" s="3" t="s">
        <x:v>69</x:v>
      </x:c>
      <x:c r="G7" s="3" t="s">
        <x:v>430</x:v>
      </x:c>
      <x:c r="H7" s="3" t="s">
        <x:v>57</x:v>
      </x:c>
      <x:c r="I7" s="4"/>
      <x:c r="J7" s="3" t="s">
        <x:v>653</x:v>
      </x:c>
      <x:c r="K7" s="4"/>
      <x:c r="L7" s="4"/>
      <x:c r="M7" s="3" t="s">
        <x:v>856</x:v>
      </x:c>
      <x:c r="N7" s="3" t="s">
        <x:v>704</x:v>
      </x:c>
      <x:c r="O7" s="3" t="s">
        <x:v>677</x:v>
      </x:c>
      <x:c r="P7" s="3">
        <x:v>0.20000000000000001</x:v>
      </x:c>
      <x:c r="Q7" s="3" t="s">
        <x:v>704</x:v>
      </x:c>
      <x:c r="R7" s="3" t="s">
        <x:v>677</x:v>
      </x:c>
      <x:c r="S7" s="3">
        <x:v>0.20000000000000001</x:v>
      </x:c>
      <x:c r="T7" s="3" t="s">
        <x:v>746</x:v>
      </x:c>
      <x:c r="U7" s="3" t="s">
        <x:v>677</x:v>
      </x:c>
      <x:c r="V7" s="3">
        <x:v>2.2000000000000002</x:v>
      </x:c>
      <x:c r="W7" s="3" t="s">
        <x:v>713</x:v>
      </x:c>
      <x:c r="X7" s="3" t="s">
        <x:v>677</x:v>
      </x:c>
      <x:c r="Y7" s="3">
        <x:v>2.5</x:v>
      </x:c>
      <x:c r="Z7" s="3" t="s">
        <x:v>965</x:v>
      </x:c>
      <x:c r="AA7" s="3" t="s">
        <x:v>81</x:v>
      </x:c>
      <x:c r="AB7" s="3" t="s">
        <x:v>671</x:v>
      </x:c>
      <x:c r="AC7" s="3" t="s">
        <x:v>716</x:v>
      </x:c>
      <x:c r="AD7" s="3" t="s">
        <x:v>688</x:v>
      </x:c>
      <x:c r="AE7" s="3" t="s">
        <x:v>671</x:v>
      </x:c>
      <x:c r="AF7" s="3" t="s">
        <x:v>811</x:v>
      </x:c>
      <x:c r="AG7" s="4"/>
      <x:c r="AH7" s="4"/>
      <x:c r="AI7" s="4"/>
      <x:c r="AJ7" s="4"/>
      <x:c r="AK7" s="3" t="s">
        <x:v>41</x:v>
      </x:c>
      <x:c r="AL7" s="3"/>
      <x:c r="AM7" s="28" t="s">
        <x:v>396</x:v>
      </x:c>
      <x:c r="AN7" s="7"/>
      <x:c r="AO7" s="5">
        <x:v>3</x:v>
      </x:c>
      <x:c r="AP7" s="5" t="s">
        <x:v>838</x:v>
      </x:c>
      <x:c r="AQ7" s="7"/>
      <x:c r="AR7" s="7"/>
      <x:c r="AS7" s="7"/>
      <x:c r="AT7" s="7"/>
    </x:row>
    <x:row r="8" spans="1:46" ht="33.75" customHeight="1">
      <x:c r="A8" s="3">
        <x:v>5</x:v>
      </x:c>
      <x:c r="B8" s="3" t="s">
        <x:v>650</x:v>
      </x:c>
      <x:c r="C8" s="3" t="s">
        <x:v>677</x:v>
      </x:c>
      <x:c r="D8" s="3">
        <x:v>3</x:v>
      </x:c>
      <x:c r="E8" s="3" t="s">
        <x:v>173</x:v>
      </x:c>
      <x:c r="F8" s="3" t="s">
        <x:v>69</x:v>
      </x:c>
      <x:c r="G8" s="3" t="s">
        <x:v>433</x:v>
      </x:c>
      <x:c r="H8" s="3" t="s">
        <x:v>57</x:v>
      </x:c>
      <x:c r="I8" s="4"/>
      <x:c r="J8" s="3" t="s">
        <x:v>653</x:v>
      </x:c>
      <x:c r="K8" s="4"/>
      <x:c r="L8" s="4"/>
      <x:c r="M8" s="3" t="s">
        <x:v>285</x:v>
      </x:c>
      <x:c r="N8" s="3" t="s">
        <x:v>706</x:v>
      </x:c>
      <x:c r="O8" s="3" t="s">
        <x:v>677</x:v>
      </x:c>
      <x:c r="P8" s="3">
        <x:v>0.76000000000000001</x:v>
      </x:c>
      <x:c r="Q8" s="3" t="s">
        <x:v>706</x:v>
      </x:c>
      <x:c r="R8" s="3" t="s">
        <x:v>677</x:v>
      </x:c>
      <x:c r="S8" s="3">
        <x:v>0.76000000000000001</x:v>
      </x:c>
      <x:c r="T8" s="3" t="s">
        <x:v>707</x:v>
      </x:c>
      <x:c r="U8" s="3" t="s">
        <x:v>677</x:v>
      </x:c>
      <x:c r="V8" s="3">
        <x:v>0.32000000000000001</x:v>
      </x:c>
      <x:c r="W8" s="3" t="s">
        <x:v>691</x:v>
      </x:c>
      <x:c r="X8" s="3" t="s">
        <x:v>677</x:v>
      </x:c>
      <x:c r="Y8" s="3">
        <x:v>1.3</x:v>
      </x:c>
      <x:c r="Z8" s="3" t="s">
        <x:v>869</x:v>
      </x:c>
      <x:c r="AA8" s="3" t="s">
        <x:v>130</x:v>
      </x:c>
      <x:c r="AB8" s="3" t="s">
        <x:v>671</x:v>
      </x:c>
      <x:c r="AC8" s="3" t="s">
        <x:v>716</x:v>
      </x:c>
      <x:c r="AD8" s="3" t="s">
        <x:v>688</x:v>
      </x:c>
      <x:c r="AE8" s="3" t="s">
        <x:v>671</x:v>
      </x:c>
      <x:c r="AF8" s="3" t="s">
        <x:v>811</x:v>
      </x:c>
      <x:c r="AG8" s="4"/>
      <x:c r="AH8" s="3" t="s">
        <x:v>717</x:v>
      </x:c>
      <x:c r="AI8" s="3" t="s">
        <x:v>703</x:v>
      </x:c>
      <x:c r="AJ8" s="3" t="s">
        <x:v>688</x:v>
      </x:c>
      <x:c r="AK8" s="4"/>
      <x:c r="AL8" s="3" t="s">
        <x:v>265</x:v>
      </x:c>
      <x:c r="AM8" s="27" t="s">
        <x:v>850</x:v>
      </x:c>
      <x:c r="AN8" s="7"/>
      <x:c r="AO8" s="5">
        <x:v>3</x:v>
      </x:c>
      <x:c r="AP8" s="5" t="s">
        <x:v>417</x:v>
      </x:c>
      <x:c r="AQ8" s="7"/>
      <x:c r="AR8" s="7"/>
      <x:c r="AS8" s="7"/>
      <x:c r="AT8" s="7"/>
    </x:row>
    <x:row r="9" spans="1:46" ht="65.84999999999999431566">
      <x:c r="A9" s="3">
        <x:v>6</x:v>
      </x:c>
      <x:c r="B9" s="3" t="s">
        <x:v>829</x:v>
      </x:c>
      <x:c r="C9" s="3"/>
      <x:c r="D9" s="3">
        <x:v>3</x:v>
      </x:c>
      <x:c r="E9" s="3" t="s">
        <x:v>155</x:v>
      </x:c>
      <x:c r="F9" s="3" t="s">
        <x:v>53</x:v>
      </x:c>
      <x:c r="G9" s="3" t="s">
        <x:v>834</x:v>
      </x:c>
      <x:c r="H9" s="4"/>
      <x:c r="I9" s="3" t="s">
        <x:v>57</x:v>
      </x:c>
      <x:c r="J9" s="3" t="s">
        <x:v>701</x:v>
      </x:c>
      <x:c r="K9" s="3" t="s">
        <x:v>674</x:v>
      </x:c>
      <x:c r="L9" s="3" t="s">
        <x:v>55</x:v>
      </x:c>
      <x:c r="M9" s="3" t="s">
        <x:v>1040</x:v>
      </x:c>
      <x:c r="N9" s="3" t="s">
        <x:v>690</x:v>
      </x:c>
      <x:c r="O9" s="3" t="s">
        <x:v>677</x:v>
      </x:c>
      <x:c r="P9" s="3">
        <x:v>1.3999999999999999</x:v>
      </x:c>
      <x:c r="Q9" s="3" t="s">
        <x:v>690</x:v>
      </x:c>
      <x:c r="R9" s="3" t="s">
        <x:v>677</x:v>
      </x:c>
      <x:c r="S9" s="3">
        <x:v>1.3999999999999999</x:v>
      </x:c>
      <x:c r="T9" s="3" t="s">
        <x:v>614</x:v>
      </x:c>
      <x:c r="U9" s="3" t="s">
        <x:v>677</x:v>
      </x:c>
      <x:c r="V9" s="3">
        <x:v>0.99399999999999999</x:v>
      </x:c>
      <x:c r="W9" s="3" t="s">
        <x:v>697</x:v>
      </x:c>
      <x:c r="X9" s="3" t="s">
        <x:v>677</x:v>
      </x:c>
      <x:c r="Y9" s="3">
        <x:v>2</x:v>
      </x:c>
      <x:c r="Z9" s="3" t="s">
        <x:v>318</x:v>
      </x:c>
      <x:c r="AA9" s="4"/>
      <x:c r="AB9" s="3" t="s">
        <x:v>671</x:v>
      </x:c>
      <x:c r="AC9" s="3" t="s">
        <x:v>716</x:v>
      </x:c>
      <x:c r="AD9" s="3" t="s">
        <x:v>688</x:v>
      </x:c>
      <x:c r="AE9" s="3" t="s">
        <x:v>671</x:v>
      </x:c>
      <x:c r="AF9" s="3" t="s">
        <x:v>776</x:v>
      </x:c>
      <x:c r="AG9" s="3" t="s">
        <x:v>692</x:v>
      </x:c>
      <x:c r="AH9" s="4"/>
      <x:c r="AI9" s="4"/>
      <x:c r="AJ9" s="4"/>
      <x:c r="AK9" s="3" t="s">
        <x:v>218</x:v>
      </x:c>
      <x:c r="AL9" s="4"/>
      <x:c r="AM9" s="27" t="s">
        <x:v>416</x:v>
      </x:c>
      <x:c r="AN9" s="7"/>
      <x:c r="AO9" s="5" t="s">
        <x:v>92</x:v>
      </x:c>
      <x:c r="AP9" s="5" t="s">
        <x:v>925</x:v>
      </x:c>
      <x:c r="AQ9" s="7"/>
      <x:c r="AR9" s="7"/>
      <x:c r="AS9" s="7"/>
      <x:c r="AT9" s="7"/>
    </x:row>
    <x:row r="10" spans="1:46" ht="39.54999999999999715783">
      <x:c r="A10" s="3">
        <x:v>7</x:v>
      </x:c>
      <x:c r="B10" s="3" t="s">
        <x:v>716</x:v>
      </x:c>
      <x:c r="C10" s="3" t="s">
        <x:v>688</x:v>
      </x:c>
      <x:c r="D10" s="3">
        <x:v>3</x:v>
      </x:c>
      <x:c r="E10" s="3" t="s">
        <x:v>147</x:v>
      </x:c>
      <x:c r="F10" s="3" t="s">
        <x:v>69</x:v>
      </x:c>
      <x:c r="G10" s="3" t="s">
        <x:v>841</x:v>
      </x:c>
      <x:c r="H10" s="3" t="s">
        <x:v>57</x:v>
      </x:c>
      <x:c r="I10" s="4"/>
      <x:c r="J10" s="3" t="s">
        <x:v>669</x:v>
      </x:c>
      <x:c r="K10" s="3" t="s">
        <x:v>669</x:v>
      </x:c>
      <x:c r="L10" s="3" t="s">
        <x:v>55</x:v>
      </x:c>
      <x:c r="M10" s="3" t="s">
        <x:v>366</x:v>
      </x:c>
      <x:c r="N10" s="3" t="s">
        <x:v>699</x:v>
      </x:c>
      <x:c r="O10" s="3" t="s">
        <x:v>677</x:v>
      </x:c>
      <x:c r="P10" s="3">
        <x:v>0.71099999999999997</x:v>
      </x:c>
      <x:c r="Q10" s="3" t="s">
        <x:v>699</x:v>
      </x:c>
      <x:c r="R10" s="3" t="s">
        <x:v>677</x:v>
      </x:c>
      <x:c r="S10" s="3">
        <x:v>0.71099999999999997</x:v>
      </x:c>
      <x:c r="T10" s="3" t="s">
        <x:v>645</x:v>
      </x:c>
      <x:c r="U10" s="3" t="s">
        <x:v>677</x:v>
      </x:c>
      <x:c r="V10" s="3">
        <x:v>5.5</x:v>
      </x:c>
      <x:c r="W10" s="3" t="s">
        <x:v>619</x:v>
      </x:c>
      <x:c r="X10" s="3" t="s">
        <x:v>677</x:v>
      </x:c>
      <x:c r="Y10" s="3">
        <x:v>6.2000000000000002</x:v>
      </x:c>
      <x:c r="Z10" s="3" t="s">
        <x:v>313</x:v>
      </x:c>
      <x:c r="AA10" s="3" t="s">
        <x:v>146</x:v>
      </x:c>
      <x:c r="AB10" s="3" t="s">
        <x:v>671</x:v>
      </x:c>
      <x:c r="AC10" s="3" t="s">
        <x:v>716</x:v>
      </x:c>
      <x:c r="AD10" s="3" t="s">
        <x:v>688</x:v>
      </x:c>
      <x:c r="AE10" s="4"/>
      <x:c r="AF10" s="4"/>
      <x:c r="AG10" s="4"/>
      <x:c r="AH10" s="4"/>
      <x:c r="AI10" s="4"/>
      <x:c r="AJ10" s="4"/>
      <x:c r="AK10" s="3" t="s">
        <x:v>1043</x:v>
      </x:c>
      <x:c r="AL10" s="3" t="s">
        <x:v>257</x:v>
      </x:c>
      <x:c r="AM10" s="28" t="s">
        <x:v>847</x:v>
      </x:c>
      <x:c r="AN10" s="7"/>
      <x:c r="AO10" s="5" t="s">
        <x:v>133</x:v>
      </x:c>
      <x:c r="AP10" s="5" t="s">
        <x:v>926</x:v>
      </x:c>
      <x:c r="AQ10" s="7"/>
      <x:c r="AR10" s="7"/>
      <x:c r="AS10" s="7"/>
      <x:c r="AT10" s="7"/>
    </x:row>
    <x:row r="11" spans="1:46" ht="43.5" customHeight="1">
      <x:c r="A11" s="3">
        <x:v>8</x:v>
      </x:c>
      <x:c r="B11" s="3" t="s">
        <x:v>657</x:v>
      </x:c>
      <x:c r="C11" s="4"/>
      <x:c r="D11" s="3">
        <x:v>3</x:v>
      </x:c>
      <x:c r="E11" s="3" t="s">
        <x:v>111</x:v>
      </x:c>
      <x:c r="F11" s="3" t="s">
        <x:v>53</x:v>
      </x:c>
      <x:c r="G11" s="3" t="s">
        <x:v>766</x:v>
      </x:c>
      <x:c r="H11" s="4"/>
      <x:c r="I11" s="3" t="s">
        <x:v>57</x:v>
      </x:c>
      <x:c r="J11" s="3" t="s">
        <x:v>669</x:v>
      </x:c>
      <x:c r="K11" s="3" t="s">
        <x:v>669</x:v>
      </x:c>
      <x:c r="L11" s="3" t="s">
        <x:v>55</x:v>
      </x:c>
      <x:c r="M11" s="3" t="s">
        <x:v>360</x:v>
      </x:c>
      <x:c r="N11" s="3" t="s">
        <x:v>693</x:v>
      </x:c>
      <x:c r="O11" s="3" t="s">
        <x:v>677</x:v>
      </x:c>
      <x:c r="P11" s="3">
        <x:v>0.63300000000000001</x:v>
      </x:c>
      <x:c r="Q11" s="3" t="s">
        <x:v>693</x:v>
      </x:c>
      <x:c r="R11" s="3" t="s">
        <x:v>677</x:v>
      </x:c>
      <x:c r="S11" s="3">
        <x:v>0.63300000000000001</x:v>
      </x:c>
      <x:c r="T11" s="3" t="s">
        <x:v>527</x:v>
      </x:c>
      <x:c r="U11" s="3" t="s">
        <x:v>677</x:v>
      </x:c>
      <x:c r="V11" s="3">
        <x:v>1.2</x:v>
      </x:c>
      <x:c r="W11" s="3" t="s">
        <x:v>708</x:v>
      </x:c>
      <x:c r="X11" s="3" t="s">
        <x:v>677</x:v>
      </x:c>
      <x:c r="Y11" s="3">
        <x:v>1.8</x:v>
      </x:c>
      <x:c r="Z11" s="3" t="s">
        <x:v>901</x:v>
      </x:c>
      <x:c r="AA11" s="4"/>
      <x:c r="AB11" s="3" t="s">
        <x:v>671</x:v>
      </x:c>
      <x:c r="AC11" s="3" t="s">
        <x:v>716</x:v>
      </x:c>
      <x:c r="AD11" s="3" t="s">
        <x:v>688</x:v>
      </x:c>
      <x:c r="AE11" s="3" t="s">
        <x:v>671</x:v>
      </x:c>
      <x:c r="AF11" s="3" t="s">
        <x:v>776</x:v>
      </x:c>
      <x:c r="AG11" s="3" t="s">
        <x:v>692</x:v>
      </x:c>
      <x:c r="AH11" s="3" t="s">
        <x:v>125</x:v>
      </x:c>
      <x:c r="AI11" s="3" t="s">
        <x:v>655</x:v>
      </x:c>
      <x:c r="AJ11" s="3" t="s">
        <x:v>688</x:v>
      </x:c>
      <x:c r="AK11" s="3" t="s">
        <x:v>511</x:v>
      </x:c>
      <x:c r="AL11" s="4"/>
      <x:c r="AM11" s="29" t="s">
        <x:v>938</x:v>
      </x:c>
      <x:c r="AN11" s="7"/>
      <x:c r="AO11" s="5" t="s">
        <x:v>104</x:v>
      </x:c>
      <x:c r="AP11" s="5" t="s">
        <x:v>6</x:v>
      </x:c>
      <x:c r="AQ11" s="7"/>
      <x:c r="AR11" s="7"/>
      <x:c r="AS11" s="7"/>
      <x:c r="AT11" s="7"/>
    </x:row>
    <x:row r="12" spans="1:46" ht="33.75" customHeight="1">
      <x:c r="A12" s="3">
        <x:v>9</x:v>
      </x:c>
      <x:c r="B12" s="3" t="s">
        <x:v>801</x:v>
      </x:c>
      <x:c r="C12" s="4"/>
      <x:c r="D12" s="3">
        <x:v>3</x:v>
      </x:c>
      <x:c r="E12" s="3" t="s">
        <x:v>131</x:v>
      </x:c>
      <x:c r="F12" s="3" t="s">
        <x:v>69</x:v>
      </x:c>
      <x:c r="G12" s="3" t="s">
        <x:v>789</x:v>
      </x:c>
      <x:c r="H12" s="4"/>
      <x:c r="I12" s="3" t="s">
        <x:v>57</x:v>
      </x:c>
      <x:c r="J12" s="3" t="s">
        <x:v>663</x:v>
      </x:c>
      <x:c r="K12" s="3" t="s">
        <x:v>790</x:v>
      </x:c>
      <x:c r="L12" s="3" t="s">
        <x:v>55</x:v>
      </x:c>
      <x:c r="M12" s="3" t="s">
        <x:v>291</x:v>
      </x:c>
      <x:c r="N12" s="3" t="s">
        <x:v>750</x:v>
      </x:c>
      <x:c r="O12" s="3" t="s">
        <x:v>677</x:v>
      </x:c>
      <x:c r="P12" s="3">
        <x:v>0.93500000000000005</x:v>
      </x:c>
      <x:c r="Q12" s="3" t="s">
        <x:v>750</x:v>
      </x:c>
      <x:c r="R12" s="3" t="s">
        <x:v>677</x:v>
      </x:c>
      <x:c r="S12" s="3">
        <x:v>0.93500000000000005</x:v>
      </x:c>
      <x:c r="T12" s="3" t="s">
        <x:v>738</x:v>
      </x:c>
      <x:c r="U12" s="3" t="s">
        <x:v>677</x:v>
      </x:c>
      <x:c r="V12" s="3">
        <x:v>1.3</x:v>
      </x:c>
      <x:c r="W12" s="3" t="s">
        <x:v>702</x:v>
      </x:c>
      <x:c r="X12" s="3" t="s">
        <x:v>677</x:v>
      </x:c>
      <x:c r="Y12" s="3">
        <x:v>1.3999999999999999</x:v>
      </x:c>
      <x:c r="Z12" s="3" t="s">
        <x:v>883</x:v>
      </x:c>
      <x:c r="AA12" s="4"/>
      <x:c r="AB12" s="3" t="s">
        <x:v>671</x:v>
      </x:c>
      <x:c r="AC12" s="3" t="s">
        <x:v>716</x:v>
      </x:c>
      <x:c r="AD12" s="3" t="s">
        <x:v>688</x:v>
      </x:c>
      <x:c r="AE12" s="3" t="s">
        <x:v>125</x:v>
      </x:c>
      <x:c r="AF12" s="3" t="s">
        <x:v>655</x:v>
      </x:c>
      <x:c r="AG12" s="3" t="s">
        <x:v>688</x:v>
      </x:c>
      <x:c r="AH12" s="4"/>
      <x:c r="AI12" s="4"/>
      <x:c r="AJ12" s="4"/>
      <x:c r="AK12" s="3" t="s">
        <x:v>556</x:v>
      </x:c>
      <x:c r="AL12" s="3" t="s">
        <x:v>350</x:v>
      </x:c>
      <x:c r="AM12" s="29" t="s">
        <x:v>293</x:v>
      </x:c>
      <x:c r="AN12" s="7"/>
      <x:c r="AO12" s="5"/>
      <x:c r="AP12" s="7"/>
      <x:c r="AQ12" s="7"/>
      <x:c r="AR12" s="7"/>
      <x:c r="AS12" s="7"/>
      <x:c r="AT12" s="7"/>
    </x:row>
    <x:row r="13" spans="1:46" ht="26.35000000000000142109">
      <x:c r="A13" s="3">
        <x:v>10</x:v>
      </x:c>
      <x:c r="B13" s="3" t="s">
        <x:v>801</x:v>
      </x:c>
      <x:c r="C13" s="4"/>
      <x:c r="D13" s="3">
        <x:v>3</x:v>
      </x:c>
      <x:c r="E13" s="3" t="s">
        <x:v>160</x:v>
      </x:c>
      <x:c r="F13" s="3" t="s">
        <x:v>69</x:v>
      </x:c>
      <x:c r="G13" s="3" t="s">
        <x:v>760</x:v>
      </x:c>
      <x:c r="H13" s="4"/>
      <x:c r="I13" s="3" t="s">
        <x:v>57</x:v>
      </x:c>
      <x:c r="J13" s="3" t="s">
        <x:v>663</x:v>
      </x:c>
      <x:c r="K13" s="3" t="s">
        <x:v>790</x:v>
      </x:c>
      <x:c r="L13" s="3" t="s">
        <x:v>61</x:v>
      </x:c>
      <x:c r="M13" s="3" t="s">
        <x:v>1042</x:v>
      </x:c>
      <x:c r="N13" s="3" t="s">
        <x:v>712</x:v>
      </x:c>
      <x:c r="O13" s="3" t="s">
        <x:v>677</x:v>
      </x:c>
      <x:c r="P13" s="3">
        <x:v>0.57799999999999996</x:v>
      </x:c>
      <x:c r="Q13" s="3" t="s">
        <x:v>712</x:v>
      </x:c>
      <x:c r="R13" s="3" t="s">
        <x:v>677</x:v>
      </x:c>
      <x:c r="S13" s="3">
        <x:v>0.57799999999999996</x:v>
      </x:c>
      <x:c r="T13" s="3" t="s">
        <x:v>714</x:v>
      </x:c>
      <x:c r="U13" s="3" t="s">
        <x:v>677</x:v>
      </x:c>
      <x:c r="V13" s="3">
        <x:v>0.74099999999999999</x:v>
      </x:c>
      <x:c r="W13" s="3" t="s">
        <x:v>705</x:v>
      </x:c>
      <x:c r="X13" s="3" t="s">
        <x:v>677</x:v>
      </x:c>
      <x:c r="Y13" s="3">
        <x:v>1</x:v>
      </x:c>
      <x:c r="Z13" s="3" t="s">
        <x:v>860</x:v>
      </x:c>
      <x:c r="AA13" s="4"/>
      <x:c r="AB13" s="3" t="s">
        <x:v>671</x:v>
      </x:c>
      <x:c r="AC13" s="3" t="s">
        <x:v>716</x:v>
      </x:c>
      <x:c r="AD13" s="3" t="s">
        <x:v>688</x:v>
      </x:c>
      <x:c r="AE13" s="3" t="s">
        <x:v>671</x:v>
      </x:c>
      <x:c r="AF13" s="3" t="s">
        <x:v>776</x:v>
      </x:c>
      <x:c r="AG13" s="3" t="s">
        <x:v>692</x:v>
      </x:c>
      <x:c r="AH13" s="3" t="s">
        <x:v>125</x:v>
      </x:c>
      <x:c r="AI13" s="3" t="s">
        <x:v>655</x:v>
      </x:c>
      <x:c r="AJ13" s="3" t="s">
        <x:v>688</x:v>
      </x:c>
      <x:c r="AK13" s="3" t="s">
        <x:v>284</x:v>
      </x:c>
      <x:c r="AL13" s="3" t="s">
        <x:v>272</x:v>
      </x:c>
      <x:c r="AM13" s="29" t="s">
        <x:v>293</x:v>
      </x:c>
      <x:c r="AN13" s="7"/>
      <x:c r="AO13" s="5"/>
      <x:c r="AP13" s="7"/>
      <x:c r="AQ13" s="7"/>
      <x:c r="AR13" s="7"/>
      <x:c r="AS13" s="7"/>
      <x:c r="AT13" s="7"/>
    </x:row>
    <x:row r="14" spans="1:46" ht="39.54999999999999715783">
      <x:c r="A14" s="3">
        <x:v>11</x:v>
      </x:c>
      <x:c r="B14" s="3" t="s">
        <x:v>753</x:v>
      </x:c>
      <x:c r="C14" s="4"/>
      <x:c r="D14" s="3">
        <x:v>3</x:v>
      </x:c>
      <x:c r="E14" s="3" t="s">
        <x:v>157</x:v>
      </x:c>
      <x:c r="F14" s="3" t="s">
        <x:v>69</x:v>
      </x:c>
      <x:c r="G14" s="3" t="s">
        <x:v>774</x:v>
      </x:c>
      <x:c r="H14" s="4"/>
      <x:c r="I14" s="3" t="s">
        <x:v>57</x:v>
      </x:c>
      <x:c r="J14" s="3" t="s">
        <x:v>669</x:v>
      </x:c>
      <x:c r="K14" s="3" t="s">
        <x:v>669</x:v>
      </x:c>
      <x:c r="L14" s="3" t="s">
        <x:v>61</x:v>
      </x:c>
      <x:c r="M14" s="3" t="s">
        <x:v>375</x:v>
      </x:c>
      <x:c r="N14" s="3" t="s">
        <x:v>706</x:v>
      </x:c>
      <x:c r="O14" s="3" t="s">
        <x:v>677</x:v>
      </x:c>
      <x:c r="P14" s="3">
        <x:v>0.311</x:v>
      </x:c>
      <x:c r="Q14" s="3" t="s">
        <x:v>706</x:v>
      </x:c>
      <x:c r="R14" s="3" t="s">
        <x:v>677</x:v>
      </x:c>
      <x:c r="S14" s="3">
        <x:v>0.311</x:v>
      </x:c>
      <x:c r="T14" s="3" t="s">
        <x:v>707</x:v>
      </x:c>
      <x:c r="U14" s="3" t="s">
        <x:v>677</x:v>
      </x:c>
      <x:c r="V14" s="3">
        <x:v>0.76800000000000002</x:v>
      </x:c>
      <x:c r="W14" s="3" t="s">
        <x:v>617</x:v>
      </x:c>
      <x:c r="X14" s="3" t="s">
        <x:v>677</x:v>
      </x:c>
      <x:c r="Y14" s="3">
        <x:v>0.85799999999999998</x:v>
      </x:c>
      <x:c r="Z14" s="3" t="s">
        <x:v>875</x:v>
      </x:c>
      <x:c r="AA14" s="4"/>
      <x:c r="AB14" s="3" t="s">
        <x:v>671</x:v>
      </x:c>
      <x:c r="AC14" s="3" t="s">
        <x:v>716</x:v>
      </x:c>
      <x:c r="AD14" s="3" t="s">
        <x:v>688</x:v>
      </x:c>
      <x:c r="AE14" s="4"/>
      <x:c r="AF14" s="4"/>
      <x:c r="AG14" s="4"/>
      <x:c r="AH14" s="4"/>
      <x:c r="AI14" s="4"/>
      <x:c r="AJ14" s="4"/>
      <x:c r="AK14" s="3" t="s">
        <x:v>1036</x:v>
      </x:c>
      <x:c r="AL14" s="3" t="s">
        <x:v>352</x:v>
      </x:c>
      <x:c r="AM14" s="29" t="s">
        <x:v>282</x:v>
      </x:c>
      <x:c r="AN14" s="7"/>
      <x:c r="AO14" s="7"/>
      <x:c r="AP14" s="7"/>
      <x:c r="AQ14" s="7"/>
      <x:c r="AR14" s="7"/>
      <x:c r="AS14" s="7"/>
      <x:c r="AT14" s="7"/>
    </x:row>
    <x:row r="15" spans="1:46" ht="33.75" customHeight="1">
      <x:c r="A15" s="3">
        <x:v>12</x:v>
      </x:c>
      <x:c r="B15" s="3" t="s">
        <x:v>815</x:v>
      </x:c>
      <x:c r="C15" s="4"/>
      <x:c r="D15" s="3">
        <x:v>3</x:v>
      </x:c>
      <x:c r="E15" s="3" t="s">
        <x:v>635</x:v>
      </x:c>
      <x:c r="F15" s="3" t="s">
        <x:v>69</x:v>
      </x:c>
      <x:c r="G15" s="3" t="s">
        <x:v>813</x:v>
      </x:c>
      <x:c r="H15" s="4"/>
      <x:c r="I15" s="3" t="s">
        <x:v>57</x:v>
      </x:c>
      <x:c r="J15" s="3" t="s">
        <x:v>701</x:v>
      </x:c>
      <x:c r="K15" s="3" t="s">
        <x:v>790</x:v>
      </x:c>
      <x:c r="L15" s="3" t="s">
        <x:v>55</x:v>
      </x:c>
      <x:c r="M15" s="3" t="s">
        <x:v>379</x:v>
      </x:c>
      <x:c r="N15" s="3" t="s">
        <x:v>617</x:v>
      </x:c>
      <x:c r="O15" s="3" t="s">
        <x:v>677</x:v>
      </x:c>
      <x:c r="P15" s="3">
        <x:v>0.629</x:v>
      </x:c>
      <x:c r="Q15" s="3" t="s">
        <x:v>617</x:v>
      </x:c>
      <x:c r="R15" s="3" t="s">
        <x:v>677</x:v>
      </x:c>
      <x:c r="S15" s="3">
        <x:v>0.629</x:v>
      </x:c>
      <x:c r="T15" s="3" t="s">
        <x:v>706</x:v>
      </x:c>
      <x:c r="U15" s="3" t="s">
        <x:v>677</x:v>
      </x:c>
      <x:c r="V15" s="3">
        <x:v>1.3</x:v>
      </x:c>
      <x:c r="W15" s="3" t="s">
        <x:v>691</x:v>
      </x:c>
      <x:c r="X15" s="3" t="s">
        <x:v>677</x:v>
      </x:c>
      <x:c r="Y15" s="3">
        <x:v>1.3999999999999999</x:v>
      </x:c>
      <x:c r="Z15" s="3" t="s">
        <x:v>323</x:v>
      </x:c>
      <x:c r="AA15" s="4"/>
      <x:c r="AB15" s="3" t="s">
        <x:v>671</x:v>
      </x:c>
      <x:c r="AC15" s="3" t="s">
        <x:v>716</x:v>
      </x:c>
      <x:c r="AD15" s="3" t="s">
        <x:v>688</x:v>
      </x:c>
      <x:c r="AE15" s="4"/>
      <x:c r="AF15" s="4"/>
      <x:c r="AG15" s="4"/>
      <x:c r="AH15" s="4"/>
      <x:c r="AI15" s="4"/>
      <x:c r="AJ15" s="4"/>
      <x:c r="AK15" s="3" t="s">
        <x:v>552</x:v>
      </x:c>
      <x:c r="AL15" s="3" t="s">
        <x:v>963</x:v>
      </x:c>
      <x:c r="AM15" s="30" t="s">
        <x:v>1050</x:v>
      </x:c>
      <x:c r="AN15" s="5"/>
      <x:c r="AO15" s="5"/>
      <x:c r="AP15" s="7"/>
      <x:c r="AQ15" s="7"/>
      <x:c r="AR15" s="7"/>
      <x:c r="AS15" s="7"/>
      <x:c r="AT15" s="7"/>
    </x:row>
    <x:row r="16" spans="1:46" ht="26.35000000000000142109">
      <x:c r="A16" s="3">
        <x:v>13</x:v>
      </x:c>
      <x:c r="B16" s="3" t="s">
        <x:v>815</x:v>
      </x:c>
      <x:c r="C16" s="4"/>
      <x:c r="D16" s="3">
        <x:v>3</x:v>
      </x:c>
      <x:c r="E16" s="3" t="s">
        <x:v>651</x:v>
      </x:c>
      <x:c r="F16" s="3" t="s">
        <x:v>69</x:v>
      </x:c>
      <x:c r="G16" s="3" t="s">
        <x:v>770</x:v>
      </x:c>
      <x:c r="H16" s="4"/>
      <x:c r="I16" s="3" t="s">
        <x:v>57</x:v>
      </x:c>
      <x:c r="J16" s="3" t="s">
        <x:v>663</x:v>
      </x:c>
      <x:c r="K16" s="3" t="s">
        <x:v>663</x:v>
      </x:c>
      <x:c r="L16" s="3" t="s">
        <x:v>61</x:v>
      </x:c>
      <x:c r="M16" s="3" t="s">
        <x:v>362</x:v>
      </x:c>
      <x:c r="N16" s="3" t="s">
        <x:v>763</x:v>
      </x:c>
      <x:c r="O16" s="3" t="s">
        <x:v>677</x:v>
      </x:c>
      <x:c r="P16" s="3">
        <x:v>0.375</x:v>
      </x:c>
      <x:c r="Q16" s="3" t="s">
        <x:v>763</x:v>
      </x:c>
      <x:c r="R16" s="3" t="s">
        <x:v>677</x:v>
      </x:c>
      <x:c r="S16" s="3">
        <x:v>0.375</x:v>
      </x:c>
      <x:c r="T16" s="3" t="s">
        <x:v>706</x:v>
      </x:c>
      <x:c r="U16" s="3" t="s">
        <x:v>677</x:v>
      </x:c>
      <x:c r="V16" s="3">
        <x:v>3.8999999999999999</x:v>
      </x:c>
      <x:c r="W16" s="3" t="s">
        <x:v>617</x:v>
      </x:c>
      <x:c r="X16" s="3" t="s">
        <x:v>677</x:v>
      </x:c>
      <x:c r="Y16" s="3">
        <x:v>4.5</x:v>
      </x:c>
      <x:c r="Z16" s="3" t="s">
        <x:v>880</x:v>
      </x:c>
      <x:c r="AA16" s="4"/>
      <x:c r="AB16" s="3" t="s">
        <x:v>671</x:v>
      </x:c>
      <x:c r="AC16" s="3" t="s">
        <x:v>716</x:v>
      </x:c>
      <x:c r="AD16" s="3" t="s">
        <x:v>688</x:v>
      </x:c>
      <x:c r="AE16" s="4"/>
      <x:c r="AF16" s="4"/>
      <x:c r="AG16" s="4"/>
      <x:c r="AH16" s="4"/>
      <x:c r="AI16" s="4"/>
      <x:c r="AJ16" s="4"/>
      <x:c r="AK16" s="3" t="s">
        <x:v>389</x:v>
      </x:c>
      <x:c r="AL16" s="3" t="s">
        <x:v>352</x:v>
      </x:c>
      <x:c r="AM16" s="30" t="s">
        <x:v>1001</x:v>
      </x:c>
      <x:c r="AN16" s="5"/>
      <x:c r="AO16" s="7"/>
      <x:c r="AP16" s="7"/>
      <x:c r="AQ16" s="7"/>
      <x:c r="AR16" s="7"/>
      <x:c r="AS16" s="7"/>
      <x:c r="AT16" s="7"/>
    </x:row>
    <x:row r="17" spans="1:46" ht="26.35000000000000142109">
      <x:c r="A17" s="3">
        <x:v>14</x:v>
      </x:c>
      <x:c r="B17" s="3" t="s">
        <x:v>815</x:v>
      </x:c>
      <x:c r="C17" s="4"/>
      <x:c r="D17" s="3">
        <x:v>3</x:v>
      </x:c>
      <x:c r="E17" s="3" t="s">
        <x:v>626</x:v>
      </x:c>
      <x:c r="F17" s="3" t="s">
        <x:v>53</x:v>
      </x:c>
      <x:c r="G17" s="3" t="s">
        <x:v>569</x:v>
      </x:c>
      <x:c r="H17" s="4"/>
      <x:c r="I17" s="3" t="s">
        <x:v>57</x:v>
      </x:c>
      <x:c r="J17" s="3" t="s">
        <x:v>686</x:v>
      </x:c>
      <x:c r="K17" s="3" t="s">
        <x:v>674</x:v>
      </x:c>
      <x:c r="L17" s="3" t="s">
        <x:v>55</x:v>
      </x:c>
      <x:c r="M17" s="3" t="s">
        <x:v>457</x:v>
      </x:c>
      <x:c r="N17" s="3" t="s">
        <x:v>617</x:v>
      </x:c>
      <x:c r="O17" s="3" t="s">
        <x:v>677</x:v>
      </x:c>
      <x:c r="P17" s="3">
        <x:v>0.29999999999999999</x:v>
      </x:c>
      <x:c r="Q17" s="3" t="s">
        <x:v>617</x:v>
      </x:c>
      <x:c r="R17" s="3" t="s">
        <x:v>677</x:v>
      </x:c>
      <x:c r="S17" s="3">
        <x:v>0.29999999999999999</x:v>
      </x:c>
      <x:c r="T17" s="3" t="s">
        <x:v>706</x:v>
      </x:c>
      <x:c r="U17" s="3" t="s">
        <x:v>677</x:v>
      </x:c>
      <x:c r="V17" s="3">
        <x:v>1.3</x:v>
      </x:c>
      <x:c r="W17" s="3" t="s">
        <x:v>732</x:v>
      </x:c>
      <x:c r="X17" s="3" t="s">
        <x:v>677</x:v>
      </x:c>
      <x:c r="Y17" s="3">
        <x:v>1.3999999999999999</x:v>
      </x:c>
      <x:c r="Z17" s="3" t="s">
        <x:v>898</x:v>
      </x:c>
      <x:c r="AA17" s="4"/>
      <x:c r="AB17" s="3" t="s">
        <x:v>671</x:v>
      </x:c>
      <x:c r="AC17" s="3" t="s">
        <x:v>716</x:v>
      </x:c>
      <x:c r="AD17" s="3" t="s">
        <x:v>688</x:v>
      </x:c>
      <x:c r="AE17" s="4"/>
      <x:c r="AF17" s="4"/>
      <x:c r="AG17" s="4"/>
      <x:c r="AH17" s="4"/>
      <x:c r="AI17" s="4"/>
      <x:c r="AJ17" s="4"/>
      <x:c r="AK17" s="3" t="s">
        <x:v>353</x:v>
      </x:c>
      <x:c r="AL17" s="3" t="s">
        <x:v>506</x:v>
      </x:c>
      <x:c r="AM17" s="30" t="s">
        <x:v>929</x:v>
      </x:c>
      <x:c r="AN17" s="5"/>
      <x:c r="AO17" s="5"/>
      <x:c r="AP17" s="7"/>
      <x:c r="AQ17" s="7"/>
      <x:c r="AR17" s="7"/>
      <x:c r="AS17" s="7"/>
      <x:c r="AT17" s="7"/>
    </x:row>
    <x:row r="18" spans="1:39" ht="39.54999999999999715783">
      <x:c r="A18" s="3">
        <x:v>15</x:v>
      </x:c>
      <x:c r="B18" s="3" t="s">
        <x:v>815</x:v>
      </x:c>
      <x:c r="C18" s="4"/>
      <x:c r="D18" s="3">
        <x:v>3</x:v>
      </x:c>
      <x:c r="E18" s="8" t="s">
        <x:v>638</x:v>
      </x:c>
      <x:c r="F18" s="3" t="s">
        <x:v>53</x:v>
      </x:c>
      <x:c r="G18" s="3" t="s">
        <x:v>608</x:v>
      </x:c>
      <x:c r="H18" s="4"/>
      <x:c r="I18" s="3" t="s">
        <x:v>57</x:v>
      </x:c>
      <x:c r="J18" s="3" t="s">
        <x:v>669</x:v>
      </x:c>
      <x:c r="K18" s="3" t="s">
        <x:v>669</x:v>
      </x:c>
      <x:c r="L18" s="3" t="s">
        <x:v>55</x:v>
      </x:c>
      <x:c r="M18" s="3" t="s">
        <x:v>249</x:v>
      </x:c>
      <x:c r="N18" s="3" t="s">
        <x:v>736</x:v>
      </x:c>
      <x:c r="O18" s="3" t="s">
        <x:v>677</x:v>
      </x:c>
      <x:c r="P18" s="3">
        <x:v>0.63900000000000001</x:v>
      </x:c>
      <x:c r="Q18" s="3" t="s">
        <x:v>738</x:v>
      </x:c>
      <x:c r="R18" s="3" t="s">
        <x:v>677</x:v>
      </x:c>
      <x:c r="S18" s="3">
        <x:v>0.98399999999999999</x:v>
      </x:c>
      <x:c r="T18" s="3" t="s">
        <x:v>702</x:v>
      </x:c>
      <x:c r="U18" s="3" t="s">
        <x:v>677</x:v>
      </x:c>
      <x:c r="V18" s="3">
        <x:v>1</x:v>
      </x:c>
      <x:c r="W18" s="3" t="s">
        <x:v>724</x:v>
      </x:c>
      <x:c r="X18" s="3" t="s">
        <x:v>677</x:v>
      </x:c>
      <x:c r="Y18" s="3">
        <x:v>1.8999999999999999</x:v>
      </x:c>
      <x:c r="Z18" s="3" t="s">
        <x:v>884</x:v>
      </x:c>
      <x:c r="AA18" s="4"/>
      <x:c r="AB18" s="3" t="s">
        <x:v>671</x:v>
      </x:c>
      <x:c r="AC18" s="3" t="s">
        <x:v>716</x:v>
      </x:c>
      <x:c r="AD18" s="3" t="s">
        <x:v>688</x:v>
      </x:c>
      <x:c r="AE18" s="3" t="s">
        <x:v>671</x:v>
      </x:c>
      <x:c r="AF18" s="3" t="s">
        <x:v>776</x:v>
      </x:c>
      <x:c r="AG18" s="3" t="s">
        <x:v>692</x:v>
      </x:c>
      <x:c r="AH18" s="4"/>
      <x:c r="AI18" s="4"/>
      <x:c r="AJ18" s="4"/>
      <x:c r="AK18" s="3" t="s">
        <x:v>460</x:v>
      </x:c>
      <x:c r="AL18" s="3" t="s">
        <x:v>230</x:v>
      </x:c>
      <x:c r="AM18" s="30" t="s">
        <x:v>981</x:v>
      </x:c>
    </x:row>
    <x:row r="19" spans="1:46" ht="26.35000000000000142109">
      <x:c r="A19" s="3">
        <x:v>16</x:v>
      </x:c>
      <x:c r="B19" s="3" t="s">
        <x:v>815</x:v>
      </x:c>
      <x:c r="C19" s="4"/>
      <x:c r="D19" s="3">
        <x:v>3</x:v>
      </x:c>
      <x:c r="E19" s="8" t="s">
        <x:v>634</x:v>
      </x:c>
      <x:c r="F19" s="3" t="s">
        <x:v>69</x:v>
      </x:c>
      <x:c r="G19" s="3" t="s">
        <x:v>560</x:v>
      </x:c>
      <x:c r="H19" s="4"/>
      <x:c r="I19" s="3" t="s">
        <x:v>57</x:v>
      </x:c>
      <x:c r="J19" s="3" t="s">
        <x:v>669</x:v>
      </x:c>
      <x:c r="K19" s="3" t="s">
        <x:v>669</x:v>
      </x:c>
      <x:c r="L19" s="3" t="s">
        <x:v>55</x:v>
      </x:c>
      <x:c r="M19" s="3" t="s">
        <x:v>543</x:v>
      </x:c>
      <x:c r="N19" s="3" t="s">
        <x:v>763</x:v>
      </x:c>
      <x:c r="O19" s="3" t="s">
        <x:v>677</x:v>
      </x:c>
      <x:c r="P19" s="3">
        <x:v>0.187</x:v>
      </x:c>
      <x:c r="Q19" s="3" t="s">
        <x:v>763</x:v>
      </x:c>
      <x:c r="R19" s="3" t="s">
        <x:v>677</x:v>
      </x:c>
      <x:c r="S19" s="3">
        <x:v>0.187</x:v>
      </x:c>
      <x:c r="T19" s="3" t="s">
        <x:v>706</x:v>
      </x:c>
      <x:c r="U19" s="3" t="s">
        <x:v>677</x:v>
      </x:c>
      <x:c r="V19" s="3">
        <x:v>3.7999999999999998</x:v>
      </x:c>
      <x:c r="W19" s="3" t="s">
        <x:v>617</x:v>
      </x:c>
      <x:c r="X19" s="3" t="s">
        <x:v>677</x:v>
      </x:c>
      <x:c r="Y19" s="3">
        <x:v>4.4000000000000004</x:v>
      </x:c>
      <x:c r="Z19" s="3" t="s">
        <x:v>915</x:v>
      </x:c>
      <x:c r="AA19" s="4"/>
      <x:c r="AB19" s="3" t="s">
        <x:v>671</x:v>
      </x:c>
      <x:c r="AC19" s="3" t="s">
        <x:v>716</x:v>
      </x:c>
      <x:c r="AD19" s="3" t="s">
        <x:v>688</x:v>
      </x:c>
      <x:c r="AE19" s="3" t="s">
        <x:v>671</x:v>
      </x:c>
      <x:c r="AF19" s="3" t="s">
        <x:v>811</x:v>
      </x:c>
      <x:c r="AG19" s="4"/>
      <x:c r="AH19" s="4"/>
      <x:c r="AI19" s="4"/>
      <x:c r="AJ19" s="4"/>
      <x:c r="AK19" s="3" t="s">
        <x:v>450</x:v>
      </x:c>
      <x:c r="AL19" s="3" t="s">
        <x:v>355</x:v>
      </x:c>
      <x:c r="AM19" s="30" t="s">
        <x:v>981</x:v>
      </x:c>
      <x:c r="AN19" s="7"/>
      <x:c r="AO19" s="7"/>
      <x:c r="AP19" s="7"/>
      <x:c r="AQ19" s="7"/>
      <x:c r="AR19" s="7"/>
      <x:c r="AS19" s="7"/>
      <x:c r="AT19" s="7"/>
    </x:row>
    <x:row r="20" spans="1:41" ht="26.35000000000000142109">
      <x:c r="A20" s="3">
        <x:v>17</x:v>
      </x:c>
      <x:c r="B20" s="3" t="s">
        <x:v>609</x:v>
      </x:c>
      <x:c r="C20" s="4"/>
      <x:c r="D20" s="3">
        <x:v>3</x:v>
      </x:c>
      <x:c r="E20" s="3" t="s">
        <x:v>174</x:v>
      </x:c>
      <x:c r="F20" s="3" t="s">
        <x:v>69</x:v>
      </x:c>
      <x:c r="G20" s="3" t="s">
        <x:v>567</x:v>
      </x:c>
      <x:c r="H20" s="4"/>
      <x:c r="I20" s="3" t="s">
        <x:v>57</x:v>
      </x:c>
      <x:c r="J20" s="3" t="s">
        <x:v>669</x:v>
      </x:c>
      <x:c r="K20" s="3" t="s">
        <x:v>669</x:v>
      </x:c>
      <x:c r="L20" s="3" t="s">
        <x:v>55</x:v>
      </x:c>
      <x:c r="M20" s="3" t="s">
        <x:v>458</x:v>
      </x:c>
      <x:c r="N20" s="3" t="s">
        <x:v>719</x:v>
      </x:c>
      <x:c r="O20" s="3" t="s">
        <x:v>677</x:v>
      </x:c>
      <x:c r="P20" s="3">
        <x:v>0.010000000000000001</x:v>
      </x:c>
      <x:c r="Q20" s="3" t="s">
        <x:v>719</x:v>
      </x:c>
      <x:c r="R20" s="3" t="s">
        <x:v>677</x:v>
      </x:c>
      <x:c r="S20" s="3">
        <x:v>0.010000000000000001</x:v>
      </x:c>
      <x:c r="T20" s="3" t="s">
        <x:v>643</x:v>
      </x:c>
      <x:c r="U20" s="3" t="s">
        <x:v>677</x:v>
      </x:c>
      <x:c r="V20" s="3">
        <x:v>1.1000000000000001</x:v>
      </x:c>
      <x:c r="W20" s="3" t="s">
        <x:v>720</x:v>
      </x:c>
      <x:c r="X20" s="3" t="s">
        <x:v>677</x:v>
      </x:c>
      <x:c r="Y20" s="3">
        <x:v>2</x:v>
      </x:c>
      <x:c r="Z20" s="3" t="s">
        <x:v>877</x:v>
      </x:c>
      <x:c r="AA20" s="16" t="s">
        <x:v>606</x:v>
      </x:c>
      <x:c r="AB20" s="3" t="s">
        <x:v>671</x:v>
      </x:c>
      <x:c r="AC20" s="3" t="s">
        <x:v>716</x:v>
      </x:c>
      <x:c r="AD20" s="3" t="s">
        <x:v>688</x:v>
      </x:c>
      <x:c r="AE20" s="3" t="s">
        <x:v>671</x:v>
      </x:c>
      <x:c r="AF20" s="3" t="s">
        <x:v>776</x:v>
      </x:c>
      <x:c r="AG20" s="3" t="s">
        <x:v>692</x:v>
      </x:c>
      <x:c r="AH20" s="3" t="s">
        <x:v>125</x:v>
      </x:c>
      <x:c r="AI20" s="3" t="s">
        <x:v>655</x:v>
      </x:c>
      <x:c r="AJ20" s="3" t="s">
        <x:v>688</x:v>
      </x:c>
      <x:c r="AK20" s="3" t="s">
        <x:v>456</x:v>
      </x:c>
      <x:c r="AL20" s="4"/>
      <x:c r="AM20" s="29" t="s">
        <x:v>448</x:v>
      </x:c>
      <x:c r="AO20" s="13">
        <x:v>4</x:v>
      </x:c>
    </x:row>
    <x:row r="21" spans="1:46" ht="33.75" customHeight="1">
      <x:c r="A21" s="3">
        <x:v>18</x:v>
      </x:c>
      <x:c r="B21" s="3" t="s">
        <x:v>309</x:v>
      </x:c>
      <x:c r="C21" s="3" t="s">
        <x:v>103</x:v>
      </x:c>
      <x:c r="D21" s="3">
        <x:v>1</x:v>
      </x:c>
      <x:c r="E21" s="3" t="s">
        <x:v>182</x:v>
      </x:c>
      <x:c r="F21" s="3" t="s">
        <x:v>53</x:v>
      </x:c>
      <x:c r="G21" s="3" t="s">
        <x:v>431</x:v>
      </x:c>
      <x:c r="H21" s="4"/>
      <x:c r="I21" s="3" t="s">
        <x:v>57</x:v>
      </x:c>
      <x:c r="J21" s="3" t="s">
        <x:v>663</x:v>
      </x:c>
      <x:c r="K21" s="4"/>
      <x:c r="L21" s="4"/>
      <x:c r="M21" s="3" t="s">
        <x:v>371</x:v>
      </x:c>
      <x:c r="N21" s="3" t="s">
        <x:v>531</x:v>
      </x:c>
      <x:c r="O21" s="3" t="s">
        <x:v>677</x:v>
      </x:c>
      <x:c r="P21" s="3">
        <x:v>0.32100000000000001</x:v>
      </x:c>
      <x:c r="Q21" s="3" t="s">
        <x:v>531</x:v>
      </x:c>
      <x:c r="R21" s="3" t="s">
        <x:v>677</x:v>
      </x:c>
      <x:c r="S21" s="3">
        <x:v>0.32100000000000001</x:v>
      </x:c>
      <x:c r="T21" s="3" t="s">
        <x:v>532</x:v>
      </x:c>
      <x:c r="U21" s="3" t="s">
        <x:v>677</x:v>
      </x:c>
      <x:c r="V21" s="3">
        <x:v>0.69999999999999996</x:v>
      </x:c>
      <x:c r="W21" s="3" t="s">
        <x:v>725</x:v>
      </x:c>
      <x:c r="X21" s="3" t="s">
        <x:v>677</x:v>
      </x:c>
      <x:c r="Y21" s="3">
        <x:v>0.83299999999999996</x:v>
      </x:c>
      <x:c r="Z21" s="3" t="s">
        <x:v>870</x:v>
      </x:c>
      <x:c r="AA21" s="4"/>
      <x:c r="AB21" s="3" t="s">
        <x:v>671</x:v>
      </x:c>
      <x:c r="AC21" s="3" t="s">
        <x:v>716</x:v>
      </x:c>
      <x:c r="AD21" s="3" t="s">
        <x:v>688</x:v>
      </x:c>
      <x:c r="AE21" s="4"/>
      <x:c r="AF21" s="4"/>
      <x:c r="AG21" s="4"/>
      <x:c r="AH21" s="4"/>
      <x:c r="AI21" s="4"/>
      <x:c r="AJ21" s="4"/>
      <x:c r="AK21" s="3" t="s">
        <x:v>304</x:v>
      </x:c>
      <x:c r="AL21" s="3" t="s">
        <x:v>215</x:v>
      </x:c>
      <x:c r="AM21" s="31" t="s">
        <x:v>387</x:v>
      </x:c>
      <x:c r="AN21" s="7"/>
      <x:c r="AO21" s="7"/>
      <x:c r="AP21" s="7"/>
      <x:c r="AQ21" s="7"/>
      <x:c r="AR21" s="7"/>
      <x:c r="AS21" s="7"/>
      <x:c r="AT21" s="7"/>
    </x:row>
    <x:row r="22" spans="1:46" ht="26.35000000000000142109">
      <x:c r="A22" s="3">
        <x:v>19</x:v>
      </x:c>
      <x:c r="B22" s="3" t="s">
        <x:v>836</x:v>
      </x:c>
      <x:c r="C22" s="3" t="s">
        <x:v>677</x:v>
      </x:c>
      <x:c r="D22" s="3">
        <x:v>3</x:v>
      </x:c>
      <x:c r="E22" s="3" t="s">
        <x:v>149</x:v>
      </x:c>
      <x:c r="F22" s="3" t="s">
        <x:v>53</x:v>
      </x:c>
      <x:c r="G22" s="3" t="s">
        <x:v>832</x:v>
      </x:c>
      <x:c r="H22" s="3" t="s">
        <x:v>57</x:v>
      </x:c>
      <x:c r="I22" s="4"/>
      <x:c r="J22" s="3" t="s">
        <x:v>669</x:v>
      </x:c>
      <x:c r="K22" s="3" t="s">
        <x:v>669</x:v>
      </x:c>
      <x:c r="L22" s="3" t="s">
        <x:v>55</x:v>
      </x:c>
      <x:c r="M22" s="3" t="s">
        <x:v>1035</x:v>
      </x:c>
      <x:c r="N22" s="3" t="s">
        <x:v>709</x:v>
      </x:c>
      <x:c r="O22" s="3" t="s">
        <x:v>677</x:v>
      </x:c>
      <x:c r="P22" s="3">
        <x:v>0.14599999999999999</x:v>
      </x:c>
      <x:c r="Q22" s="3" t="s">
        <x:v>709</x:v>
      </x:c>
      <x:c r="R22" s="3" t="s">
        <x:v>677</x:v>
      </x:c>
      <x:c r="S22" s="3">
        <x:v>0.14599999999999999</x:v>
      </x:c>
      <x:c r="T22" s="3" t="s">
        <x:v>740</x:v>
      </x:c>
      <x:c r="U22" s="3" t="s">
        <x:v>677</x:v>
      </x:c>
      <x:c r="V22" s="3">
        <x:v>1.2</x:v>
      </x:c>
      <x:c r="W22" s="3" t="s">
        <x:v>739</x:v>
      </x:c>
      <x:c r="X22" s="3" t="s">
        <x:v>677</x:v>
      </x:c>
      <x:c r="Y22" s="3">
        <x:v>1.3999999999999999</x:v>
      </x:c>
      <x:c r="Z22" s="3" t="s">
        <x:v>324</x:v>
      </x:c>
      <x:c r="AA22" s="3" t="s">
        <x:v>171</x:v>
      </x:c>
      <x:c r="AB22" s="3" t="s">
        <x:v>671</x:v>
      </x:c>
      <x:c r="AC22" s="3" t="s">
        <x:v>716</x:v>
      </x:c>
      <x:c r="AD22" s="3" t="s">
        <x:v>688</x:v>
      </x:c>
      <x:c r="AE22" s="4"/>
      <x:c r="AF22" s="4"/>
      <x:c r="AG22" s="4"/>
      <x:c r="AH22" s="4"/>
      <x:c r="AI22" s="4"/>
      <x:c r="AJ22" s="4"/>
      <x:c r="AK22" s="3" t="s">
        <x:v>1034</x:v>
      </x:c>
      <x:c r="AL22" s="4"/>
      <x:c r="AM22" s="32" t="s">
        <x:v>423</x:v>
      </x:c>
      <x:c r="AN22" s="5" t="s">
        <x:v>80</x:v>
      </x:c>
      <x:c r="AO22" s="5" t="s">
        <x:v>107</x:v>
      </x:c>
      <x:c r="AP22" s="5" t="s">
        <x:v>859</x:v>
      </x:c>
      <x:c r="AQ22" s="7"/>
      <x:c r="AR22" s="7"/>
      <x:c r="AS22" s="7"/>
      <x:c r="AT22" s="7"/>
    </x:row>
    <x:row r="23" spans="1:46" ht="26.35000000000000142109">
      <x:c r="A23" s="3">
        <x:v>20</x:v>
      </x:c>
      <x:c r="B23" s="3" t="s">
        <x:v>723</x:v>
      </x:c>
      <x:c r="C23" s="3" t="s">
        <x:v>677</x:v>
      </x:c>
      <x:c r="D23" s="3">
        <x:v>3</x:v>
      </x:c>
      <x:c r="E23" s="3" t="s">
        <x:v>175</x:v>
      </x:c>
      <x:c r="F23" s="3" t="s">
        <x:v>69</x:v>
      </x:c>
      <x:c r="G23" s="3" t="s">
        <x:v>759</x:v>
      </x:c>
      <x:c r="H23" s="3" t="s">
        <x:v>57</x:v>
      </x:c>
      <x:c r="I23" s="4"/>
      <x:c r="J23" s="3" t="s">
        <x:v>669</x:v>
      </x:c>
      <x:c r="K23" s="3" t="s">
        <x:v>842</x:v>
      </x:c>
      <x:c r="L23" s="3" t="s">
        <x:v>55</x:v>
      </x:c>
      <x:c r="M23" s="3" t="s">
        <x:v>372</x:v>
      </x:c>
      <x:c r="N23" s="3" t="s">
        <x:v>529</x:v>
      </x:c>
      <x:c r="O23" s="3" t="s">
        <x:v>677</x:v>
      </x:c>
      <x:c r="P23" s="3">
        <x:v>0.23000000000000001</x:v>
      </x:c>
      <x:c r="Q23" s="3" t="s">
        <x:v>529</x:v>
      </x:c>
      <x:c r="R23" s="3" t="s">
        <x:v>677</x:v>
      </x:c>
      <x:c r="S23" s="3">
        <x:v>0.23000000000000001</x:v>
      </x:c>
      <x:c r="T23" s="3" t="s">
        <x:v>676</x:v>
      </x:c>
      <x:c r="U23" s="3" t="s">
        <x:v>677</x:v>
      </x:c>
      <x:c r="V23" s="3">
        <x:v>1.8</x:v>
      </x:c>
      <x:c r="W23" s="3" t="s">
        <x:v>629</x:v>
      </x:c>
      <x:c r="X23" s="3" t="s">
        <x:v>677</x:v>
      </x:c>
      <x:c r="Y23" s="3">
        <x:v>2.2999999999999998</x:v>
      </x:c>
      <x:c r="Z23" s="3" t="s">
        <x:v>904</x:v>
      </x:c>
      <x:c r="AA23" s="3" t="s">
        <x:v>192</x:v>
      </x:c>
      <x:c r="AB23" s="3" t="s">
        <x:v>671</x:v>
      </x:c>
      <x:c r="AC23" s="3" t="s">
        <x:v>716</x:v>
      </x:c>
      <x:c r="AD23" s="3" t="s">
        <x:v>688</x:v>
      </x:c>
      <x:c r="AE23" s="3" t="s">
        <x:v>717</x:v>
      </x:c>
      <x:c r="AF23" s="3" t="s">
        <x:v>703</x:v>
      </x:c>
      <x:c r="AG23" s="3" t="s">
        <x:v>688</x:v>
      </x:c>
      <x:c r="AH23" s="3" t="s">
        <x:v>671</x:v>
      </x:c>
      <x:c r="AI23" s="3" t="s">
        <x:v>649</x:v>
      </x:c>
      <x:c r="AJ23" s="3" t="s">
        <x:v>692</x:v>
      </x:c>
      <x:c r="AK23" s="3" t="s">
        <x:v>382</x:v>
      </x:c>
      <x:c r="AL23" s="3" t="s">
        <x:v>507</x:v>
      </x:c>
      <x:c r="AM23" s="32" t="s">
        <x:v>919</x:v>
      </x:c>
      <x:c r="AN23" s="5" t="s">
        <x:v>80</x:v>
      </x:c>
      <x:c r="AO23" s="5">
        <x:v>3</x:v>
      </x:c>
      <x:c r="AP23" s="7"/>
      <x:c r="AQ23" s="7"/>
      <x:c r="AR23" s="7"/>
      <x:c r="AS23" s="7"/>
      <x:c r="AT23" s="7"/>
    </x:row>
    <x:row r="24" spans="1:46" ht="26.35000000000000142109">
      <x:c r="A24" s="3">
        <x:v>21</x:v>
      </x:c>
      <x:c r="B24" s="3" t="s">
        <x:v>723</x:v>
      </x:c>
      <x:c r="C24" s="3" t="s">
        <x:v>677</x:v>
      </x:c>
      <x:c r="D24" s="3">
        <x:v>3</x:v>
      </x:c>
      <x:c r="E24" s="3" t="s">
        <x:v>190</x:v>
      </x:c>
      <x:c r="F24" s="3" t="s">
        <x:v>53</x:v>
      </x:c>
      <x:c r="G24" s="3" t="s">
        <x:v>582</x:v>
      </x:c>
      <x:c r="H24" s="3" t="s">
        <x:v>57</x:v>
      </x:c>
      <x:c r="I24" s="4"/>
      <x:c r="J24" s="3" t="s">
        <x:v>669</x:v>
      </x:c>
      <x:c r="K24" s="3" t="s">
        <x:v>669</x:v>
      </x:c>
      <x:c r="L24" s="3" t="s">
        <x:v>55</x:v>
      </x:c>
      <x:c r="M24" s="3" t="s">
        <x:v>19</x:v>
      </x:c>
      <x:c r="N24" s="3" t="s">
        <x:v>529</x:v>
      </x:c>
      <x:c r="O24" s="3" t="s">
        <x:v>677</x:v>
      </x:c>
      <x:c r="P24" s="3">
        <x:v>0.035999999999999999</x:v>
      </x:c>
      <x:c r="Q24" s="3" t="s">
        <x:v>529</x:v>
      </x:c>
      <x:c r="R24" s="3" t="s">
        <x:v>677</x:v>
      </x:c>
      <x:c r="S24" s="3">
        <x:v>0.035999999999999999</x:v>
      </x:c>
      <x:c r="T24" s="3" t="s">
        <x:v>526</x:v>
      </x:c>
      <x:c r="U24" s="3" t="s">
        <x:v>677</x:v>
      </x:c>
      <x:c r="V24" s="4"/>
      <x:c r="W24" s="3" t="s">
        <x:v>689</x:v>
      </x:c>
      <x:c r="X24" s="3" t="s">
        <x:v>677</x:v>
      </x:c>
      <x:c r="Y24" s="4"/>
      <x:c r="Z24" s="3" t="s">
        <x:v>327</x:v>
      </x:c>
      <x:c r="AA24" s="3" t="s">
        <x:v>192</x:v>
      </x:c>
      <x:c r="AB24" s="3" t="s">
        <x:v>671</x:v>
      </x:c>
      <x:c r="AC24" s="3" t="s">
        <x:v>716</x:v>
      </x:c>
      <x:c r="AD24" s="3" t="s">
        <x:v>688</x:v>
      </x:c>
      <x:c r="AE24" s="4"/>
      <x:c r="AF24" s="4"/>
      <x:c r="AG24" s="4"/>
      <x:c r="AH24" s="4"/>
      <x:c r="AI24" s="4"/>
      <x:c r="AJ24" s="4"/>
      <x:c r="AK24" s="3" t="s">
        <x:v>477</x:v>
      </x:c>
      <x:c r="AL24" s="3" t="s">
        <x:v>505</x:v>
      </x:c>
      <x:c r="AM24" s="32" t="s">
        <x:v>919</x:v>
      </x:c>
      <x:c r="AN24" s="5" t="s">
        <x:v>80</x:v>
      </x:c>
      <x:c r="AO24" s="5">
        <x:v>4</x:v>
      </x:c>
      <x:c r="AP24" s="7"/>
      <x:c r="AQ24" s="7"/>
      <x:c r="AR24" s="7"/>
      <x:c r="AS24" s="7"/>
      <x:c r="AT24" s="7"/>
    </x:row>
    <x:row r="25" spans="1:46" ht="26.35000000000000142109">
      <x:c r="A25" s="3">
        <x:v>22</x:v>
      </x:c>
      <x:c r="B25" s="3" t="s">
        <x:v>331</x:v>
      </x:c>
      <x:c r="C25" s="3" t="s">
        <x:v>677</x:v>
      </x:c>
      <x:c r="D25" s="3">
        <x:v>3</x:v>
      </x:c>
      <x:c r="E25" s="3" t="s">
        <x:v>79</x:v>
      </x:c>
      <x:c r="F25" s="3" t="s">
        <x:v>53</x:v>
      </x:c>
      <x:c r="G25" s="3" t="s">
        <x:v>581</x:v>
      </x:c>
      <x:c r="H25" s="3" t="s">
        <x:v>57</x:v>
      </x:c>
      <x:c r="I25" s="4"/>
      <x:c r="J25" s="3" t="s">
        <x:v>653</x:v>
      </x:c>
      <x:c r="K25" s="4"/>
      <x:c r="L25" s="4"/>
      <x:c r="M25" s="3" t="s">
        <x:v>364</x:v>
      </x:c>
      <x:c r="N25" s="3" t="s">
        <x:v>749</x:v>
      </x:c>
      <x:c r="O25" s="3" t="s">
        <x:v>677</x:v>
      </x:c>
      <x:c r="P25" s="4"/>
      <x:c r="Q25" s="3" t="s">
        <x:v>749</x:v>
      </x:c>
      <x:c r="R25" s="3" t="s">
        <x:v>677</x:v>
      </x:c>
      <x:c r="S25" s="4"/>
      <x:c r="T25" s="3" t="s">
        <x:v>684</x:v>
      </x:c>
      <x:c r="U25" s="3" t="s">
        <x:v>677</x:v>
      </x:c>
      <x:c r="V25" s="4"/>
      <x:c r="W25" s="3" t="s">
        <x:v>747</x:v>
      </x:c>
      <x:c r="X25" s="3" t="s">
        <x:v>677</x:v>
      </x:c>
      <x:c r="Y25" s="4"/>
      <x:c r="Z25" s="3" t="s">
        <x:v>341</x:v>
      </x:c>
      <x:c r="AA25" s="3" t="s">
        <x:v>46</x:v>
      </x:c>
      <x:c r="AB25" s="3" t="s">
        <x:v>671</x:v>
      </x:c>
      <x:c r="AC25" s="3" t="s">
        <x:v>716</x:v>
      </x:c>
      <x:c r="AD25" s="3" t="s">
        <x:v>688</x:v>
      </x:c>
      <x:c r="AE25" s="4"/>
      <x:c r="AF25" s="4"/>
      <x:c r="AG25" s="4"/>
      <x:c r="AH25" s="4"/>
      <x:c r="AI25" s="4"/>
      <x:c r="AJ25" s="4"/>
      <x:c r="AK25" s="4"/>
      <x:c r="AL25" s="4"/>
      <x:c r="AM25" s="32" t="s">
        <x:v>447</x:v>
      </x:c>
      <x:c r="AN25" s="5" t="s">
        <x:v>80</x:v>
      </x:c>
      <x:c r="AO25" s="7"/>
      <x:c r="AP25" s="7"/>
      <x:c r="AQ25" s="7"/>
      <x:c r="AR25" s="7"/>
      <x:c r="AS25" s="7"/>
      <x:c r="AT25" s="7"/>
    </x:row>
    <x:row r="26" spans="1:46" ht="26.35000000000000142109">
      <x:c r="A26" s="3">
        <x:v>23</x:v>
      </x:c>
      <x:c r="B26" s="3" t="s">
        <x:v>331</x:v>
      </x:c>
      <x:c r="C26" s="3" t="s">
        <x:v>677</x:v>
      </x:c>
      <x:c r="D26" s="3">
        <x:v>3</x:v>
      </x:c>
      <x:c r="E26" s="3" t="s">
        <x:v>59</x:v>
      </x:c>
      <x:c r="F26" s="3" t="s">
        <x:v>53</x:v>
      </x:c>
      <x:c r="G26" s="3" t="s">
        <x:v>571</x:v>
      </x:c>
      <x:c r="H26" s="3" t="s">
        <x:v>57</x:v>
      </x:c>
      <x:c r="I26" s="4"/>
      <x:c r="J26" s="3" t="s">
        <x:v>669</x:v>
      </x:c>
      <x:c r="K26" s="3" t="s">
        <x:v>669</x:v>
      </x:c>
      <x:c r="L26" s="3" t="s">
        <x:v>55</x:v>
      </x:c>
      <x:c r="M26" s="3" t="s">
        <x:v>276</x:v>
      </x:c>
      <x:c r="N26" s="3" t="s">
        <x:v>749</x:v>
      </x:c>
      <x:c r="O26" s="3" t="s">
        <x:v>677</x:v>
      </x:c>
      <x:c r="P26" s="4"/>
      <x:c r="Q26" s="3" t="s">
        <x:v>749</x:v>
      </x:c>
      <x:c r="R26" s="3" t="s">
        <x:v>677</x:v>
      </x:c>
      <x:c r="S26" s="4"/>
      <x:c r="T26" s="3" t="s">
        <x:v>684</x:v>
      </x:c>
      <x:c r="U26" s="3" t="s">
        <x:v>677</x:v>
      </x:c>
      <x:c r="V26" s="4"/>
      <x:c r="W26" s="3" t="s">
        <x:v>720</x:v>
      </x:c>
      <x:c r="X26" s="3" t="s">
        <x:v>677</x:v>
      </x:c>
      <x:c r="Y26" s="4"/>
      <x:c r="Z26" s="3" t="s">
        <x:v>335</x:v>
      </x:c>
      <x:c r="AA26" s="3" t="s">
        <x:v>46</x:v>
      </x:c>
      <x:c r="AB26" s="3" t="s">
        <x:v>671</x:v>
      </x:c>
      <x:c r="AC26" s="3" t="s">
        <x:v>716</x:v>
      </x:c>
      <x:c r="AD26" s="3" t="s">
        <x:v>688</x:v>
      </x:c>
      <x:c r="AE26" s="4"/>
      <x:c r="AF26" s="4"/>
      <x:c r="AG26" s="4"/>
      <x:c r="AH26" s="4"/>
      <x:c r="AI26" s="4"/>
      <x:c r="AJ26" s="4"/>
      <x:c r="AK26" s="4"/>
      <x:c r="AL26" s="4"/>
      <x:c r="AM26" s="32" t="s">
        <x:v>447</x:v>
      </x:c>
      <x:c r="AN26" s="5" t="s">
        <x:v>80</x:v>
      </x:c>
      <x:c r="AO26" s="5"/>
      <x:c r="AP26" s="7"/>
      <x:c r="AQ26" s="7"/>
      <x:c r="AR26" s="7"/>
      <x:c r="AS26" s="7"/>
      <x:c r="AT26" s="7"/>
    </x:row>
    <x:row r="27" spans="1:46" ht="26.35000000000000142109">
      <x:c r="A27" s="3">
        <x:v>24</x:v>
      </x:c>
      <x:c r="B27" s="3" t="s">
        <x:v>641</x:v>
      </x:c>
      <x:c r="C27" s="3" t="s">
        <x:v>677</x:v>
      </x:c>
      <x:c r="D27" s="3">
        <x:v>3</x:v>
      </x:c>
      <x:c r="E27" s="3" t="s">
        <x:v>60</x:v>
      </x:c>
      <x:c r="F27" s="3" t="s">
        <x:v>53</x:v>
      </x:c>
      <x:c r="G27" s="3" t="s">
        <x:v>589</x:v>
      </x:c>
      <x:c r="H27" s="3" t="s">
        <x:v>57</x:v>
      </x:c>
      <x:c r="I27" s="4"/>
      <x:c r="J27" s="8" t="s">
        <x:v>653</x:v>
      </x:c>
      <x:c r="K27" s="3" t="s">
        <x:v>669</x:v>
      </x:c>
      <x:c r="L27" s="3" t="s">
        <x:v>55</x:v>
      </x:c>
      <x:c r="M27" s="3" t="s">
        <x:v>295</x:v>
      </x:c>
      <x:c r="N27" s="3" t="s">
        <x:v>748</x:v>
      </x:c>
      <x:c r="O27" s="3" t="s">
        <x:v>677</x:v>
      </x:c>
      <x:c r="P27" s="4"/>
      <x:c r="Q27" s="3" t="s">
        <x:v>617</x:v>
      </x:c>
      <x:c r="R27" s="3" t="s">
        <x:v>677</x:v>
      </x:c>
      <x:c r="S27" s="4"/>
      <x:c r="T27" s="3" t="s">
        <x:v>82</x:v>
      </x:c>
      <x:c r="U27" s="3" t="s">
        <x:v>677</x:v>
      </x:c>
      <x:c r="V27" s="4"/>
      <x:c r="W27" s="3" t="s">
        <x:v>77</x:v>
      </x:c>
      <x:c r="X27" s="3" t="s">
        <x:v>677</x:v>
      </x:c>
      <x:c r="Y27" s="4"/>
      <x:c r="Z27" s="3" t="s">
        <x:v>895</x:v>
      </x:c>
      <x:c r="AA27" s="3" t="s">
        <x:v>47</x:v>
      </x:c>
      <x:c r="AB27" s="3" t="s">
        <x:v>671</x:v>
      </x:c>
      <x:c r="AC27" s="3" t="s">
        <x:v>716</x:v>
      </x:c>
      <x:c r="AD27" s="3" t="s">
        <x:v>688</x:v>
      </x:c>
      <x:c r="AE27" s="4"/>
      <x:c r="AF27" s="4"/>
      <x:c r="AG27" s="4"/>
      <x:c r="AH27" s="4"/>
      <x:c r="AI27" s="4"/>
      <x:c r="AJ27" s="4"/>
      <x:c r="AK27" s="4"/>
      <x:c r="AL27" s="4"/>
      <x:c r="AM27" s="32" t="s">
        <x:v>422</x:v>
      </x:c>
      <x:c r="AN27" s="5" t="s">
        <x:v>80</x:v>
      </x:c>
      <x:c r="AO27" s="5">
        <x:v>4</x:v>
      </x:c>
      <x:c r="AP27" s="7"/>
      <x:c r="AQ27" s="7"/>
      <x:c r="AR27" s="7"/>
      <x:c r="AS27" s="7"/>
      <x:c r="AT27" s="7"/>
    </x:row>
    <x:row r="28" spans="1:46" ht="26.35000000000000142109">
      <x:c r="A28" s="3">
        <x:v>25</x:v>
      </x:c>
      <x:c r="B28" s="3" t="s">
        <x:v>843</x:v>
      </x:c>
      <x:c r="C28" s="3" t="s">
        <x:v>677</x:v>
      </x:c>
      <x:c r="D28" s="3">
        <x:v>3</x:v>
      </x:c>
      <x:c r="E28" s="3" t="s">
        <x:v>106</x:v>
      </x:c>
      <x:c r="F28" s="3" t="s">
        <x:v>69</x:v>
      </x:c>
      <x:c r="G28" s="3" t="s">
        <x:v>839</x:v>
      </x:c>
      <x:c r="H28" s="14" t="s">
        <x:v>57</x:v>
      </x:c>
      <x:c r="I28" s="4"/>
      <x:c r="J28" s="8" t="s">
        <x:v>848</x:v>
      </x:c>
      <x:c r="K28" s="3" t="s">
        <x:v>669</x:v>
      </x:c>
      <x:c r="L28" s="3" t="s">
        <x:v>55</x:v>
      </x:c>
      <x:c r="M28" s="3" t="s">
        <x:v>854</x:v>
      </x:c>
      <x:c r="N28" s="3" t="s">
        <x:v>698</x:v>
      </x:c>
      <x:c r="O28" s="3" t="s">
        <x:v>677</x:v>
      </x:c>
      <x:c r="P28" s="3">
        <x:v>0.55200000000000005</x:v>
      </x:c>
      <x:c r="Q28" s="3" t="s">
        <x:v>698</x:v>
      </x:c>
      <x:c r="R28" s="3" t="s">
        <x:v>677</x:v>
      </x:c>
      <x:c r="S28" s="3">
        <x:v>0.55200000000000005</x:v>
      </x:c>
      <x:c r="T28" s="3" t="s">
        <x:v>700</x:v>
      </x:c>
      <x:c r="U28" s="3" t="s">
        <x:v>677</x:v>
      </x:c>
      <x:c r="V28" s="3">
        <x:v>3.1000000000000001</x:v>
      </x:c>
      <x:c r="W28" s="3" t="s">
        <x:v>713</x:v>
      </x:c>
      <x:c r="X28" s="3" t="s">
        <x:v>677</x:v>
      </x:c>
      <x:c r="Y28" s="3">
        <x:v>1.5</x:v>
      </x:c>
      <x:c r="Z28" s="3" t="s">
        <x:v>991</x:v>
      </x:c>
      <x:c r="AA28" s="3" t="s">
        <x:v>86</x:v>
      </x:c>
      <x:c r="AB28" s="3" t="s">
        <x:v>671</x:v>
      </x:c>
      <x:c r="AC28" s="3" t="s">
        <x:v>716</x:v>
      </x:c>
      <x:c r="AD28" s="3" t="s">
        <x:v>688</x:v>
      </x:c>
      <x:c r="AE28" s="3" t="s">
        <x:v>671</x:v>
      </x:c>
      <x:c r="AF28" s="3" t="s">
        <x:v>776</x:v>
      </x:c>
      <x:c r="AG28" s="3" t="s">
        <x:v>677</x:v>
      </x:c>
      <x:c r="AH28" s="4"/>
      <x:c r="AI28" s="4"/>
      <x:c r="AJ28" s="4"/>
      <x:c r="AK28" s="3" t="s">
        <x:v>1041</x:v>
      </x:c>
      <x:c r="AL28" s="3" t="s">
        <x:v>928</x:v>
      </x:c>
      <x:c r="AM28" s="33" t="s">
        <x:v>612</x:v>
      </x:c>
      <x:c r="AN28" s="5" t="s">
        <x:v>80</x:v>
      </x:c>
      <x:c r="AO28" s="7"/>
      <x:c r="AP28" s="7"/>
      <x:c r="AQ28" s="7"/>
      <x:c r="AR28" s="7"/>
      <x:c r="AS28" s="7"/>
      <x:c r="AT28" s="7"/>
    </x:row>
    <x:row r="31" spans="1:1" ht="13.19999999999999928946">
      <x:c r="A31" s="34" t="s">
        <x:v>972</x:v>
      </x:c>
    </x:row>
    <x:row r="32" spans="1:1" ht="13.19999999999999928946">
      <x:c r="A32" s="35" t="s">
        <x:v>385</x:v>
      </x:c>
    </x:row>
  </x:sheetData>
  <x:mergeCells count="29">
    <x:mergeCell ref="A1:A3"/>
    <x:mergeCell ref="B1:B3"/>
    <x:mergeCell ref="C1:C3"/>
    <x:mergeCell ref="D1:D3"/>
    <x:mergeCell ref="E1:E3"/>
    <x:mergeCell ref="F1:F3"/>
    <x:mergeCell ref="G1:G3"/>
    <x:mergeCell ref="H1:I1"/>
    <x:mergeCell ref="J1:L1"/>
    <x:mergeCell ref="M1:M3"/>
    <x:mergeCell ref="N1:P1"/>
    <x:mergeCell ref="Q1:Y1"/>
    <x:mergeCell ref="Z1:AA2"/>
    <x:mergeCell ref="AB1:AJ1"/>
    <x:mergeCell ref="AK1:AK3"/>
    <x:mergeCell ref="AL1:AL3"/>
    <x:mergeCell ref="AM1:AM3"/>
    <x:mergeCell ref="H2:H3"/>
    <x:mergeCell ref="I2:I3"/>
    <x:mergeCell ref="K2:L2"/>
    <x:mergeCell ref="N2:N3"/>
    <x:mergeCell ref="O2:O3"/>
    <x:mergeCell ref="P2:P3"/>
    <x:mergeCell ref="Q2:S2"/>
    <x:mergeCell ref="T2:V2"/>
    <x:mergeCell ref="W2:Y2"/>
    <x:mergeCell ref="AB2:AD2"/>
    <x:mergeCell ref="AE2:AG2"/>
    <x:mergeCell ref="AH2:AJ2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outlinePr applyStyles="0" summaryBelow="0" summaryRight="1" showOutlineSymbols="1"/>
    <x:pageSetUpPr autoPageBreaks="1" fitToPage="1"/>
  </x:sheetPr>
  <x:dimension ref="A1:G1000"/>
  <x:sheetViews>
    <x:sheetView topLeftCell="A1" zoomScaleNormal="100" zoomScaleSheetLayoutView="100" workbookViewId="0">
      <x:selection activeCell="A1" activeCellId="0" sqref="A1:A1"/>
    </x:sheetView>
  </x:sheetViews>
  <x:sheetFormatPr defaultColWidth="12.62890625" defaultRowHeight="15.75" customHeight="1"/>
  <x:cols>
    <x:col min="1" max="7" width="18.75" customWidth="1"/>
  </x:cols>
  <x:sheetData>
    <x:row r="1" spans="1:7" ht="30" customHeight="1">
      <x:c r="A1" s="67">
        <x:v>46174</x:v>
      </x:c>
      <x:c r="B1" s="68"/>
      <x:c r="C1" s="68"/>
      <x:c r="D1" s="68"/>
      <x:c r="E1" s="68"/>
      <x:c r="F1" s="68"/>
      <x:c r="G1" s="69"/>
    </x:row>
    <x:row r="2" spans="1:7" ht="22.5" customHeight="1">
      <x:c r="A2" s="36" t="s">
        <x:v>54</x:v>
      </x:c>
      <x:c r="B2" s="37" t="s">
        <x:v>70</x:v>
      </x:c>
      <x:c r="C2" s="37" t="s">
        <x:v>51</x:v>
      </x:c>
      <x:c r="D2" s="37" t="s">
        <x:v>56</x:v>
      </x:c>
      <x:c r="E2" s="37" t="s">
        <x:v>50</x:v>
      </x:c>
      <x:c r="F2" s="37" t="s">
        <x:v>52</x:v>
      </x:c>
      <x:c r="G2" s="38" t="s">
        <x:v>66</x:v>
      </x:c>
    </x:row>
    <x:row r="3" spans="1:7" ht="60" customHeight="1">
      <x:c r="A3" s="39"/>
      <x:c r="B3" s="40">
        <x:v>1</x:v>
      </x:c>
      <x:c r="C3" s="40">
        <x:v>2</x:v>
      </x:c>
      <x:c r="D3" s="40">
        <x:v>3</x:v>
      </x:c>
      <x:c r="E3" s="40">
        <x:v>4</x:v>
      </x:c>
      <x:c r="F3" s="40">
        <x:v>5</x:v>
      </x:c>
      <x:c r="G3" s="41">
        <x:v>6</x:v>
      </x:c>
    </x:row>
    <x:row r="4" spans="1:7" ht="60" customHeight="1">
      <x:c r="A4" s="42">
        <x:v>7</x:v>
      </x:c>
      <x:c r="B4" s="40">
        <x:v>8</x:v>
      </x:c>
      <x:c r="C4" s="40">
        <x:v>9</x:v>
      </x:c>
      <x:c r="D4" s="40">
        <x:v>10</x:v>
      </x:c>
      <x:c r="E4" s="40">
        <x:v>11</x:v>
      </x:c>
      <x:c r="F4" s="40">
        <x:v>12</x:v>
      </x:c>
      <x:c r="G4" s="41">
        <x:v>13</x:v>
      </x:c>
    </x:row>
    <x:row r="5" spans="1:7" ht="60" customHeight="1">
      <x:c r="A5" s="42">
        <x:v>14</x:v>
      </x:c>
      <x:c r="B5" s="40">
        <x:v>15</x:v>
      </x:c>
      <x:c r="C5" s="40">
        <x:v>16</x:v>
      </x:c>
      <x:c r="D5" s="40">
        <x:v>17</x:v>
      </x:c>
      <x:c r="E5" s="40">
        <x:v>18</x:v>
      </x:c>
      <x:c r="F5" s="43" t="s">
        <x:v>876</x:v>
      </x:c>
      <x:c r="G5" s="41">
        <x:v>20</x:v>
      </x:c>
    </x:row>
    <x:row r="6" spans="1:7" ht="60" customHeight="1">
      <x:c r="A6" s="42">
        <x:v>21</x:v>
      </x:c>
      <x:c r="B6" s="40">
        <x:v>22</x:v>
      </x:c>
      <x:c r="C6" s="43" t="s">
        <x:v>388</x:v>
      </x:c>
      <x:c r="D6" s="43" t="s">
        <x:v>390</x:v>
      </x:c>
      <x:c r="E6" s="43" t="s">
        <x:v>393</x:v>
      </x:c>
      <x:c r="F6" s="40">
        <x:v>26</x:v>
      </x:c>
      <x:c r="G6" s="41">
        <x:v>27</x:v>
      </x:c>
    </x:row>
    <x:row r="7" spans="1:7" ht="60" customHeight="1">
      <x:c r="A7" s="42">
        <x:v>28</x:v>
      </x:c>
      <x:c r="B7" s="40">
        <x:v>29</x:v>
      </x:c>
      <x:c r="C7" s="43" t="s">
        <x:v>924</x:v>
      </x:c>
      <x:c r="D7" s="44"/>
      <x:c r="E7" s="44"/>
      <x:c r="F7" s="44"/>
      <x:c r="G7" s="45"/>
    </x:row>
    <x:row r="8" spans="1:7" ht="13.19999999999999928946">
      <x:c r="A8" s="23"/>
      <x:c r="B8" s="23"/>
      <x:c r="C8" s="23"/>
      <x:c r="D8" s="23"/>
      <x:c r="E8" s="23"/>
      <x:c r="F8" s="23"/>
      <x:c r="G8" s="23"/>
    </x:row>
    <x:row r="9" spans="1:7" ht="30" customHeight="1">
      <x:c r="A9" s="67">
        <x:v>46204</x:v>
      </x:c>
      <x:c r="B9" s="68"/>
      <x:c r="C9" s="68"/>
      <x:c r="D9" s="68"/>
      <x:c r="E9" s="68"/>
      <x:c r="F9" s="68"/>
      <x:c r="G9" s="69"/>
    </x:row>
    <x:row r="10" spans="1:7" ht="22.5" customHeight="1">
      <x:c r="A10" s="36" t="s">
        <x:v>54</x:v>
      </x:c>
      <x:c r="B10" s="37" t="s">
        <x:v>70</x:v>
      </x:c>
      <x:c r="C10" s="37" t="s">
        <x:v>51</x:v>
      </x:c>
      <x:c r="D10" s="37" t="s">
        <x:v>56</x:v>
      </x:c>
      <x:c r="E10" s="37" t="s">
        <x:v>50</x:v>
      </x:c>
      <x:c r="F10" s="37" t="s">
        <x:v>52</x:v>
      </x:c>
      <x:c r="G10" s="38" t="s">
        <x:v>66</x:v>
      </x:c>
    </x:row>
    <x:row r="11" spans="1:7" ht="60" customHeight="1">
      <x:c r="A11" s="39"/>
      <x:c r="B11" s="44"/>
      <x:c r="C11" s="44"/>
      <x:c r="D11" s="43" t="s">
        <x:v>503</x:v>
      </x:c>
      <x:c r="E11" s="43" t="s">
        <x:v>392</x:v>
      </x:c>
      <x:c r="F11" s="40">
        <x:v>3</x:v>
      </x:c>
      <x:c r="G11" s="41">
        <x:v>4</x:v>
      </x:c>
    </x:row>
    <x:row r="12" spans="1:7" ht="60" customHeight="1">
      <x:c r="A12" s="42">
        <x:v>5</x:v>
      </x:c>
      <x:c r="B12" s="40">
        <x:v>6</x:v>
      </x:c>
      <x:c r="C12" s="40">
        <x:v>7</x:v>
      </x:c>
      <x:c r="D12" s="40">
        <x:v>8</x:v>
      </x:c>
      <x:c r="E12" s="40">
        <x:v>9</x:v>
      </x:c>
      <x:c r="F12" s="40">
        <x:v>10</x:v>
      </x:c>
      <x:c r="G12" s="41">
        <x:v>11</x:v>
      </x:c>
    </x:row>
    <x:row r="13" spans="1:7" ht="60" customHeight="1">
      <x:c r="A13" s="42">
        <x:v>12</x:v>
      </x:c>
      <x:c r="B13" s="40">
        <x:v>13</x:v>
      </x:c>
      <x:c r="C13" s="40">
        <x:v>14</x:v>
      </x:c>
      <x:c r="D13" s="40">
        <x:v>15</x:v>
      </x:c>
      <x:c r="E13" s="40">
        <x:v>16</x:v>
      </x:c>
      <x:c r="F13" s="40">
        <x:v>17</x:v>
      </x:c>
      <x:c r="G13" s="41">
        <x:v>18</x:v>
      </x:c>
    </x:row>
    <x:row r="14" spans="1:7" ht="60" customHeight="1">
      <x:c r="A14" s="42">
        <x:v>19</x:v>
      </x:c>
      <x:c r="B14" s="40">
        <x:v>20</x:v>
      </x:c>
      <x:c r="C14" s="40">
        <x:v>21</x:v>
      </x:c>
      <x:c r="D14" s="40">
        <x:v>22</x:v>
      </x:c>
      <x:c r="E14" s="40">
        <x:v>23</x:v>
      </x:c>
      <x:c r="F14" s="40">
        <x:v>24</x:v>
      </x:c>
      <x:c r="G14" s="41">
        <x:v>25</x:v>
      </x:c>
    </x:row>
    <x:row r="15" spans="1:7" ht="60" customHeight="1">
      <x:c r="A15" s="42">
        <x:v>26</x:v>
      </x:c>
      <x:c r="B15" s="40">
        <x:v>27</x:v>
      </x:c>
      <x:c r="C15" s="40">
        <x:v>28</x:v>
      </x:c>
      <x:c r="D15" s="40">
        <x:v>29</x:v>
      </x:c>
      <x:c r="E15" s="40">
        <x:v>30</x:v>
      </x:c>
      <x:c r="F15" s="40">
        <x:v>31</x:v>
      </x:c>
      <x:c r="G15" s="45"/>
    </x:row>
    <x:row r="16" spans="1:7" ht="13.19999999999999928946">
      <x:c r="A16" s="23"/>
      <x:c r="B16" s="23"/>
      <x:c r="C16" s="23"/>
      <x:c r="D16" s="23"/>
      <x:c r="E16" s="23"/>
      <x:c r="F16" s="23"/>
      <x:c r="G16" s="23"/>
    </x:row>
    <x:row r="17" spans="1:7" ht="13.19999999999999928946">
      <x:c r="A17" s="23"/>
      <x:c r="B17" s="23"/>
      <x:c r="C17" s="23"/>
      <x:c r="D17" s="23"/>
      <x:c r="E17" s="23"/>
      <x:c r="F17" s="23"/>
      <x:c r="G17" s="23"/>
    </x:row>
    <x:row r="18" spans="1:7" ht="13.19999999999999928946">
      <x:c r="A18" s="23"/>
      <x:c r="B18" s="23"/>
      <x:c r="C18" s="23"/>
      <x:c r="D18" s="23"/>
      <x:c r="E18" s="23"/>
      <x:c r="F18" s="23"/>
      <x:c r="G18" s="23"/>
    </x:row>
    <x:row r="19" spans="1:7" ht="13.19999999999999928946">
      <x:c r="A19" s="23"/>
      <x:c r="B19" s="23"/>
      <x:c r="C19" s="23"/>
      <x:c r="D19" s="23"/>
      <x:c r="E19" s="23"/>
      <x:c r="F19" s="23"/>
      <x:c r="G19" s="23"/>
    </x:row>
    <x:row r="20" spans="1:7" ht="13.19999999999999928946">
      <x:c r="A20" s="23"/>
      <x:c r="B20" s="23"/>
      <x:c r="C20" s="23"/>
      <x:c r="D20" s="23"/>
      <x:c r="E20" s="23"/>
      <x:c r="F20" s="23"/>
      <x:c r="G20" s="23"/>
    </x:row>
    <x:row r="21" spans="1:7" ht="13.19999999999999928946">
      <x:c r="A21" s="23"/>
      <x:c r="B21" s="23"/>
      <x:c r="C21" s="23"/>
      <x:c r="D21" s="23"/>
      <x:c r="E21" s="23"/>
      <x:c r="F21" s="23"/>
      <x:c r="G21" s="23"/>
    </x:row>
    <x:row r="22" spans="1:7" ht="13.19999999999999928946">
      <x:c r="A22" s="23"/>
      <x:c r="B22" s="23"/>
      <x:c r="C22" s="23"/>
      <x:c r="D22" s="23"/>
      <x:c r="E22" s="23"/>
      <x:c r="F22" s="23"/>
      <x:c r="G22" s="23"/>
    </x:row>
    <x:row r="23" spans="1:7" ht="13.19999999999999928946">
      <x:c r="A23" s="23"/>
      <x:c r="B23" s="23"/>
      <x:c r="C23" s="23"/>
      <x:c r="D23" s="23"/>
      <x:c r="E23" s="23"/>
      <x:c r="F23" s="23"/>
      <x:c r="G23" s="23"/>
    </x:row>
    <x:row r="24" spans="1:7" ht="13.19999999999999928946">
      <x:c r="A24" s="23"/>
      <x:c r="B24" s="23"/>
      <x:c r="C24" s="23"/>
      <x:c r="D24" s="23"/>
      <x:c r="E24" s="23"/>
      <x:c r="F24" s="23"/>
      <x:c r="G24" s="23"/>
    </x:row>
    <x:row r="25" spans="1:7" ht="13.19999999999999928946">
      <x:c r="A25" s="23"/>
      <x:c r="B25" s="23"/>
      <x:c r="C25" s="23"/>
      <x:c r="D25" s="23"/>
      <x:c r="E25" s="23"/>
      <x:c r="F25" s="23"/>
      <x:c r="G25" s="23"/>
    </x:row>
    <x:row r="26" spans="1:7" ht="13.19999999999999928946">
      <x:c r="A26" s="23"/>
      <x:c r="B26" s="23"/>
      <x:c r="C26" s="23"/>
      <x:c r="D26" s="23"/>
      <x:c r="E26" s="23"/>
      <x:c r="F26" s="23"/>
      <x:c r="G26" s="23"/>
    </x:row>
    <x:row r="27" spans="1:7" ht="13.19999999999999928946">
      <x:c r="A27" s="23"/>
      <x:c r="B27" s="23"/>
      <x:c r="C27" s="23"/>
      <x:c r="D27" s="23"/>
      <x:c r="E27" s="23"/>
      <x:c r="F27" s="23"/>
      <x:c r="G27" s="23"/>
    </x:row>
    <x:row r="28" spans="1:7" ht="13.19999999999999928946">
      <x:c r="A28" s="23"/>
      <x:c r="B28" s="23"/>
      <x:c r="C28" s="23"/>
      <x:c r="D28" s="23"/>
      <x:c r="E28" s="23"/>
      <x:c r="F28" s="23"/>
      <x:c r="G28" s="23"/>
    </x:row>
    <x:row r="29" spans="1:7" ht="13.19999999999999928946">
      <x:c r="A29" s="23"/>
      <x:c r="B29" s="23"/>
      <x:c r="C29" s="23"/>
      <x:c r="D29" s="23"/>
      <x:c r="E29" s="23"/>
      <x:c r="F29" s="23"/>
      <x:c r="G29" s="23"/>
    </x:row>
    <x:row r="30" spans="1:7" ht="13.19999999999999928946">
      <x:c r="A30" s="23"/>
      <x:c r="B30" s="23"/>
      <x:c r="C30" s="23"/>
      <x:c r="D30" s="23"/>
      <x:c r="E30" s="23"/>
      <x:c r="F30" s="23"/>
      <x:c r="G30" s="23"/>
    </x:row>
    <x:row r="31" spans="1:7" ht="13.19999999999999928946">
      <x:c r="A31" s="23"/>
      <x:c r="B31" s="23"/>
      <x:c r="C31" s="23"/>
      <x:c r="D31" s="23"/>
      <x:c r="E31" s="23"/>
      <x:c r="F31" s="23"/>
      <x:c r="G31" s="23"/>
    </x:row>
    <x:row r="32" spans="1:7" ht="13.19999999999999928946">
      <x:c r="A32" s="23"/>
      <x:c r="B32" s="23"/>
      <x:c r="C32" s="23"/>
      <x:c r="D32" s="23"/>
      <x:c r="E32" s="23"/>
      <x:c r="F32" s="23"/>
      <x:c r="G32" s="23"/>
    </x:row>
    <x:row r="33" spans="1:7" ht="13.19999999999999928946">
      <x:c r="A33" s="23"/>
      <x:c r="B33" s="23"/>
      <x:c r="C33" s="23"/>
      <x:c r="D33" s="23"/>
      <x:c r="E33" s="23"/>
      <x:c r="F33" s="23"/>
      <x:c r="G33" s="23"/>
    </x:row>
    <x:row r="34" spans="1:7" ht="13.19999999999999928946">
      <x:c r="A34" s="23"/>
      <x:c r="B34" s="23"/>
      <x:c r="C34" s="23"/>
      <x:c r="D34" s="23"/>
      <x:c r="E34" s="23"/>
      <x:c r="F34" s="23"/>
      <x:c r="G34" s="23"/>
    </x:row>
    <x:row r="35" spans="1:7" ht="13.19999999999999928946">
      <x:c r="A35" s="23"/>
      <x:c r="B35" s="23"/>
      <x:c r="C35" s="23"/>
      <x:c r="D35" s="23"/>
      <x:c r="E35" s="23"/>
      <x:c r="F35" s="23"/>
      <x:c r="G35" s="23"/>
    </x:row>
    <x:row r="36" spans="1:7" ht="13.19999999999999928946">
      <x:c r="A36" s="23"/>
      <x:c r="B36" s="23"/>
      <x:c r="C36" s="23"/>
      <x:c r="D36" s="23"/>
      <x:c r="E36" s="23"/>
      <x:c r="F36" s="23"/>
      <x:c r="G36" s="23"/>
    </x:row>
    <x:row r="37" spans="1:7" ht="13.19999999999999928946">
      <x:c r="A37" s="23"/>
      <x:c r="B37" s="23"/>
      <x:c r="C37" s="23"/>
      <x:c r="D37" s="23"/>
      <x:c r="E37" s="23"/>
      <x:c r="F37" s="23"/>
      <x:c r="G37" s="23"/>
    </x:row>
    <x:row r="38" spans="1:7" ht="13.19999999999999928946">
      <x:c r="A38" s="23"/>
      <x:c r="B38" s="23"/>
      <x:c r="C38" s="23"/>
      <x:c r="D38" s="23"/>
      <x:c r="E38" s="23"/>
      <x:c r="F38" s="23"/>
      <x:c r="G38" s="23"/>
    </x:row>
    <x:row r="39" spans="1:7" ht="13.19999999999999928946">
      <x:c r="A39" s="23"/>
      <x:c r="B39" s="23"/>
      <x:c r="C39" s="23"/>
      <x:c r="D39" s="23"/>
      <x:c r="E39" s="23"/>
      <x:c r="F39" s="23"/>
      <x:c r="G39" s="23"/>
    </x:row>
    <x:row r="40" spans="1:7" ht="13.19999999999999928946">
      <x:c r="A40" s="23"/>
      <x:c r="B40" s="23"/>
      <x:c r="C40" s="23"/>
      <x:c r="D40" s="23"/>
      <x:c r="E40" s="23"/>
      <x:c r="F40" s="23"/>
      <x:c r="G40" s="23"/>
    </x:row>
    <x:row r="41" spans="1:7" ht="13.19999999999999928946">
      <x:c r="A41" s="23"/>
      <x:c r="B41" s="23"/>
      <x:c r="C41" s="23"/>
      <x:c r="D41" s="23"/>
      <x:c r="E41" s="23"/>
      <x:c r="F41" s="23"/>
      <x:c r="G41" s="23"/>
    </x:row>
    <x:row r="42" spans="1:7" ht="13.19999999999999928946">
      <x:c r="A42" s="23"/>
      <x:c r="B42" s="23"/>
      <x:c r="C42" s="23"/>
      <x:c r="D42" s="23"/>
      <x:c r="E42" s="23"/>
      <x:c r="F42" s="23"/>
      <x:c r="G42" s="23"/>
    </x:row>
    <x:row r="43" spans="1:7" ht="13.19999999999999928946">
      <x:c r="A43" s="23"/>
      <x:c r="B43" s="23"/>
      <x:c r="C43" s="23"/>
      <x:c r="D43" s="23"/>
      <x:c r="E43" s="23"/>
      <x:c r="F43" s="23"/>
      <x:c r="G43" s="23"/>
    </x:row>
    <x:row r="44" spans="1:7" ht="13.19999999999999928946">
      <x:c r="A44" s="23"/>
      <x:c r="B44" s="23"/>
      <x:c r="C44" s="23"/>
      <x:c r="D44" s="23"/>
      <x:c r="E44" s="23"/>
      <x:c r="F44" s="23"/>
      <x:c r="G44" s="23"/>
    </x:row>
    <x:row r="45" spans="1:7" ht="13.19999999999999928946">
      <x:c r="A45" s="23"/>
      <x:c r="B45" s="23"/>
      <x:c r="C45" s="23"/>
      <x:c r="D45" s="23"/>
      <x:c r="E45" s="23"/>
      <x:c r="F45" s="23"/>
      <x:c r="G45" s="23"/>
    </x:row>
    <x:row r="46" spans="1:7" ht="13.19999999999999928946">
      <x:c r="A46" s="23"/>
      <x:c r="B46" s="23"/>
      <x:c r="C46" s="23"/>
      <x:c r="D46" s="23"/>
      <x:c r="E46" s="23"/>
      <x:c r="F46" s="23"/>
      <x:c r="G46" s="23"/>
    </x:row>
    <x:row r="47" spans="1:7" ht="13.19999999999999928946">
      <x:c r="A47" s="23"/>
      <x:c r="B47" s="23"/>
      <x:c r="C47" s="23"/>
      <x:c r="D47" s="23"/>
      <x:c r="E47" s="23"/>
      <x:c r="F47" s="23"/>
      <x:c r="G47" s="23"/>
    </x:row>
    <x:row r="48" spans="1:7" ht="13.19999999999999928946">
      <x:c r="A48" s="23"/>
      <x:c r="B48" s="23"/>
      <x:c r="C48" s="23"/>
      <x:c r="D48" s="23"/>
      <x:c r="E48" s="23"/>
      <x:c r="F48" s="23"/>
      <x:c r="G48" s="23"/>
    </x:row>
    <x:row r="49" spans="1:7" ht="13.19999999999999928946">
      <x:c r="A49" s="23"/>
      <x:c r="B49" s="23"/>
      <x:c r="C49" s="23"/>
      <x:c r="D49" s="23"/>
      <x:c r="E49" s="23"/>
      <x:c r="F49" s="23"/>
      <x:c r="G49" s="23"/>
    </x:row>
    <x:row r="50" spans="1:7" ht="13.19999999999999928946">
      <x:c r="A50" s="23"/>
      <x:c r="B50" s="23"/>
      <x:c r="C50" s="23"/>
      <x:c r="D50" s="23"/>
      <x:c r="E50" s="23"/>
      <x:c r="F50" s="23"/>
      <x:c r="G50" s="23"/>
    </x:row>
    <x:row r="51" spans="1:7" ht="13.19999999999999928946">
      <x:c r="A51" s="23"/>
      <x:c r="B51" s="23"/>
      <x:c r="C51" s="23"/>
      <x:c r="D51" s="23"/>
      <x:c r="E51" s="23"/>
      <x:c r="F51" s="23"/>
      <x:c r="G51" s="23"/>
    </x:row>
    <x:row r="52" spans="1:7" ht="13.19999999999999928946">
      <x:c r="A52" s="23"/>
      <x:c r="B52" s="23"/>
      <x:c r="C52" s="23"/>
      <x:c r="D52" s="23"/>
      <x:c r="E52" s="23"/>
      <x:c r="F52" s="23"/>
      <x:c r="G52" s="23"/>
    </x:row>
    <x:row r="53" spans="1:7" ht="13.19999999999999928946">
      <x:c r="A53" s="23"/>
      <x:c r="B53" s="23"/>
      <x:c r="C53" s="23"/>
      <x:c r="D53" s="23"/>
      <x:c r="E53" s="23"/>
      <x:c r="F53" s="23"/>
      <x:c r="G53" s="23"/>
    </x:row>
    <x:row r="54" spans="1:7" ht="13.19999999999999928946">
      <x:c r="A54" s="23"/>
      <x:c r="B54" s="23"/>
      <x:c r="C54" s="23"/>
      <x:c r="D54" s="23"/>
      <x:c r="E54" s="23"/>
      <x:c r="F54" s="23"/>
      <x:c r="G54" s="23"/>
    </x:row>
    <x:row r="55" spans="1:7" ht="13.19999999999999928946">
      <x:c r="A55" s="23"/>
      <x:c r="B55" s="23"/>
      <x:c r="C55" s="23"/>
      <x:c r="D55" s="23"/>
      <x:c r="E55" s="23"/>
      <x:c r="F55" s="23"/>
      <x:c r="G55" s="23"/>
    </x:row>
    <x:row r="56" spans="1:7" ht="13.19999999999999928946">
      <x:c r="A56" s="23"/>
      <x:c r="B56" s="23"/>
      <x:c r="C56" s="23"/>
      <x:c r="D56" s="23"/>
      <x:c r="E56" s="23"/>
      <x:c r="F56" s="23"/>
      <x:c r="G56" s="23"/>
    </x:row>
    <x:row r="57" spans="1:7" ht="13.19999999999999928946">
      <x:c r="A57" s="23"/>
      <x:c r="B57" s="23"/>
      <x:c r="C57" s="23"/>
      <x:c r="D57" s="23"/>
      <x:c r="E57" s="23"/>
      <x:c r="F57" s="23"/>
      <x:c r="G57" s="23"/>
    </x:row>
    <x:row r="58" spans="1:7" ht="13.19999999999999928946">
      <x:c r="A58" s="23"/>
      <x:c r="B58" s="23"/>
      <x:c r="C58" s="23"/>
      <x:c r="D58" s="23"/>
      <x:c r="E58" s="23"/>
      <x:c r="F58" s="23"/>
      <x:c r="G58" s="23"/>
    </x:row>
    <x:row r="59" spans="1:7" ht="13.19999999999999928946">
      <x:c r="A59" s="23"/>
      <x:c r="B59" s="23"/>
      <x:c r="C59" s="23"/>
      <x:c r="D59" s="23"/>
      <x:c r="E59" s="23"/>
      <x:c r="F59" s="23"/>
      <x:c r="G59" s="23"/>
    </x:row>
    <x:row r="60" spans="1:7" ht="13.19999999999999928946">
      <x:c r="A60" s="23"/>
      <x:c r="B60" s="23"/>
      <x:c r="C60" s="23"/>
      <x:c r="D60" s="23"/>
      <x:c r="E60" s="23"/>
      <x:c r="F60" s="23"/>
      <x:c r="G60" s="23"/>
    </x:row>
    <x:row r="61" spans="1:7" ht="13.19999999999999928946">
      <x:c r="A61" s="23"/>
      <x:c r="B61" s="23"/>
      <x:c r="C61" s="23"/>
      <x:c r="D61" s="23"/>
      <x:c r="E61" s="23"/>
      <x:c r="F61" s="23"/>
      <x:c r="G61" s="23"/>
    </x:row>
    <x:row r="62" spans="1:7" ht="13.19999999999999928946">
      <x:c r="A62" s="23"/>
      <x:c r="B62" s="23"/>
      <x:c r="C62" s="23"/>
      <x:c r="D62" s="23"/>
      <x:c r="E62" s="23"/>
      <x:c r="F62" s="23"/>
      <x:c r="G62" s="23"/>
    </x:row>
    <x:row r="63" spans="1:7" ht="13.19999999999999928946">
      <x:c r="A63" s="23"/>
      <x:c r="B63" s="23"/>
      <x:c r="C63" s="23"/>
      <x:c r="D63" s="23"/>
      <x:c r="E63" s="23"/>
      <x:c r="F63" s="23"/>
      <x:c r="G63" s="23"/>
    </x:row>
    <x:row r="64" spans="1:7" ht="13.19999999999999928946">
      <x:c r="A64" s="23"/>
      <x:c r="B64" s="23"/>
      <x:c r="C64" s="23"/>
      <x:c r="D64" s="23"/>
      <x:c r="E64" s="23"/>
      <x:c r="F64" s="23"/>
      <x:c r="G64" s="23"/>
    </x:row>
    <x:row r="65" spans="1:7" ht="13.19999999999999928946">
      <x:c r="A65" s="23"/>
      <x:c r="B65" s="23"/>
      <x:c r="C65" s="23"/>
      <x:c r="D65" s="23"/>
      <x:c r="E65" s="23"/>
      <x:c r="F65" s="23"/>
      <x:c r="G65" s="23"/>
    </x:row>
    <x:row r="66" spans="1:7" ht="13.19999999999999928946">
      <x:c r="A66" s="23"/>
      <x:c r="B66" s="23"/>
      <x:c r="C66" s="23"/>
      <x:c r="D66" s="23"/>
      <x:c r="E66" s="23"/>
      <x:c r="F66" s="23"/>
      <x:c r="G66" s="23"/>
    </x:row>
    <x:row r="67" spans="1:7" ht="13.19999999999999928946">
      <x:c r="A67" s="23"/>
      <x:c r="B67" s="23"/>
      <x:c r="C67" s="23"/>
      <x:c r="D67" s="23"/>
      <x:c r="E67" s="23"/>
      <x:c r="F67" s="23"/>
      <x:c r="G67" s="23"/>
    </x:row>
    <x:row r="68" spans="1:7" ht="13.19999999999999928946">
      <x:c r="A68" s="23"/>
      <x:c r="B68" s="23"/>
      <x:c r="C68" s="23"/>
      <x:c r="D68" s="23"/>
      <x:c r="E68" s="23"/>
      <x:c r="F68" s="23"/>
      <x:c r="G68" s="23"/>
    </x:row>
    <x:row r="69" spans="1:7" ht="13.19999999999999928946">
      <x:c r="A69" s="23"/>
      <x:c r="B69" s="23"/>
      <x:c r="C69" s="23"/>
      <x:c r="D69" s="23"/>
      <x:c r="E69" s="23"/>
      <x:c r="F69" s="23"/>
      <x:c r="G69" s="23"/>
    </x:row>
    <x:row r="70" spans="1:7" ht="13.19999999999999928946">
      <x:c r="A70" s="23"/>
      <x:c r="B70" s="23"/>
      <x:c r="C70" s="23"/>
      <x:c r="D70" s="23"/>
      <x:c r="E70" s="23"/>
      <x:c r="F70" s="23"/>
      <x:c r="G70" s="23"/>
    </x:row>
    <x:row r="71" spans="1:7" ht="13.19999999999999928946">
      <x:c r="A71" s="23"/>
      <x:c r="B71" s="23"/>
      <x:c r="C71" s="23"/>
      <x:c r="D71" s="23"/>
      <x:c r="E71" s="23"/>
      <x:c r="F71" s="23"/>
      <x:c r="G71" s="23"/>
    </x:row>
    <x:row r="72" spans="1:7" ht="13.19999999999999928946">
      <x:c r="A72" s="23"/>
      <x:c r="B72" s="23"/>
      <x:c r="C72" s="23"/>
      <x:c r="D72" s="23"/>
      <x:c r="E72" s="23"/>
      <x:c r="F72" s="23"/>
      <x:c r="G72" s="23"/>
    </x:row>
    <x:row r="73" spans="1:7" ht="13.19999999999999928946">
      <x:c r="A73" s="23"/>
      <x:c r="B73" s="23"/>
      <x:c r="C73" s="23"/>
      <x:c r="D73" s="23"/>
      <x:c r="E73" s="23"/>
      <x:c r="F73" s="23"/>
      <x:c r="G73" s="23"/>
    </x:row>
    <x:row r="74" spans="1:7" ht="13.19999999999999928946">
      <x:c r="A74" s="23"/>
      <x:c r="B74" s="23"/>
      <x:c r="C74" s="23"/>
      <x:c r="D74" s="23"/>
      <x:c r="E74" s="23"/>
      <x:c r="F74" s="23"/>
      <x:c r="G74" s="23"/>
    </x:row>
    <x:row r="75" spans="1:7" ht="13.19999999999999928946">
      <x:c r="A75" s="23"/>
      <x:c r="B75" s="23"/>
      <x:c r="C75" s="23"/>
      <x:c r="D75" s="23"/>
      <x:c r="E75" s="23"/>
      <x:c r="F75" s="23"/>
      <x:c r="G75" s="23"/>
    </x:row>
    <x:row r="76" spans="1:7" ht="13.19999999999999928946">
      <x:c r="A76" s="23"/>
      <x:c r="B76" s="23"/>
      <x:c r="C76" s="23"/>
      <x:c r="D76" s="23"/>
      <x:c r="E76" s="23"/>
      <x:c r="F76" s="23"/>
      <x:c r="G76" s="23"/>
    </x:row>
    <x:row r="77" spans="1:7" ht="13.19999999999999928946">
      <x:c r="A77" s="23"/>
      <x:c r="B77" s="23"/>
      <x:c r="C77" s="23"/>
      <x:c r="D77" s="23"/>
      <x:c r="E77" s="23"/>
      <x:c r="F77" s="23"/>
      <x:c r="G77" s="23"/>
    </x:row>
    <x:row r="78" spans="1:7" ht="13.19999999999999928946">
      <x:c r="A78" s="23"/>
      <x:c r="B78" s="23"/>
      <x:c r="C78" s="23"/>
      <x:c r="D78" s="23"/>
      <x:c r="E78" s="23"/>
      <x:c r="F78" s="23"/>
      <x:c r="G78" s="23"/>
    </x:row>
    <x:row r="79" spans="1:7" ht="13.19999999999999928946">
      <x:c r="A79" s="23"/>
      <x:c r="B79" s="23"/>
      <x:c r="C79" s="23"/>
      <x:c r="D79" s="23"/>
      <x:c r="E79" s="23"/>
      <x:c r="F79" s="23"/>
      <x:c r="G79" s="23"/>
    </x:row>
    <x:row r="80" spans="1:7" ht="13.19999999999999928946">
      <x:c r="A80" s="23"/>
      <x:c r="B80" s="23"/>
      <x:c r="C80" s="23"/>
      <x:c r="D80" s="23"/>
      <x:c r="E80" s="23"/>
      <x:c r="F80" s="23"/>
      <x:c r="G80" s="23"/>
    </x:row>
    <x:row r="81" spans="1:7" ht="13.19999999999999928946">
      <x:c r="A81" s="23"/>
      <x:c r="B81" s="23"/>
      <x:c r="C81" s="23"/>
      <x:c r="D81" s="23"/>
      <x:c r="E81" s="23"/>
      <x:c r="F81" s="23"/>
      <x:c r="G81" s="23"/>
    </x:row>
    <x:row r="82" spans="1:7" ht="13.19999999999999928946">
      <x:c r="A82" s="23"/>
      <x:c r="B82" s="23"/>
      <x:c r="C82" s="23"/>
      <x:c r="D82" s="23"/>
      <x:c r="E82" s="23"/>
      <x:c r="F82" s="23"/>
      <x:c r="G82" s="23"/>
    </x:row>
    <x:row r="83" spans="1:7" ht="13.19999999999999928946">
      <x:c r="A83" s="23"/>
      <x:c r="B83" s="23"/>
      <x:c r="C83" s="23"/>
      <x:c r="D83" s="23"/>
      <x:c r="E83" s="23"/>
      <x:c r="F83" s="23"/>
      <x:c r="G83" s="23"/>
    </x:row>
    <x:row r="84" spans="1:7" ht="13.19999999999999928946">
      <x:c r="A84" s="23"/>
      <x:c r="B84" s="23"/>
      <x:c r="C84" s="23"/>
      <x:c r="D84" s="23"/>
      <x:c r="E84" s="23"/>
      <x:c r="F84" s="23"/>
      <x:c r="G84" s="23"/>
    </x:row>
    <x:row r="85" spans="1:7" ht="13.19999999999999928946">
      <x:c r="A85" s="23"/>
      <x:c r="B85" s="23"/>
      <x:c r="C85" s="23"/>
      <x:c r="D85" s="23"/>
      <x:c r="E85" s="23"/>
      <x:c r="F85" s="23"/>
      <x:c r="G85" s="23"/>
    </x:row>
    <x:row r="86" spans="1:7" ht="13.19999999999999928946">
      <x:c r="A86" s="23"/>
      <x:c r="B86" s="23"/>
      <x:c r="C86" s="23"/>
      <x:c r="D86" s="23"/>
      <x:c r="E86" s="23"/>
      <x:c r="F86" s="23"/>
      <x:c r="G86" s="23"/>
    </x:row>
    <x:row r="87" spans="1:7" ht="13.19999999999999928946">
      <x:c r="A87" s="23"/>
      <x:c r="B87" s="23"/>
      <x:c r="C87" s="23"/>
      <x:c r="D87" s="23"/>
      <x:c r="E87" s="23"/>
      <x:c r="F87" s="23"/>
      <x:c r="G87" s="23"/>
    </x:row>
    <x:row r="88" spans="1:7" ht="13.19999999999999928946">
      <x:c r="A88" s="23"/>
      <x:c r="B88" s="23"/>
      <x:c r="C88" s="23"/>
      <x:c r="D88" s="23"/>
      <x:c r="E88" s="23"/>
      <x:c r="F88" s="23"/>
      <x:c r="G88" s="23"/>
    </x:row>
    <x:row r="89" spans="1:7" ht="13.19999999999999928946">
      <x:c r="A89" s="23"/>
      <x:c r="B89" s="23"/>
      <x:c r="C89" s="23"/>
      <x:c r="D89" s="23"/>
      <x:c r="E89" s="23"/>
      <x:c r="F89" s="23"/>
      <x:c r="G89" s="23"/>
    </x:row>
    <x:row r="90" spans="1:7" ht="13.19999999999999928946">
      <x:c r="A90" s="23"/>
      <x:c r="B90" s="23"/>
      <x:c r="C90" s="23"/>
      <x:c r="D90" s="23"/>
      <x:c r="E90" s="23"/>
      <x:c r="F90" s="23"/>
      <x:c r="G90" s="23"/>
    </x:row>
    <x:row r="91" spans="1:7" ht="13.19999999999999928946">
      <x:c r="A91" s="23"/>
      <x:c r="B91" s="23"/>
      <x:c r="C91" s="23"/>
      <x:c r="D91" s="23"/>
      <x:c r="E91" s="23"/>
      <x:c r="F91" s="23"/>
      <x:c r="G91" s="23"/>
    </x:row>
    <x:row r="92" spans="1:7" ht="13.19999999999999928946">
      <x:c r="A92" s="23"/>
      <x:c r="B92" s="23"/>
      <x:c r="C92" s="23"/>
      <x:c r="D92" s="23"/>
      <x:c r="E92" s="23"/>
      <x:c r="F92" s="23"/>
      <x:c r="G92" s="23"/>
    </x:row>
    <x:row r="93" spans="1:7" ht="13.19999999999999928946">
      <x:c r="A93" s="23"/>
      <x:c r="B93" s="23"/>
      <x:c r="C93" s="23"/>
      <x:c r="D93" s="23"/>
      <x:c r="E93" s="23"/>
      <x:c r="F93" s="23"/>
      <x:c r="G93" s="23"/>
    </x:row>
    <x:row r="94" spans="1:7" ht="13.19999999999999928946">
      <x:c r="A94" s="23"/>
      <x:c r="B94" s="23"/>
      <x:c r="C94" s="23"/>
      <x:c r="D94" s="23"/>
      <x:c r="E94" s="23"/>
      <x:c r="F94" s="23"/>
      <x:c r="G94" s="23"/>
    </x:row>
    <x:row r="95" spans="1:7" ht="13.19999999999999928946">
      <x:c r="A95" s="23"/>
      <x:c r="B95" s="23"/>
      <x:c r="C95" s="23"/>
      <x:c r="D95" s="23"/>
      <x:c r="E95" s="23"/>
      <x:c r="F95" s="23"/>
      <x:c r="G95" s="23"/>
    </x:row>
    <x:row r="96" spans="1:7" ht="13.19999999999999928946">
      <x:c r="A96" s="23"/>
      <x:c r="B96" s="23"/>
      <x:c r="C96" s="23"/>
      <x:c r="D96" s="23"/>
      <x:c r="E96" s="23"/>
      <x:c r="F96" s="23"/>
      <x:c r="G96" s="23"/>
    </x:row>
    <x:row r="97" spans="1:7" ht="13.19999999999999928946">
      <x:c r="A97" s="23"/>
      <x:c r="B97" s="23"/>
      <x:c r="C97" s="23"/>
      <x:c r="D97" s="23"/>
      <x:c r="E97" s="23"/>
      <x:c r="F97" s="23"/>
      <x:c r="G97" s="23"/>
    </x:row>
    <x:row r="98" spans="1:7" ht="13.19999999999999928946">
      <x:c r="A98" s="23"/>
      <x:c r="B98" s="23"/>
      <x:c r="C98" s="23"/>
      <x:c r="D98" s="23"/>
      <x:c r="E98" s="23"/>
      <x:c r="F98" s="23"/>
      <x:c r="G98" s="23"/>
    </x:row>
    <x:row r="99" spans="1:7" ht="13.19999999999999928946">
      <x:c r="A99" s="23"/>
      <x:c r="B99" s="23"/>
      <x:c r="C99" s="23"/>
      <x:c r="D99" s="23"/>
      <x:c r="E99" s="23"/>
      <x:c r="F99" s="23"/>
      <x:c r="G99" s="23"/>
    </x:row>
    <x:row r="100" spans="1:7" ht="13.19999999999999928946">
      <x:c r="A100" s="23"/>
      <x:c r="B100" s="23"/>
      <x:c r="C100" s="23"/>
      <x:c r="D100" s="23"/>
      <x:c r="E100" s="23"/>
      <x:c r="F100" s="23"/>
      <x:c r="G100" s="23"/>
    </x:row>
    <x:row r="101" spans="1:7" ht="13.19999999999999928946">
      <x:c r="A101" s="23"/>
      <x:c r="B101" s="23"/>
      <x:c r="C101" s="23"/>
      <x:c r="D101" s="23"/>
      <x:c r="E101" s="23"/>
      <x:c r="F101" s="23"/>
      <x:c r="G101" s="23"/>
    </x:row>
    <x:row r="102" spans="1:7" ht="13.19999999999999928946">
      <x:c r="A102" s="23"/>
      <x:c r="B102" s="23"/>
      <x:c r="C102" s="23"/>
      <x:c r="D102" s="23"/>
      <x:c r="E102" s="23"/>
      <x:c r="F102" s="23"/>
      <x:c r="G102" s="23"/>
    </x:row>
    <x:row r="103" spans="1:7" ht="13.19999999999999928946">
      <x:c r="A103" s="23"/>
      <x:c r="B103" s="23"/>
      <x:c r="C103" s="23"/>
      <x:c r="D103" s="23"/>
      <x:c r="E103" s="23"/>
      <x:c r="F103" s="23"/>
      <x:c r="G103" s="23"/>
    </x:row>
    <x:row r="104" spans="1:7" ht="13.19999999999999928946">
      <x:c r="A104" s="23"/>
      <x:c r="B104" s="23"/>
      <x:c r="C104" s="23"/>
      <x:c r="D104" s="23"/>
      <x:c r="E104" s="23"/>
      <x:c r="F104" s="23"/>
      <x:c r="G104" s="23"/>
    </x:row>
    <x:row r="105" spans="1:7" ht="13.19999999999999928946">
      <x:c r="A105" s="23"/>
      <x:c r="B105" s="23"/>
      <x:c r="C105" s="23"/>
      <x:c r="D105" s="23"/>
      <x:c r="E105" s="23"/>
      <x:c r="F105" s="23"/>
      <x:c r="G105" s="23"/>
    </x:row>
    <x:row r="106" spans="1:7" ht="13.19999999999999928946">
      <x:c r="A106" s="23"/>
      <x:c r="B106" s="23"/>
      <x:c r="C106" s="23"/>
      <x:c r="D106" s="23"/>
      <x:c r="E106" s="23"/>
      <x:c r="F106" s="23"/>
      <x:c r="G106" s="23"/>
    </x:row>
    <x:row r="107" spans="1:7" ht="13.19999999999999928946">
      <x:c r="A107" s="23"/>
      <x:c r="B107" s="23"/>
      <x:c r="C107" s="23"/>
      <x:c r="D107" s="23"/>
      <x:c r="E107" s="23"/>
      <x:c r="F107" s="23"/>
      <x:c r="G107" s="23"/>
    </x:row>
    <x:row r="108" spans="1:7" ht="13.19999999999999928946">
      <x:c r="A108" s="23"/>
      <x:c r="B108" s="23"/>
      <x:c r="C108" s="23"/>
      <x:c r="D108" s="23"/>
      <x:c r="E108" s="23"/>
      <x:c r="F108" s="23"/>
      <x:c r="G108" s="23"/>
    </x:row>
    <x:row r="109" spans="1:7" ht="13.19999999999999928946">
      <x:c r="A109" s="23"/>
      <x:c r="B109" s="23"/>
      <x:c r="C109" s="23"/>
      <x:c r="D109" s="23"/>
      <x:c r="E109" s="23"/>
      <x:c r="F109" s="23"/>
      <x:c r="G109" s="23"/>
    </x:row>
    <x:row r="110" spans="1:7" ht="13.19999999999999928946">
      <x:c r="A110" s="23"/>
      <x:c r="B110" s="23"/>
      <x:c r="C110" s="23"/>
      <x:c r="D110" s="23"/>
      <x:c r="E110" s="23"/>
      <x:c r="F110" s="23"/>
      <x:c r="G110" s="23"/>
    </x:row>
    <x:row r="111" spans="1:7" ht="13.19999999999999928946">
      <x:c r="A111" s="23"/>
      <x:c r="B111" s="23"/>
      <x:c r="C111" s="23"/>
      <x:c r="D111" s="23"/>
      <x:c r="E111" s="23"/>
      <x:c r="F111" s="23"/>
      <x:c r="G111" s="23"/>
    </x:row>
    <x:row r="112" spans="1:7" ht="13.19999999999999928946">
      <x:c r="A112" s="23"/>
      <x:c r="B112" s="23"/>
      <x:c r="C112" s="23"/>
      <x:c r="D112" s="23"/>
      <x:c r="E112" s="23"/>
      <x:c r="F112" s="23"/>
      <x:c r="G112" s="23"/>
    </x:row>
    <x:row r="113" spans="1:7" ht="13.19999999999999928946">
      <x:c r="A113" s="23"/>
      <x:c r="B113" s="23"/>
      <x:c r="C113" s="23"/>
      <x:c r="D113" s="23"/>
      <x:c r="E113" s="23"/>
      <x:c r="F113" s="23"/>
      <x:c r="G113" s="23"/>
    </x:row>
    <x:row r="114" spans="1:7" ht="13.19999999999999928946">
      <x:c r="A114" s="23"/>
      <x:c r="B114" s="23"/>
      <x:c r="C114" s="23"/>
      <x:c r="D114" s="23"/>
      <x:c r="E114" s="23"/>
      <x:c r="F114" s="23"/>
      <x:c r="G114" s="23"/>
    </x:row>
    <x:row r="115" spans="1:7" ht="13.19999999999999928946">
      <x:c r="A115" s="23"/>
      <x:c r="B115" s="23"/>
      <x:c r="C115" s="23"/>
      <x:c r="D115" s="23"/>
      <x:c r="E115" s="23"/>
      <x:c r="F115" s="23"/>
      <x:c r="G115" s="23"/>
    </x:row>
    <x:row r="116" spans="1:7" ht="13.19999999999999928946">
      <x:c r="A116" s="23"/>
      <x:c r="B116" s="23"/>
      <x:c r="C116" s="23"/>
      <x:c r="D116" s="23"/>
      <x:c r="E116" s="23"/>
      <x:c r="F116" s="23"/>
      <x:c r="G116" s="23"/>
    </x:row>
    <x:row r="117" spans="1:7" ht="13.19999999999999928946">
      <x:c r="A117" s="23"/>
      <x:c r="B117" s="23"/>
      <x:c r="C117" s="23"/>
      <x:c r="D117" s="23"/>
      <x:c r="E117" s="23"/>
      <x:c r="F117" s="23"/>
      <x:c r="G117" s="23"/>
    </x:row>
    <x:row r="118" spans="1:7" ht="13.19999999999999928946">
      <x:c r="A118" s="23"/>
      <x:c r="B118" s="23"/>
      <x:c r="C118" s="23"/>
      <x:c r="D118" s="23"/>
      <x:c r="E118" s="23"/>
      <x:c r="F118" s="23"/>
      <x:c r="G118" s="23"/>
    </x:row>
    <x:row r="119" spans="1:7" ht="13.19999999999999928946">
      <x:c r="A119" s="23"/>
      <x:c r="B119" s="23"/>
      <x:c r="C119" s="23"/>
      <x:c r="D119" s="23"/>
      <x:c r="E119" s="23"/>
      <x:c r="F119" s="23"/>
      <x:c r="G119" s="23"/>
    </x:row>
    <x:row r="120" spans="1:7" ht="13.19999999999999928946">
      <x:c r="A120" s="23"/>
      <x:c r="B120" s="23"/>
      <x:c r="C120" s="23"/>
      <x:c r="D120" s="23"/>
      <x:c r="E120" s="23"/>
      <x:c r="F120" s="23"/>
      <x:c r="G120" s="23"/>
    </x:row>
    <x:row r="121" spans="1:7" ht="13.19999999999999928946">
      <x:c r="A121" s="23"/>
      <x:c r="B121" s="23"/>
      <x:c r="C121" s="23"/>
      <x:c r="D121" s="23"/>
      <x:c r="E121" s="23"/>
      <x:c r="F121" s="23"/>
      <x:c r="G121" s="23"/>
    </x:row>
    <x:row r="122" spans="1:7" ht="13.19999999999999928946">
      <x:c r="A122" s="23"/>
      <x:c r="B122" s="23"/>
      <x:c r="C122" s="23"/>
      <x:c r="D122" s="23"/>
      <x:c r="E122" s="23"/>
      <x:c r="F122" s="23"/>
      <x:c r="G122" s="23"/>
    </x:row>
    <x:row r="123" spans="1:7" ht="13.19999999999999928946">
      <x:c r="A123" s="23"/>
      <x:c r="B123" s="23"/>
      <x:c r="C123" s="23"/>
      <x:c r="D123" s="23"/>
      <x:c r="E123" s="23"/>
      <x:c r="F123" s="23"/>
      <x:c r="G123" s="23"/>
    </x:row>
    <x:row r="124" spans="1:7" ht="13.19999999999999928946">
      <x:c r="A124" s="23"/>
      <x:c r="B124" s="23"/>
      <x:c r="C124" s="23"/>
      <x:c r="D124" s="23"/>
      <x:c r="E124" s="23"/>
      <x:c r="F124" s="23"/>
      <x:c r="G124" s="23"/>
    </x:row>
    <x:row r="125" spans="1:7" ht="13.19999999999999928946">
      <x:c r="A125" s="23"/>
      <x:c r="B125" s="23"/>
      <x:c r="C125" s="23"/>
      <x:c r="D125" s="23"/>
      <x:c r="E125" s="23"/>
      <x:c r="F125" s="23"/>
      <x:c r="G125" s="23"/>
    </x:row>
    <x:row r="126" spans="1:7" ht="13.19999999999999928946">
      <x:c r="A126" s="23"/>
      <x:c r="B126" s="23"/>
      <x:c r="C126" s="23"/>
      <x:c r="D126" s="23"/>
      <x:c r="E126" s="23"/>
      <x:c r="F126" s="23"/>
      <x:c r="G126" s="23"/>
    </x:row>
    <x:row r="127" spans="1:7" ht="13.19999999999999928946">
      <x:c r="A127" s="23"/>
      <x:c r="B127" s="23"/>
      <x:c r="C127" s="23"/>
      <x:c r="D127" s="23"/>
      <x:c r="E127" s="23"/>
      <x:c r="F127" s="23"/>
      <x:c r="G127" s="23"/>
    </x:row>
    <x:row r="128" spans="1:7" ht="13.19999999999999928946">
      <x:c r="A128" s="23"/>
      <x:c r="B128" s="23"/>
      <x:c r="C128" s="23"/>
      <x:c r="D128" s="23"/>
      <x:c r="E128" s="23"/>
      <x:c r="F128" s="23"/>
      <x:c r="G128" s="23"/>
    </x:row>
    <x:row r="129" spans="1:7" ht="13.19999999999999928946">
      <x:c r="A129" s="23"/>
      <x:c r="B129" s="23"/>
      <x:c r="C129" s="23"/>
      <x:c r="D129" s="23"/>
      <x:c r="E129" s="23"/>
      <x:c r="F129" s="23"/>
      <x:c r="G129" s="23"/>
    </x:row>
    <x:row r="130" spans="1:7" ht="13.19999999999999928946">
      <x:c r="A130" s="23"/>
      <x:c r="B130" s="23"/>
      <x:c r="C130" s="23"/>
      <x:c r="D130" s="23"/>
      <x:c r="E130" s="23"/>
      <x:c r="F130" s="23"/>
      <x:c r="G130" s="23"/>
    </x:row>
    <x:row r="131" spans="1:7" ht="13.19999999999999928946">
      <x:c r="A131" s="23"/>
      <x:c r="B131" s="23"/>
      <x:c r="C131" s="23"/>
      <x:c r="D131" s="23"/>
      <x:c r="E131" s="23"/>
      <x:c r="F131" s="23"/>
      <x:c r="G131" s="23"/>
    </x:row>
    <x:row r="132" spans="1:7" ht="13.19999999999999928946">
      <x:c r="A132" s="23"/>
      <x:c r="B132" s="23"/>
      <x:c r="C132" s="23"/>
      <x:c r="D132" s="23"/>
      <x:c r="E132" s="23"/>
      <x:c r="F132" s="23"/>
      <x:c r="G132" s="23"/>
    </x:row>
    <x:row r="133" spans="1:7" ht="13.19999999999999928946">
      <x:c r="A133" s="23"/>
      <x:c r="B133" s="23"/>
      <x:c r="C133" s="23"/>
      <x:c r="D133" s="23"/>
      <x:c r="E133" s="23"/>
      <x:c r="F133" s="23"/>
      <x:c r="G133" s="23"/>
    </x:row>
    <x:row r="134" spans="1:7" ht="13.19999999999999928946">
      <x:c r="A134" s="23"/>
      <x:c r="B134" s="23"/>
      <x:c r="C134" s="23"/>
      <x:c r="D134" s="23"/>
      <x:c r="E134" s="23"/>
      <x:c r="F134" s="23"/>
      <x:c r="G134" s="23"/>
    </x:row>
    <x:row r="135" spans="1:7" ht="13.19999999999999928946">
      <x:c r="A135" s="23"/>
      <x:c r="B135" s="23"/>
      <x:c r="C135" s="23"/>
      <x:c r="D135" s="23"/>
      <x:c r="E135" s="23"/>
      <x:c r="F135" s="23"/>
      <x:c r="G135" s="23"/>
    </x:row>
    <x:row r="136" spans="1:7" ht="13.19999999999999928946">
      <x:c r="A136" s="23"/>
      <x:c r="B136" s="23"/>
      <x:c r="C136" s="23"/>
      <x:c r="D136" s="23"/>
      <x:c r="E136" s="23"/>
      <x:c r="F136" s="23"/>
      <x:c r="G136" s="23"/>
    </x:row>
    <x:row r="137" spans="1:7" ht="13.19999999999999928946">
      <x:c r="A137" s="23"/>
      <x:c r="B137" s="23"/>
      <x:c r="C137" s="23"/>
      <x:c r="D137" s="23"/>
      <x:c r="E137" s="23"/>
      <x:c r="F137" s="23"/>
      <x:c r="G137" s="23"/>
    </x:row>
    <x:row r="138" spans="1:7" ht="13.19999999999999928946">
      <x:c r="A138" s="23"/>
      <x:c r="B138" s="23"/>
      <x:c r="C138" s="23"/>
      <x:c r="D138" s="23"/>
      <x:c r="E138" s="23"/>
      <x:c r="F138" s="23"/>
      <x:c r="G138" s="23"/>
    </x:row>
    <x:row r="139" spans="1:7" ht="13.19999999999999928946">
      <x:c r="A139" s="23"/>
      <x:c r="B139" s="23"/>
      <x:c r="C139" s="23"/>
      <x:c r="D139" s="23"/>
      <x:c r="E139" s="23"/>
      <x:c r="F139" s="23"/>
      <x:c r="G139" s="23"/>
    </x:row>
    <x:row r="140" spans="1:7" ht="13.19999999999999928946">
      <x:c r="A140" s="23"/>
      <x:c r="B140" s="23"/>
      <x:c r="C140" s="23"/>
      <x:c r="D140" s="23"/>
      <x:c r="E140" s="23"/>
      <x:c r="F140" s="23"/>
      <x:c r="G140" s="23"/>
    </x:row>
    <x:row r="141" spans="1:7" ht="13.19999999999999928946">
      <x:c r="A141" s="23"/>
      <x:c r="B141" s="23"/>
      <x:c r="C141" s="23"/>
      <x:c r="D141" s="23"/>
      <x:c r="E141" s="23"/>
      <x:c r="F141" s="23"/>
      <x:c r="G141" s="23"/>
    </x:row>
    <x:row r="142" spans="1:7" ht="13.19999999999999928946">
      <x:c r="A142" s="23"/>
      <x:c r="B142" s="23"/>
      <x:c r="C142" s="23"/>
      <x:c r="D142" s="23"/>
      <x:c r="E142" s="23"/>
      <x:c r="F142" s="23"/>
      <x:c r="G142" s="23"/>
    </x:row>
    <x:row r="143" spans="1:7" ht="13.19999999999999928946">
      <x:c r="A143" s="23"/>
      <x:c r="B143" s="23"/>
      <x:c r="C143" s="23"/>
      <x:c r="D143" s="23"/>
      <x:c r="E143" s="23"/>
      <x:c r="F143" s="23"/>
      <x:c r="G143" s="23"/>
    </x:row>
    <x:row r="144" spans="1:7" ht="13.19999999999999928946">
      <x:c r="A144" s="23"/>
      <x:c r="B144" s="23"/>
      <x:c r="C144" s="23"/>
      <x:c r="D144" s="23"/>
      <x:c r="E144" s="23"/>
      <x:c r="F144" s="23"/>
      <x:c r="G144" s="23"/>
    </x:row>
    <x:row r="145" spans="1:7" ht="13.19999999999999928946">
      <x:c r="A145" s="23"/>
      <x:c r="B145" s="23"/>
      <x:c r="C145" s="23"/>
      <x:c r="D145" s="23"/>
      <x:c r="E145" s="23"/>
      <x:c r="F145" s="23"/>
      <x:c r="G145" s="23"/>
    </x:row>
    <x:row r="146" spans="1:7" ht="13.19999999999999928946">
      <x:c r="A146" s="23"/>
      <x:c r="B146" s="23"/>
      <x:c r="C146" s="23"/>
      <x:c r="D146" s="23"/>
      <x:c r="E146" s="23"/>
      <x:c r="F146" s="23"/>
      <x:c r="G146" s="23"/>
    </x:row>
    <x:row r="147" spans="1:7" ht="13.19999999999999928946">
      <x:c r="A147" s="23"/>
      <x:c r="B147" s="23"/>
      <x:c r="C147" s="23"/>
      <x:c r="D147" s="23"/>
      <x:c r="E147" s="23"/>
      <x:c r="F147" s="23"/>
      <x:c r="G147" s="23"/>
    </x:row>
    <x:row r="148" spans="1:7" ht="13.19999999999999928946">
      <x:c r="A148" s="23"/>
      <x:c r="B148" s="23"/>
      <x:c r="C148" s="23"/>
      <x:c r="D148" s="23"/>
      <x:c r="E148" s="23"/>
      <x:c r="F148" s="23"/>
      <x:c r="G148" s="23"/>
    </x:row>
    <x:row r="149" spans="1:7" ht="13.19999999999999928946">
      <x:c r="A149" s="23"/>
      <x:c r="B149" s="23"/>
      <x:c r="C149" s="23"/>
      <x:c r="D149" s="23"/>
      <x:c r="E149" s="23"/>
      <x:c r="F149" s="23"/>
      <x:c r="G149" s="23"/>
    </x:row>
    <x:row r="150" spans="1:7" ht="13.19999999999999928946">
      <x:c r="A150" s="23"/>
      <x:c r="B150" s="23"/>
      <x:c r="C150" s="23"/>
      <x:c r="D150" s="23"/>
      <x:c r="E150" s="23"/>
      <x:c r="F150" s="23"/>
      <x:c r="G150" s="23"/>
    </x:row>
    <x:row r="151" spans="1:7" ht="13.19999999999999928946">
      <x:c r="A151" s="23"/>
      <x:c r="B151" s="23"/>
      <x:c r="C151" s="23"/>
      <x:c r="D151" s="23"/>
      <x:c r="E151" s="23"/>
      <x:c r="F151" s="23"/>
      <x:c r="G151" s="23"/>
    </x:row>
    <x:row r="152" spans="1:7" ht="13.19999999999999928946">
      <x:c r="A152" s="23"/>
      <x:c r="B152" s="23"/>
      <x:c r="C152" s="23"/>
      <x:c r="D152" s="23"/>
      <x:c r="E152" s="23"/>
      <x:c r="F152" s="23"/>
      <x:c r="G152" s="23"/>
    </x:row>
    <x:row r="153" spans="1:7" ht="13.19999999999999928946">
      <x:c r="A153" s="23"/>
      <x:c r="B153" s="23"/>
      <x:c r="C153" s="23"/>
      <x:c r="D153" s="23"/>
      <x:c r="E153" s="23"/>
      <x:c r="F153" s="23"/>
      <x:c r="G153" s="23"/>
    </x:row>
    <x:row r="154" spans="1:7" ht="13.19999999999999928946">
      <x:c r="A154" s="23"/>
      <x:c r="B154" s="23"/>
      <x:c r="C154" s="23"/>
      <x:c r="D154" s="23"/>
      <x:c r="E154" s="23"/>
      <x:c r="F154" s="23"/>
      <x:c r="G154" s="23"/>
    </x:row>
    <x:row r="155" spans="1:7" ht="13.19999999999999928946">
      <x:c r="A155" s="23"/>
      <x:c r="B155" s="23"/>
      <x:c r="C155" s="23"/>
      <x:c r="D155" s="23"/>
      <x:c r="E155" s="23"/>
      <x:c r="F155" s="23"/>
      <x:c r="G155" s="23"/>
    </x:row>
    <x:row r="156" spans="1:7" ht="13.19999999999999928946">
      <x:c r="A156" s="23"/>
      <x:c r="B156" s="23"/>
      <x:c r="C156" s="23"/>
      <x:c r="D156" s="23"/>
      <x:c r="E156" s="23"/>
      <x:c r="F156" s="23"/>
      <x:c r="G156" s="23"/>
    </x:row>
    <x:row r="157" spans="1:7" ht="13.19999999999999928946">
      <x:c r="A157" s="23"/>
      <x:c r="B157" s="23"/>
      <x:c r="C157" s="23"/>
      <x:c r="D157" s="23"/>
      <x:c r="E157" s="23"/>
      <x:c r="F157" s="23"/>
      <x:c r="G157" s="23"/>
    </x:row>
    <x:row r="158" spans="1:7" ht="13.19999999999999928946">
      <x:c r="A158" s="23"/>
      <x:c r="B158" s="23"/>
      <x:c r="C158" s="23"/>
      <x:c r="D158" s="23"/>
      <x:c r="E158" s="23"/>
      <x:c r="F158" s="23"/>
      <x:c r="G158" s="23"/>
    </x:row>
    <x:row r="159" spans="1:7" ht="13.19999999999999928946">
      <x:c r="A159" s="23"/>
      <x:c r="B159" s="23"/>
      <x:c r="C159" s="23"/>
      <x:c r="D159" s="23"/>
      <x:c r="E159" s="23"/>
      <x:c r="F159" s="23"/>
      <x:c r="G159" s="23"/>
    </x:row>
    <x:row r="160" spans="1:7" ht="13.19999999999999928946">
      <x:c r="A160" s="23"/>
      <x:c r="B160" s="23"/>
      <x:c r="C160" s="23"/>
      <x:c r="D160" s="23"/>
      <x:c r="E160" s="23"/>
      <x:c r="F160" s="23"/>
      <x:c r="G160" s="23"/>
    </x:row>
    <x:row r="161" spans="1:7" ht="13.19999999999999928946">
      <x:c r="A161" s="23"/>
      <x:c r="B161" s="23"/>
      <x:c r="C161" s="23"/>
      <x:c r="D161" s="23"/>
      <x:c r="E161" s="23"/>
      <x:c r="F161" s="23"/>
      <x:c r="G161" s="23"/>
    </x:row>
    <x:row r="162" spans="1:7" ht="13.19999999999999928946">
      <x:c r="A162" s="23"/>
      <x:c r="B162" s="23"/>
      <x:c r="C162" s="23"/>
      <x:c r="D162" s="23"/>
      <x:c r="E162" s="23"/>
      <x:c r="F162" s="23"/>
      <x:c r="G162" s="23"/>
    </x:row>
    <x:row r="163" spans="1:7" ht="13.19999999999999928946">
      <x:c r="A163" s="23"/>
      <x:c r="B163" s="23"/>
      <x:c r="C163" s="23"/>
      <x:c r="D163" s="23"/>
      <x:c r="E163" s="23"/>
      <x:c r="F163" s="23"/>
      <x:c r="G163" s="23"/>
    </x:row>
    <x:row r="164" spans="1:7" ht="13.19999999999999928946">
      <x:c r="A164" s="23"/>
      <x:c r="B164" s="23"/>
      <x:c r="C164" s="23"/>
      <x:c r="D164" s="23"/>
      <x:c r="E164" s="23"/>
      <x:c r="F164" s="23"/>
      <x:c r="G164" s="23"/>
    </x:row>
    <x:row r="165" spans="1:7" ht="13.19999999999999928946">
      <x:c r="A165" s="23"/>
      <x:c r="B165" s="23"/>
      <x:c r="C165" s="23"/>
      <x:c r="D165" s="23"/>
      <x:c r="E165" s="23"/>
      <x:c r="F165" s="23"/>
      <x:c r="G165" s="23"/>
    </x:row>
    <x:row r="166" spans="1:7" ht="13.19999999999999928946">
      <x:c r="A166" s="23"/>
      <x:c r="B166" s="23"/>
      <x:c r="C166" s="23"/>
      <x:c r="D166" s="23"/>
      <x:c r="E166" s="23"/>
      <x:c r="F166" s="23"/>
      <x:c r="G166" s="23"/>
    </x:row>
    <x:row r="167" spans="1:7" ht="13.19999999999999928946">
      <x:c r="A167" s="23"/>
      <x:c r="B167" s="23"/>
      <x:c r="C167" s="23"/>
      <x:c r="D167" s="23"/>
      <x:c r="E167" s="23"/>
      <x:c r="F167" s="23"/>
      <x:c r="G167" s="23"/>
    </x:row>
    <x:row r="168" spans="1:7" ht="13.19999999999999928946">
      <x:c r="A168" s="23"/>
      <x:c r="B168" s="23"/>
      <x:c r="C168" s="23"/>
      <x:c r="D168" s="23"/>
      <x:c r="E168" s="23"/>
      <x:c r="F168" s="23"/>
      <x:c r="G168" s="23"/>
    </x:row>
    <x:row r="169" spans="1:7" ht="13.19999999999999928946">
      <x:c r="A169" s="23"/>
      <x:c r="B169" s="23"/>
      <x:c r="C169" s="23"/>
      <x:c r="D169" s="23"/>
      <x:c r="E169" s="23"/>
      <x:c r="F169" s="23"/>
      <x:c r="G169" s="23"/>
    </x:row>
    <x:row r="170" spans="1:7" ht="13.19999999999999928946">
      <x:c r="A170" s="23"/>
      <x:c r="B170" s="23"/>
      <x:c r="C170" s="23"/>
      <x:c r="D170" s="23"/>
      <x:c r="E170" s="23"/>
      <x:c r="F170" s="23"/>
      <x:c r="G170" s="23"/>
    </x:row>
    <x:row r="171" spans="1:7" ht="13.19999999999999928946">
      <x:c r="A171" s="23"/>
      <x:c r="B171" s="23"/>
      <x:c r="C171" s="23"/>
      <x:c r="D171" s="23"/>
      <x:c r="E171" s="23"/>
      <x:c r="F171" s="23"/>
      <x:c r="G171" s="23"/>
    </x:row>
    <x:row r="172" spans="1:7" ht="13.19999999999999928946">
      <x:c r="A172" s="23"/>
      <x:c r="B172" s="23"/>
      <x:c r="C172" s="23"/>
      <x:c r="D172" s="23"/>
      <x:c r="E172" s="23"/>
      <x:c r="F172" s="23"/>
      <x:c r="G172" s="23"/>
    </x:row>
    <x:row r="173" spans="1:7" ht="13.19999999999999928946">
      <x:c r="A173" s="23"/>
      <x:c r="B173" s="23"/>
      <x:c r="C173" s="23"/>
      <x:c r="D173" s="23"/>
      <x:c r="E173" s="23"/>
      <x:c r="F173" s="23"/>
      <x:c r="G173" s="23"/>
    </x:row>
    <x:row r="174" spans="1:7" ht="13.19999999999999928946">
      <x:c r="A174" s="23"/>
      <x:c r="B174" s="23"/>
      <x:c r="C174" s="23"/>
      <x:c r="D174" s="23"/>
      <x:c r="E174" s="23"/>
      <x:c r="F174" s="23"/>
      <x:c r="G174" s="23"/>
    </x:row>
    <x:row r="175" spans="1:7" ht="13.19999999999999928946">
      <x:c r="A175" s="23"/>
      <x:c r="B175" s="23"/>
      <x:c r="C175" s="23"/>
      <x:c r="D175" s="23"/>
      <x:c r="E175" s="23"/>
      <x:c r="F175" s="23"/>
      <x:c r="G175" s="23"/>
    </x:row>
    <x:row r="176" spans="1:7" ht="13.19999999999999928946">
      <x:c r="A176" s="23"/>
      <x:c r="B176" s="23"/>
      <x:c r="C176" s="23"/>
      <x:c r="D176" s="23"/>
      <x:c r="E176" s="23"/>
      <x:c r="F176" s="23"/>
      <x:c r="G176" s="23"/>
    </x:row>
    <x:row r="177" spans="1:7" ht="13.19999999999999928946">
      <x:c r="A177" s="23"/>
      <x:c r="B177" s="23"/>
      <x:c r="C177" s="23"/>
      <x:c r="D177" s="23"/>
      <x:c r="E177" s="23"/>
      <x:c r="F177" s="23"/>
      <x:c r="G177" s="23"/>
    </x:row>
    <x:row r="178" spans="1:7" ht="13.19999999999999928946">
      <x:c r="A178" s="23"/>
      <x:c r="B178" s="23"/>
      <x:c r="C178" s="23"/>
      <x:c r="D178" s="23"/>
      <x:c r="E178" s="23"/>
      <x:c r="F178" s="23"/>
      <x:c r="G178" s="23"/>
    </x:row>
    <x:row r="179" spans="1:7" ht="13.19999999999999928946">
      <x:c r="A179" s="23"/>
      <x:c r="B179" s="23"/>
      <x:c r="C179" s="23"/>
      <x:c r="D179" s="23"/>
      <x:c r="E179" s="23"/>
      <x:c r="F179" s="23"/>
      <x:c r="G179" s="23"/>
    </x:row>
    <x:row r="180" spans="1:7" ht="13.19999999999999928946">
      <x:c r="A180" s="23"/>
      <x:c r="B180" s="23"/>
      <x:c r="C180" s="23"/>
      <x:c r="D180" s="23"/>
      <x:c r="E180" s="23"/>
      <x:c r="F180" s="23"/>
      <x:c r="G180" s="23"/>
    </x:row>
    <x:row r="181" spans="1:7" ht="13.19999999999999928946">
      <x:c r="A181" s="23"/>
      <x:c r="B181" s="23"/>
      <x:c r="C181" s="23"/>
      <x:c r="D181" s="23"/>
      <x:c r="E181" s="23"/>
      <x:c r="F181" s="23"/>
      <x:c r="G181" s="23"/>
    </x:row>
    <x:row r="182" spans="1:7" ht="13.19999999999999928946">
      <x:c r="A182" s="23"/>
      <x:c r="B182" s="23"/>
      <x:c r="C182" s="23"/>
      <x:c r="D182" s="23"/>
      <x:c r="E182" s="23"/>
      <x:c r="F182" s="23"/>
      <x:c r="G182" s="23"/>
    </x:row>
    <x:row r="183" spans="1:7" ht="13.19999999999999928946">
      <x:c r="A183" s="23"/>
      <x:c r="B183" s="23"/>
      <x:c r="C183" s="23"/>
      <x:c r="D183" s="23"/>
      <x:c r="E183" s="23"/>
      <x:c r="F183" s="23"/>
      <x:c r="G183" s="23"/>
    </x:row>
    <x:row r="184" spans="1:7" ht="13.19999999999999928946">
      <x:c r="A184" s="23"/>
      <x:c r="B184" s="23"/>
      <x:c r="C184" s="23"/>
      <x:c r="D184" s="23"/>
      <x:c r="E184" s="23"/>
      <x:c r="F184" s="23"/>
      <x:c r="G184" s="23"/>
    </x:row>
    <x:row r="185" spans="1:7" ht="13.19999999999999928946">
      <x:c r="A185" s="23"/>
      <x:c r="B185" s="23"/>
      <x:c r="C185" s="23"/>
      <x:c r="D185" s="23"/>
      <x:c r="E185" s="23"/>
      <x:c r="F185" s="23"/>
      <x:c r="G185" s="23"/>
    </x:row>
    <x:row r="186" spans="1:7" ht="13.19999999999999928946">
      <x:c r="A186" s="23"/>
      <x:c r="B186" s="23"/>
      <x:c r="C186" s="23"/>
      <x:c r="D186" s="23"/>
      <x:c r="E186" s="23"/>
      <x:c r="F186" s="23"/>
      <x:c r="G186" s="23"/>
    </x:row>
    <x:row r="187" spans="1:7" ht="13.19999999999999928946">
      <x:c r="A187" s="23"/>
      <x:c r="B187" s="23"/>
      <x:c r="C187" s="23"/>
      <x:c r="D187" s="23"/>
      <x:c r="E187" s="23"/>
      <x:c r="F187" s="23"/>
      <x:c r="G187" s="23"/>
    </x:row>
    <x:row r="188" spans="1:7" ht="13.19999999999999928946">
      <x:c r="A188" s="23"/>
      <x:c r="B188" s="23"/>
      <x:c r="C188" s="23"/>
      <x:c r="D188" s="23"/>
      <x:c r="E188" s="23"/>
      <x:c r="F188" s="23"/>
      <x:c r="G188" s="23"/>
    </x:row>
    <x:row r="189" spans="1:7" ht="13.19999999999999928946">
      <x:c r="A189" s="23"/>
      <x:c r="B189" s="23"/>
      <x:c r="C189" s="23"/>
      <x:c r="D189" s="23"/>
      <x:c r="E189" s="23"/>
      <x:c r="F189" s="23"/>
      <x:c r="G189" s="23"/>
    </x:row>
    <x:row r="190" spans="1:7" ht="13.19999999999999928946">
      <x:c r="A190" s="23"/>
      <x:c r="B190" s="23"/>
      <x:c r="C190" s="23"/>
      <x:c r="D190" s="23"/>
      <x:c r="E190" s="23"/>
      <x:c r="F190" s="23"/>
      <x:c r="G190" s="23"/>
    </x:row>
    <x:row r="191" spans="1:7" ht="13.19999999999999928946">
      <x:c r="A191" s="23"/>
      <x:c r="B191" s="23"/>
      <x:c r="C191" s="23"/>
      <x:c r="D191" s="23"/>
      <x:c r="E191" s="23"/>
      <x:c r="F191" s="23"/>
      <x:c r="G191" s="23"/>
    </x:row>
    <x:row r="192" spans="1:7" ht="13.19999999999999928946">
      <x:c r="A192" s="23"/>
      <x:c r="B192" s="23"/>
      <x:c r="C192" s="23"/>
      <x:c r="D192" s="23"/>
      <x:c r="E192" s="23"/>
      <x:c r="F192" s="23"/>
      <x:c r="G192" s="23"/>
    </x:row>
    <x:row r="193" spans="1:7" ht="13.19999999999999928946">
      <x:c r="A193" s="23"/>
      <x:c r="B193" s="23"/>
      <x:c r="C193" s="23"/>
      <x:c r="D193" s="23"/>
      <x:c r="E193" s="23"/>
      <x:c r="F193" s="23"/>
      <x:c r="G193" s="23"/>
    </x:row>
    <x:row r="194" spans="1:7" ht="13.19999999999999928946">
      <x:c r="A194" s="23"/>
      <x:c r="B194" s="23"/>
      <x:c r="C194" s="23"/>
      <x:c r="D194" s="23"/>
      <x:c r="E194" s="23"/>
      <x:c r="F194" s="23"/>
      <x:c r="G194" s="23"/>
    </x:row>
    <x:row r="195" spans="1:7" ht="13.19999999999999928946">
      <x:c r="A195" s="23"/>
      <x:c r="B195" s="23"/>
      <x:c r="C195" s="23"/>
      <x:c r="D195" s="23"/>
      <x:c r="E195" s="23"/>
      <x:c r="F195" s="23"/>
      <x:c r="G195" s="23"/>
    </x:row>
    <x:row r="196" spans="1:7" ht="13.19999999999999928946">
      <x:c r="A196" s="23"/>
      <x:c r="B196" s="23"/>
      <x:c r="C196" s="23"/>
      <x:c r="D196" s="23"/>
      <x:c r="E196" s="23"/>
      <x:c r="F196" s="23"/>
      <x:c r="G196" s="23"/>
    </x:row>
    <x:row r="197" spans="1:7" ht="13.19999999999999928946">
      <x:c r="A197" s="23"/>
      <x:c r="B197" s="23"/>
      <x:c r="C197" s="23"/>
      <x:c r="D197" s="23"/>
      <x:c r="E197" s="23"/>
      <x:c r="F197" s="23"/>
      <x:c r="G197" s="23"/>
    </x:row>
    <x:row r="198" spans="1:7" ht="13.19999999999999928946">
      <x:c r="A198" s="23"/>
      <x:c r="B198" s="23"/>
      <x:c r="C198" s="23"/>
      <x:c r="D198" s="23"/>
      <x:c r="E198" s="23"/>
      <x:c r="F198" s="23"/>
      <x:c r="G198" s="23"/>
    </x:row>
    <x:row r="199" spans="1:7" ht="13.19999999999999928946">
      <x:c r="A199" s="23"/>
      <x:c r="B199" s="23"/>
      <x:c r="C199" s="23"/>
      <x:c r="D199" s="23"/>
      <x:c r="E199" s="23"/>
      <x:c r="F199" s="23"/>
      <x:c r="G199" s="23"/>
    </x:row>
    <x:row r="200" spans="1:7" ht="13.19999999999999928946">
      <x:c r="A200" s="23"/>
      <x:c r="B200" s="23"/>
      <x:c r="C200" s="23"/>
      <x:c r="D200" s="23"/>
      <x:c r="E200" s="23"/>
      <x:c r="F200" s="23"/>
      <x:c r="G200" s="23"/>
    </x:row>
    <x:row r="201" spans="1:7" ht="13.19999999999999928946">
      <x:c r="A201" s="23"/>
      <x:c r="B201" s="23"/>
      <x:c r="C201" s="23"/>
      <x:c r="D201" s="23"/>
      <x:c r="E201" s="23"/>
      <x:c r="F201" s="23"/>
      <x:c r="G201" s="23"/>
    </x:row>
    <x:row r="202" spans="1:7" ht="13.19999999999999928946">
      <x:c r="A202" s="23"/>
      <x:c r="B202" s="23"/>
      <x:c r="C202" s="23"/>
      <x:c r="D202" s="23"/>
      <x:c r="E202" s="23"/>
      <x:c r="F202" s="23"/>
      <x:c r="G202" s="23"/>
    </x:row>
    <x:row r="203" spans="1:7" ht="13.19999999999999928946">
      <x:c r="A203" s="23"/>
      <x:c r="B203" s="23"/>
      <x:c r="C203" s="23"/>
      <x:c r="D203" s="23"/>
      <x:c r="E203" s="23"/>
      <x:c r="F203" s="23"/>
      <x:c r="G203" s="23"/>
    </x:row>
    <x:row r="204" spans="1:7" ht="13.19999999999999928946">
      <x:c r="A204" s="23"/>
      <x:c r="B204" s="23"/>
      <x:c r="C204" s="23"/>
      <x:c r="D204" s="23"/>
      <x:c r="E204" s="23"/>
      <x:c r="F204" s="23"/>
      <x:c r="G204" s="23"/>
    </x:row>
    <x:row r="205" spans="1:7" ht="13.19999999999999928946">
      <x:c r="A205" s="23"/>
      <x:c r="B205" s="23"/>
      <x:c r="C205" s="23"/>
      <x:c r="D205" s="23"/>
      <x:c r="E205" s="23"/>
      <x:c r="F205" s="23"/>
      <x:c r="G205" s="23"/>
    </x:row>
    <x:row r="206" spans="1:7" ht="13.19999999999999928946">
      <x:c r="A206" s="23"/>
      <x:c r="B206" s="23"/>
      <x:c r="C206" s="23"/>
      <x:c r="D206" s="23"/>
      <x:c r="E206" s="23"/>
      <x:c r="F206" s="23"/>
      <x:c r="G206" s="23"/>
    </x:row>
    <x:row r="207" spans="1:7" ht="13.19999999999999928946">
      <x:c r="A207" s="23"/>
      <x:c r="B207" s="23"/>
      <x:c r="C207" s="23"/>
      <x:c r="D207" s="23"/>
      <x:c r="E207" s="23"/>
      <x:c r="F207" s="23"/>
      <x:c r="G207" s="23"/>
    </x:row>
    <x:row r="208" spans="1:7" ht="13.19999999999999928946">
      <x:c r="A208" s="23"/>
      <x:c r="B208" s="23"/>
      <x:c r="C208" s="23"/>
      <x:c r="D208" s="23"/>
      <x:c r="E208" s="23"/>
      <x:c r="F208" s="23"/>
      <x:c r="G208" s="23"/>
    </x:row>
    <x:row r="209" spans="1:7" ht="13.19999999999999928946">
      <x:c r="A209" s="23"/>
      <x:c r="B209" s="23"/>
      <x:c r="C209" s="23"/>
      <x:c r="D209" s="23"/>
      <x:c r="E209" s="23"/>
      <x:c r="F209" s="23"/>
      <x:c r="G209" s="23"/>
    </x:row>
    <x:row r="210" spans="1:7" ht="13.19999999999999928946">
      <x:c r="A210" s="23"/>
      <x:c r="B210" s="23"/>
      <x:c r="C210" s="23"/>
      <x:c r="D210" s="23"/>
      <x:c r="E210" s="23"/>
      <x:c r="F210" s="23"/>
      <x:c r="G210" s="23"/>
    </x:row>
    <x:row r="211" spans="1:7" ht="13.19999999999999928946">
      <x:c r="A211" s="23"/>
      <x:c r="B211" s="23"/>
      <x:c r="C211" s="23"/>
      <x:c r="D211" s="23"/>
      <x:c r="E211" s="23"/>
      <x:c r="F211" s="23"/>
      <x:c r="G211" s="23"/>
    </x:row>
    <x:row r="212" spans="1:7" ht="13.19999999999999928946">
      <x:c r="A212" s="23"/>
      <x:c r="B212" s="23"/>
      <x:c r="C212" s="23"/>
      <x:c r="D212" s="23"/>
      <x:c r="E212" s="23"/>
      <x:c r="F212" s="23"/>
      <x:c r="G212" s="23"/>
    </x:row>
    <x:row r="213" spans="1:7" ht="13.19999999999999928946">
      <x:c r="A213" s="23"/>
      <x:c r="B213" s="23"/>
      <x:c r="C213" s="23"/>
      <x:c r="D213" s="23"/>
      <x:c r="E213" s="23"/>
      <x:c r="F213" s="23"/>
      <x:c r="G213" s="23"/>
    </x:row>
    <x:row r="214" spans="1:7" ht="13.19999999999999928946">
      <x:c r="A214" s="23"/>
      <x:c r="B214" s="23"/>
      <x:c r="C214" s="23"/>
      <x:c r="D214" s="23"/>
      <x:c r="E214" s="23"/>
      <x:c r="F214" s="23"/>
      <x:c r="G214" s="23"/>
    </x:row>
    <x:row r="215" spans="1:7" ht="13.19999999999999928946">
      <x:c r="A215" s="23"/>
      <x:c r="B215" s="23"/>
      <x:c r="C215" s="23"/>
      <x:c r="D215" s="23"/>
      <x:c r="E215" s="23"/>
      <x:c r="F215" s="23"/>
      <x:c r="G215" s="23"/>
    </x:row>
    <x:row r="216" spans="1:7" ht="13.19999999999999928946">
      <x:c r="A216" s="23"/>
      <x:c r="B216" s="23"/>
      <x:c r="C216" s="23"/>
      <x:c r="D216" s="23"/>
      <x:c r="E216" s="23"/>
      <x:c r="F216" s="23"/>
      <x:c r="G216" s="23"/>
    </x:row>
    <x:row r="217" spans="1:7" ht="13.19999999999999928946">
      <x:c r="A217" s="23"/>
      <x:c r="B217" s="23"/>
      <x:c r="C217" s="23"/>
      <x:c r="D217" s="23"/>
      <x:c r="E217" s="23"/>
      <x:c r="F217" s="23"/>
      <x:c r="G217" s="23"/>
    </x:row>
    <x:row r="218" spans="1:7" ht="13.19999999999999928946">
      <x:c r="A218" s="23"/>
      <x:c r="B218" s="23"/>
      <x:c r="C218" s="23"/>
      <x:c r="D218" s="23"/>
      <x:c r="E218" s="23"/>
      <x:c r="F218" s="23"/>
      <x:c r="G218" s="23"/>
    </x:row>
    <x:row r="219" spans="1:7" ht="13.19999999999999928946">
      <x:c r="A219" s="23"/>
      <x:c r="B219" s="23"/>
      <x:c r="C219" s="23"/>
      <x:c r="D219" s="23"/>
      <x:c r="E219" s="23"/>
      <x:c r="F219" s="23"/>
      <x:c r="G219" s="23"/>
    </x:row>
    <x:row r="220" spans="1:7" ht="13.19999999999999928946">
      <x:c r="A220" s="23"/>
      <x:c r="B220" s="23"/>
      <x:c r="C220" s="23"/>
      <x:c r="D220" s="23"/>
      <x:c r="E220" s="23"/>
      <x:c r="F220" s="23"/>
      <x:c r="G220" s="23"/>
    </x:row>
    <x:row r="221" spans="1:7" ht="13.19999999999999928946">
      <x:c r="A221" s="23"/>
      <x:c r="B221" s="23"/>
      <x:c r="C221" s="23"/>
      <x:c r="D221" s="23"/>
      <x:c r="E221" s="23"/>
      <x:c r="F221" s="23"/>
      <x:c r="G221" s="23"/>
    </x:row>
    <x:row r="222" spans="1:7" ht="13.19999999999999928946">
      <x:c r="A222" s="23"/>
      <x:c r="B222" s="23"/>
      <x:c r="C222" s="23"/>
      <x:c r="D222" s="23"/>
      <x:c r="E222" s="23"/>
      <x:c r="F222" s="23"/>
      <x:c r="G222" s="23"/>
    </x:row>
    <x:row r="223" spans="1:7" ht="13.19999999999999928946">
      <x:c r="A223" s="23"/>
      <x:c r="B223" s="23"/>
      <x:c r="C223" s="23"/>
      <x:c r="D223" s="23"/>
      <x:c r="E223" s="23"/>
      <x:c r="F223" s="23"/>
      <x:c r="G223" s="23"/>
    </x:row>
    <x:row r="224" spans="1:7" ht="13.19999999999999928946">
      <x:c r="A224" s="23"/>
      <x:c r="B224" s="23"/>
      <x:c r="C224" s="23"/>
      <x:c r="D224" s="23"/>
      <x:c r="E224" s="23"/>
      <x:c r="F224" s="23"/>
      <x:c r="G224" s="23"/>
    </x:row>
    <x:row r="225" spans="1:7" ht="13.19999999999999928946">
      <x:c r="A225" s="23"/>
      <x:c r="B225" s="23"/>
      <x:c r="C225" s="23"/>
      <x:c r="D225" s="23"/>
      <x:c r="E225" s="23"/>
      <x:c r="F225" s="23"/>
      <x:c r="G225" s="23"/>
    </x:row>
    <x:row r="226" spans="1:7" ht="13.19999999999999928946">
      <x:c r="A226" s="23"/>
      <x:c r="B226" s="23"/>
      <x:c r="C226" s="23"/>
      <x:c r="D226" s="23"/>
      <x:c r="E226" s="23"/>
      <x:c r="F226" s="23"/>
      <x:c r="G226" s="23"/>
    </x:row>
    <x:row r="227" spans="1:7" ht="13.19999999999999928946">
      <x:c r="A227" s="23"/>
      <x:c r="B227" s="23"/>
      <x:c r="C227" s="23"/>
      <x:c r="D227" s="23"/>
      <x:c r="E227" s="23"/>
      <x:c r="F227" s="23"/>
      <x:c r="G227" s="23"/>
    </x:row>
    <x:row r="228" spans="1:7" ht="13.19999999999999928946">
      <x:c r="A228" s="23"/>
      <x:c r="B228" s="23"/>
      <x:c r="C228" s="23"/>
      <x:c r="D228" s="23"/>
      <x:c r="E228" s="23"/>
      <x:c r="F228" s="23"/>
      <x:c r="G228" s="23"/>
    </x:row>
    <x:row r="229" spans="1:7" ht="13.19999999999999928946">
      <x:c r="A229" s="23"/>
      <x:c r="B229" s="23"/>
      <x:c r="C229" s="23"/>
      <x:c r="D229" s="23"/>
      <x:c r="E229" s="23"/>
      <x:c r="F229" s="23"/>
      <x:c r="G229" s="23"/>
    </x:row>
    <x:row r="230" spans="1:7" ht="13.19999999999999928946">
      <x:c r="A230" s="23"/>
      <x:c r="B230" s="23"/>
      <x:c r="C230" s="23"/>
      <x:c r="D230" s="23"/>
      <x:c r="E230" s="23"/>
      <x:c r="F230" s="23"/>
      <x:c r="G230" s="23"/>
    </x:row>
    <x:row r="231" spans="1:7" ht="13.19999999999999928946">
      <x:c r="A231" s="23"/>
      <x:c r="B231" s="23"/>
      <x:c r="C231" s="23"/>
      <x:c r="D231" s="23"/>
      <x:c r="E231" s="23"/>
      <x:c r="F231" s="23"/>
      <x:c r="G231" s="23"/>
    </x:row>
    <x:row r="232" spans="1:7" ht="13.19999999999999928946">
      <x:c r="A232" s="23"/>
      <x:c r="B232" s="23"/>
      <x:c r="C232" s="23"/>
      <x:c r="D232" s="23"/>
      <x:c r="E232" s="23"/>
      <x:c r="F232" s="23"/>
      <x:c r="G232" s="23"/>
    </x:row>
    <x:row r="233" spans="1:7" ht="13.19999999999999928946">
      <x:c r="A233" s="23"/>
      <x:c r="B233" s="23"/>
      <x:c r="C233" s="23"/>
      <x:c r="D233" s="23"/>
      <x:c r="E233" s="23"/>
      <x:c r="F233" s="23"/>
      <x:c r="G233" s="23"/>
    </x:row>
    <x:row r="234" spans="1:7" ht="13.19999999999999928946">
      <x:c r="A234" s="23"/>
      <x:c r="B234" s="23"/>
      <x:c r="C234" s="23"/>
      <x:c r="D234" s="23"/>
      <x:c r="E234" s="23"/>
      <x:c r="F234" s="23"/>
      <x:c r="G234" s="23"/>
    </x:row>
    <x:row r="235" spans="1:7" ht="13.19999999999999928946">
      <x:c r="A235" s="23"/>
      <x:c r="B235" s="23"/>
      <x:c r="C235" s="23"/>
      <x:c r="D235" s="23"/>
      <x:c r="E235" s="23"/>
      <x:c r="F235" s="23"/>
      <x:c r="G235" s="23"/>
    </x:row>
    <x:row r="236" spans="1:7" ht="13.19999999999999928946">
      <x:c r="A236" s="23"/>
      <x:c r="B236" s="23"/>
      <x:c r="C236" s="23"/>
      <x:c r="D236" s="23"/>
      <x:c r="E236" s="23"/>
      <x:c r="F236" s="23"/>
      <x:c r="G236" s="23"/>
    </x:row>
    <x:row r="237" spans="1:7" ht="13.19999999999999928946">
      <x:c r="A237" s="23"/>
      <x:c r="B237" s="23"/>
      <x:c r="C237" s="23"/>
      <x:c r="D237" s="23"/>
      <x:c r="E237" s="23"/>
      <x:c r="F237" s="23"/>
      <x:c r="G237" s="23"/>
    </x:row>
    <x:row r="238" spans="1:7" ht="13.19999999999999928946">
      <x:c r="A238" s="23"/>
      <x:c r="B238" s="23"/>
      <x:c r="C238" s="23"/>
      <x:c r="D238" s="23"/>
      <x:c r="E238" s="23"/>
      <x:c r="F238" s="23"/>
      <x:c r="G238" s="23"/>
    </x:row>
    <x:row r="239" spans="1:7" ht="13.19999999999999928946">
      <x:c r="A239" s="23"/>
      <x:c r="B239" s="23"/>
      <x:c r="C239" s="23"/>
      <x:c r="D239" s="23"/>
      <x:c r="E239" s="23"/>
      <x:c r="F239" s="23"/>
      <x:c r="G239" s="23"/>
    </x:row>
    <x:row r="240" spans="1:7" ht="13.19999999999999928946">
      <x:c r="A240" s="23"/>
      <x:c r="B240" s="23"/>
      <x:c r="C240" s="23"/>
      <x:c r="D240" s="23"/>
      <x:c r="E240" s="23"/>
      <x:c r="F240" s="23"/>
      <x:c r="G240" s="23"/>
    </x:row>
    <x:row r="241" spans="1:7" ht="13.19999999999999928946">
      <x:c r="A241" s="23"/>
      <x:c r="B241" s="23"/>
      <x:c r="C241" s="23"/>
      <x:c r="D241" s="23"/>
      <x:c r="E241" s="23"/>
      <x:c r="F241" s="23"/>
      <x:c r="G241" s="23"/>
    </x:row>
    <x:row r="242" spans="1:7" ht="13.19999999999999928946">
      <x:c r="A242" s="23"/>
      <x:c r="B242" s="23"/>
      <x:c r="C242" s="23"/>
      <x:c r="D242" s="23"/>
      <x:c r="E242" s="23"/>
      <x:c r="F242" s="23"/>
      <x:c r="G242" s="23"/>
    </x:row>
    <x:row r="243" spans="1:7" ht="13.19999999999999928946">
      <x:c r="A243" s="23"/>
      <x:c r="B243" s="23"/>
      <x:c r="C243" s="23"/>
      <x:c r="D243" s="23"/>
      <x:c r="E243" s="23"/>
      <x:c r="F243" s="23"/>
      <x:c r="G243" s="23"/>
    </x:row>
    <x:row r="244" spans="1:7" ht="13.19999999999999928946">
      <x:c r="A244" s="23"/>
      <x:c r="B244" s="23"/>
      <x:c r="C244" s="23"/>
      <x:c r="D244" s="23"/>
      <x:c r="E244" s="23"/>
      <x:c r="F244" s="23"/>
      <x:c r="G244" s="23"/>
    </x:row>
    <x:row r="245" spans="1:7" ht="13.19999999999999928946">
      <x:c r="A245" s="23"/>
      <x:c r="B245" s="23"/>
      <x:c r="C245" s="23"/>
      <x:c r="D245" s="23"/>
      <x:c r="E245" s="23"/>
      <x:c r="F245" s="23"/>
      <x:c r="G245" s="23"/>
    </x:row>
    <x:row r="246" spans="1:7" ht="13.19999999999999928946">
      <x:c r="A246" s="23"/>
      <x:c r="B246" s="23"/>
      <x:c r="C246" s="23"/>
      <x:c r="D246" s="23"/>
      <x:c r="E246" s="23"/>
      <x:c r="F246" s="23"/>
      <x:c r="G246" s="23"/>
    </x:row>
    <x:row r="247" spans="1:7" ht="13.19999999999999928946">
      <x:c r="A247" s="23"/>
      <x:c r="B247" s="23"/>
      <x:c r="C247" s="23"/>
      <x:c r="D247" s="23"/>
      <x:c r="E247" s="23"/>
      <x:c r="F247" s="23"/>
      <x:c r="G247" s="23"/>
    </x:row>
    <x:row r="248" spans="1:7" ht="13.19999999999999928946">
      <x:c r="A248" s="23"/>
      <x:c r="B248" s="23"/>
      <x:c r="C248" s="23"/>
      <x:c r="D248" s="23"/>
      <x:c r="E248" s="23"/>
      <x:c r="F248" s="23"/>
      <x:c r="G248" s="23"/>
    </x:row>
    <x:row r="249" spans="1:7" ht="13.19999999999999928946">
      <x:c r="A249" s="23"/>
      <x:c r="B249" s="23"/>
      <x:c r="C249" s="23"/>
      <x:c r="D249" s="23"/>
      <x:c r="E249" s="23"/>
      <x:c r="F249" s="23"/>
      <x:c r="G249" s="23"/>
    </x:row>
    <x:row r="250" spans="1:7" ht="13.19999999999999928946">
      <x:c r="A250" s="23"/>
      <x:c r="B250" s="23"/>
      <x:c r="C250" s="23"/>
      <x:c r="D250" s="23"/>
      <x:c r="E250" s="23"/>
      <x:c r="F250" s="23"/>
      <x:c r="G250" s="23"/>
    </x:row>
    <x:row r="251" spans="1:7" ht="13.19999999999999928946">
      <x:c r="A251" s="23"/>
      <x:c r="B251" s="23"/>
      <x:c r="C251" s="23"/>
      <x:c r="D251" s="23"/>
      <x:c r="E251" s="23"/>
      <x:c r="F251" s="23"/>
      <x:c r="G251" s="23"/>
    </x:row>
    <x:row r="252" spans="1:7" ht="13.19999999999999928946">
      <x:c r="A252" s="23"/>
      <x:c r="B252" s="23"/>
      <x:c r="C252" s="23"/>
      <x:c r="D252" s="23"/>
      <x:c r="E252" s="23"/>
      <x:c r="F252" s="23"/>
      <x:c r="G252" s="23"/>
    </x:row>
    <x:row r="253" spans="1:7" ht="13.19999999999999928946">
      <x:c r="A253" s="23"/>
      <x:c r="B253" s="23"/>
      <x:c r="C253" s="23"/>
      <x:c r="D253" s="23"/>
      <x:c r="E253" s="23"/>
      <x:c r="F253" s="23"/>
      <x:c r="G253" s="23"/>
    </x:row>
    <x:row r="254" spans="1:7" ht="13.19999999999999928946">
      <x:c r="A254" s="23"/>
      <x:c r="B254" s="23"/>
      <x:c r="C254" s="23"/>
      <x:c r="D254" s="23"/>
      <x:c r="E254" s="23"/>
      <x:c r="F254" s="23"/>
      <x:c r="G254" s="23"/>
    </x:row>
    <x:row r="255" spans="1:7" ht="13.19999999999999928946">
      <x:c r="A255" s="23"/>
      <x:c r="B255" s="23"/>
      <x:c r="C255" s="23"/>
      <x:c r="D255" s="23"/>
      <x:c r="E255" s="23"/>
      <x:c r="F255" s="23"/>
      <x:c r="G255" s="23"/>
    </x:row>
    <x:row r="256" spans="1:7" ht="13.19999999999999928946">
      <x:c r="A256" s="23"/>
      <x:c r="B256" s="23"/>
      <x:c r="C256" s="23"/>
      <x:c r="D256" s="23"/>
      <x:c r="E256" s="23"/>
      <x:c r="F256" s="23"/>
      <x:c r="G256" s="23"/>
    </x:row>
    <x:row r="257" spans="1:7" ht="13.19999999999999928946">
      <x:c r="A257" s="23"/>
      <x:c r="B257" s="23"/>
      <x:c r="C257" s="23"/>
      <x:c r="D257" s="23"/>
      <x:c r="E257" s="23"/>
      <x:c r="F257" s="23"/>
      <x:c r="G257" s="23"/>
    </x:row>
    <x:row r="258" spans="1:7" ht="13.19999999999999928946">
      <x:c r="A258" s="23"/>
      <x:c r="B258" s="23"/>
      <x:c r="C258" s="23"/>
      <x:c r="D258" s="23"/>
      <x:c r="E258" s="23"/>
      <x:c r="F258" s="23"/>
      <x:c r="G258" s="23"/>
    </x:row>
    <x:row r="259" spans="1:7" ht="13.19999999999999928946">
      <x:c r="A259" s="23"/>
      <x:c r="B259" s="23"/>
      <x:c r="C259" s="23"/>
      <x:c r="D259" s="23"/>
      <x:c r="E259" s="23"/>
      <x:c r="F259" s="23"/>
      <x:c r="G259" s="23"/>
    </x:row>
    <x:row r="260" spans="1:7" ht="13.19999999999999928946">
      <x:c r="A260" s="23"/>
      <x:c r="B260" s="23"/>
      <x:c r="C260" s="23"/>
      <x:c r="D260" s="23"/>
      <x:c r="E260" s="23"/>
      <x:c r="F260" s="23"/>
      <x:c r="G260" s="23"/>
    </x:row>
    <x:row r="261" spans="1:7" ht="13.19999999999999928946">
      <x:c r="A261" s="23"/>
      <x:c r="B261" s="23"/>
      <x:c r="C261" s="23"/>
      <x:c r="D261" s="23"/>
      <x:c r="E261" s="23"/>
      <x:c r="F261" s="23"/>
      <x:c r="G261" s="23"/>
    </x:row>
    <x:row r="262" spans="1:7" ht="13.19999999999999928946">
      <x:c r="A262" s="23"/>
      <x:c r="B262" s="23"/>
      <x:c r="C262" s="23"/>
      <x:c r="D262" s="23"/>
      <x:c r="E262" s="23"/>
      <x:c r="F262" s="23"/>
      <x:c r="G262" s="23"/>
    </x:row>
    <x:row r="263" spans="1:7" ht="13.19999999999999928946">
      <x:c r="A263" s="23"/>
      <x:c r="B263" s="23"/>
      <x:c r="C263" s="23"/>
      <x:c r="D263" s="23"/>
      <x:c r="E263" s="23"/>
      <x:c r="F263" s="23"/>
      <x:c r="G263" s="23"/>
    </x:row>
    <x:row r="264" spans="1:7" ht="13.19999999999999928946">
      <x:c r="A264" s="23"/>
      <x:c r="B264" s="23"/>
      <x:c r="C264" s="23"/>
      <x:c r="D264" s="23"/>
      <x:c r="E264" s="23"/>
      <x:c r="F264" s="23"/>
      <x:c r="G264" s="23"/>
    </x:row>
    <x:row r="265" spans="1:7" ht="13.19999999999999928946">
      <x:c r="A265" s="23"/>
      <x:c r="B265" s="23"/>
      <x:c r="C265" s="23"/>
      <x:c r="D265" s="23"/>
      <x:c r="E265" s="23"/>
      <x:c r="F265" s="23"/>
      <x:c r="G265" s="23"/>
    </x:row>
    <x:row r="266" spans="1:7" ht="13.19999999999999928946">
      <x:c r="A266" s="23"/>
      <x:c r="B266" s="23"/>
      <x:c r="C266" s="23"/>
      <x:c r="D266" s="23"/>
      <x:c r="E266" s="23"/>
      <x:c r="F266" s="23"/>
      <x:c r="G266" s="23"/>
    </x:row>
    <x:row r="267" spans="1:7" ht="13.19999999999999928946">
      <x:c r="A267" s="23"/>
      <x:c r="B267" s="23"/>
      <x:c r="C267" s="23"/>
      <x:c r="D267" s="23"/>
      <x:c r="E267" s="23"/>
      <x:c r="F267" s="23"/>
      <x:c r="G267" s="23"/>
    </x:row>
    <x:row r="268" spans="1:7" ht="13.19999999999999928946">
      <x:c r="A268" s="23"/>
      <x:c r="B268" s="23"/>
      <x:c r="C268" s="23"/>
      <x:c r="D268" s="23"/>
      <x:c r="E268" s="23"/>
      <x:c r="F268" s="23"/>
      <x:c r="G268" s="23"/>
    </x:row>
    <x:row r="269" spans="1:7" ht="13.19999999999999928946">
      <x:c r="A269" s="23"/>
      <x:c r="B269" s="23"/>
      <x:c r="C269" s="23"/>
      <x:c r="D269" s="23"/>
      <x:c r="E269" s="23"/>
      <x:c r="F269" s="23"/>
      <x:c r="G269" s="23"/>
    </x:row>
    <x:row r="270" spans="1:7" ht="13.19999999999999928946">
      <x:c r="A270" s="23"/>
      <x:c r="B270" s="23"/>
      <x:c r="C270" s="23"/>
      <x:c r="D270" s="23"/>
      <x:c r="E270" s="23"/>
      <x:c r="F270" s="23"/>
      <x:c r="G270" s="23"/>
    </x:row>
    <x:row r="271" spans="1:7" ht="13.19999999999999928946">
      <x:c r="A271" s="23"/>
      <x:c r="B271" s="23"/>
      <x:c r="C271" s="23"/>
      <x:c r="D271" s="23"/>
      <x:c r="E271" s="23"/>
      <x:c r="F271" s="23"/>
      <x:c r="G271" s="23"/>
    </x:row>
    <x:row r="272" spans="1:7" ht="13.19999999999999928946">
      <x:c r="A272" s="23"/>
      <x:c r="B272" s="23"/>
      <x:c r="C272" s="23"/>
      <x:c r="D272" s="23"/>
      <x:c r="E272" s="23"/>
      <x:c r="F272" s="23"/>
      <x:c r="G272" s="23"/>
    </x:row>
    <x:row r="273" spans="1:7" ht="13.19999999999999928946">
      <x:c r="A273" s="23"/>
      <x:c r="B273" s="23"/>
      <x:c r="C273" s="23"/>
      <x:c r="D273" s="23"/>
      <x:c r="E273" s="23"/>
      <x:c r="F273" s="23"/>
      <x:c r="G273" s="23"/>
    </x:row>
    <x:row r="274" spans="1:7" ht="13.19999999999999928946">
      <x:c r="A274" s="23"/>
      <x:c r="B274" s="23"/>
      <x:c r="C274" s="23"/>
      <x:c r="D274" s="23"/>
      <x:c r="E274" s="23"/>
      <x:c r="F274" s="23"/>
      <x:c r="G274" s="23"/>
    </x:row>
    <x:row r="275" spans="1:7" ht="13.19999999999999928946">
      <x:c r="A275" s="23"/>
      <x:c r="B275" s="23"/>
      <x:c r="C275" s="23"/>
      <x:c r="D275" s="23"/>
      <x:c r="E275" s="23"/>
      <x:c r="F275" s="23"/>
      <x:c r="G275" s="23"/>
    </x:row>
    <x:row r="276" spans="1:7" ht="13.19999999999999928946">
      <x:c r="A276" s="23"/>
      <x:c r="B276" s="23"/>
      <x:c r="C276" s="23"/>
      <x:c r="D276" s="23"/>
      <x:c r="E276" s="23"/>
      <x:c r="F276" s="23"/>
      <x:c r="G276" s="23"/>
    </x:row>
    <x:row r="277" spans="1:7" ht="13.19999999999999928946">
      <x:c r="A277" s="23"/>
      <x:c r="B277" s="23"/>
      <x:c r="C277" s="23"/>
      <x:c r="D277" s="23"/>
      <x:c r="E277" s="23"/>
      <x:c r="F277" s="23"/>
      <x:c r="G277" s="23"/>
    </x:row>
    <x:row r="278" spans="1:7" ht="13.19999999999999928946">
      <x:c r="A278" s="23"/>
      <x:c r="B278" s="23"/>
      <x:c r="C278" s="23"/>
      <x:c r="D278" s="23"/>
      <x:c r="E278" s="23"/>
      <x:c r="F278" s="23"/>
      <x:c r="G278" s="23"/>
    </x:row>
    <x:row r="279" spans="1:7" ht="13.19999999999999928946">
      <x:c r="A279" s="23"/>
      <x:c r="B279" s="23"/>
      <x:c r="C279" s="23"/>
      <x:c r="D279" s="23"/>
      <x:c r="E279" s="23"/>
      <x:c r="F279" s="23"/>
      <x:c r="G279" s="23"/>
    </x:row>
    <x:row r="280" spans="1:7" ht="13.19999999999999928946">
      <x:c r="A280" s="23"/>
      <x:c r="B280" s="23"/>
      <x:c r="C280" s="23"/>
      <x:c r="D280" s="23"/>
      <x:c r="E280" s="23"/>
      <x:c r="F280" s="23"/>
      <x:c r="G280" s="23"/>
    </x:row>
    <x:row r="281" spans="1:7" ht="13.19999999999999928946">
      <x:c r="A281" s="23"/>
      <x:c r="B281" s="23"/>
      <x:c r="C281" s="23"/>
      <x:c r="D281" s="23"/>
      <x:c r="E281" s="23"/>
      <x:c r="F281" s="23"/>
      <x:c r="G281" s="23"/>
    </x:row>
    <x:row r="282" spans="1:7" ht="13.19999999999999928946">
      <x:c r="A282" s="23"/>
      <x:c r="B282" s="23"/>
      <x:c r="C282" s="23"/>
      <x:c r="D282" s="23"/>
      <x:c r="E282" s="23"/>
      <x:c r="F282" s="23"/>
      <x:c r="G282" s="23"/>
    </x:row>
    <x:row r="283" spans="1:7" ht="13.19999999999999928946">
      <x:c r="A283" s="23"/>
      <x:c r="B283" s="23"/>
      <x:c r="C283" s="23"/>
      <x:c r="D283" s="23"/>
      <x:c r="E283" s="23"/>
      <x:c r="F283" s="23"/>
      <x:c r="G283" s="23"/>
    </x:row>
    <x:row r="284" spans="1:7" ht="13.19999999999999928946">
      <x:c r="A284" s="23"/>
      <x:c r="B284" s="23"/>
      <x:c r="C284" s="23"/>
      <x:c r="D284" s="23"/>
      <x:c r="E284" s="23"/>
      <x:c r="F284" s="23"/>
      <x:c r="G284" s="23"/>
    </x:row>
    <x:row r="285" spans="1:7" ht="13.19999999999999928946">
      <x:c r="A285" s="23"/>
      <x:c r="B285" s="23"/>
      <x:c r="C285" s="23"/>
      <x:c r="D285" s="23"/>
      <x:c r="E285" s="23"/>
      <x:c r="F285" s="23"/>
      <x:c r="G285" s="23"/>
    </x:row>
    <x:row r="286" spans="1:7" ht="13.19999999999999928946">
      <x:c r="A286" s="23"/>
      <x:c r="B286" s="23"/>
      <x:c r="C286" s="23"/>
      <x:c r="D286" s="23"/>
      <x:c r="E286" s="23"/>
      <x:c r="F286" s="23"/>
      <x:c r="G286" s="23"/>
    </x:row>
    <x:row r="287" spans="1:7" ht="13.19999999999999928946">
      <x:c r="A287" s="23"/>
      <x:c r="B287" s="23"/>
      <x:c r="C287" s="23"/>
      <x:c r="D287" s="23"/>
      <x:c r="E287" s="23"/>
      <x:c r="F287" s="23"/>
      <x:c r="G287" s="23"/>
    </x:row>
    <x:row r="288" spans="1:7" ht="13.19999999999999928946">
      <x:c r="A288" s="23"/>
      <x:c r="B288" s="23"/>
      <x:c r="C288" s="23"/>
      <x:c r="D288" s="23"/>
      <x:c r="E288" s="23"/>
      <x:c r="F288" s="23"/>
      <x:c r="G288" s="23"/>
    </x:row>
    <x:row r="289" spans="1:7" ht="13.19999999999999928946">
      <x:c r="A289" s="23"/>
      <x:c r="B289" s="23"/>
      <x:c r="C289" s="23"/>
      <x:c r="D289" s="23"/>
      <x:c r="E289" s="23"/>
      <x:c r="F289" s="23"/>
      <x:c r="G289" s="23"/>
    </x:row>
    <x:row r="290" spans="1:7" ht="13.19999999999999928946">
      <x:c r="A290" s="23"/>
      <x:c r="B290" s="23"/>
      <x:c r="C290" s="23"/>
      <x:c r="D290" s="23"/>
      <x:c r="E290" s="23"/>
      <x:c r="F290" s="23"/>
      <x:c r="G290" s="23"/>
    </x:row>
    <x:row r="291" spans="1:7" ht="13.19999999999999928946">
      <x:c r="A291" s="23"/>
      <x:c r="B291" s="23"/>
      <x:c r="C291" s="23"/>
      <x:c r="D291" s="23"/>
      <x:c r="E291" s="23"/>
      <x:c r="F291" s="23"/>
      <x:c r="G291" s="23"/>
    </x:row>
    <x:row r="292" spans="1:7" ht="13.19999999999999928946">
      <x:c r="A292" s="23"/>
      <x:c r="B292" s="23"/>
      <x:c r="C292" s="23"/>
      <x:c r="D292" s="23"/>
      <x:c r="E292" s="23"/>
      <x:c r="F292" s="23"/>
      <x:c r="G292" s="23"/>
    </x:row>
    <x:row r="293" spans="1:7" ht="13.19999999999999928946">
      <x:c r="A293" s="23"/>
      <x:c r="B293" s="23"/>
      <x:c r="C293" s="23"/>
      <x:c r="D293" s="23"/>
      <x:c r="E293" s="23"/>
      <x:c r="F293" s="23"/>
      <x:c r="G293" s="23"/>
    </x:row>
    <x:row r="294" spans="1:7" ht="13.19999999999999928946">
      <x:c r="A294" s="23"/>
      <x:c r="B294" s="23"/>
      <x:c r="C294" s="23"/>
      <x:c r="D294" s="23"/>
      <x:c r="E294" s="23"/>
      <x:c r="F294" s="23"/>
      <x:c r="G294" s="23"/>
    </x:row>
    <x:row r="295" spans="1:7" ht="13.19999999999999928946">
      <x:c r="A295" s="23"/>
      <x:c r="B295" s="23"/>
      <x:c r="C295" s="23"/>
      <x:c r="D295" s="23"/>
      <x:c r="E295" s="23"/>
      <x:c r="F295" s="23"/>
      <x:c r="G295" s="23"/>
    </x:row>
    <x:row r="296" spans="1:7" ht="13.19999999999999928946">
      <x:c r="A296" s="23"/>
      <x:c r="B296" s="23"/>
      <x:c r="C296" s="23"/>
      <x:c r="D296" s="23"/>
      <x:c r="E296" s="23"/>
      <x:c r="F296" s="23"/>
      <x:c r="G296" s="23"/>
    </x:row>
    <x:row r="297" spans="1:7" ht="13.19999999999999928946">
      <x:c r="A297" s="23"/>
      <x:c r="B297" s="23"/>
      <x:c r="C297" s="23"/>
      <x:c r="D297" s="23"/>
      <x:c r="E297" s="23"/>
      <x:c r="F297" s="23"/>
      <x:c r="G297" s="23"/>
    </x:row>
    <x:row r="298" spans="1:7" ht="13.19999999999999928946">
      <x:c r="A298" s="23"/>
      <x:c r="B298" s="23"/>
      <x:c r="C298" s="23"/>
      <x:c r="D298" s="23"/>
      <x:c r="E298" s="23"/>
      <x:c r="F298" s="23"/>
      <x:c r="G298" s="23"/>
    </x:row>
    <x:row r="299" spans="1:7" ht="13.19999999999999928946">
      <x:c r="A299" s="23"/>
      <x:c r="B299" s="23"/>
      <x:c r="C299" s="23"/>
      <x:c r="D299" s="23"/>
      <x:c r="E299" s="23"/>
      <x:c r="F299" s="23"/>
      <x:c r="G299" s="23"/>
    </x:row>
    <x:row r="300" spans="1:7" ht="13.19999999999999928946">
      <x:c r="A300" s="23"/>
      <x:c r="B300" s="23"/>
      <x:c r="C300" s="23"/>
      <x:c r="D300" s="23"/>
      <x:c r="E300" s="23"/>
      <x:c r="F300" s="23"/>
      <x:c r="G300" s="23"/>
    </x:row>
    <x:row r="301" spans="1:7" ht="13.19999999999999928946">
      <x:c r="A301" s="23"/>
      <x:c r="B301" s="23"/>
      <x:c r="C301" s="23"/>
      <x:c r="D301" s="23"/>
      <x:c r="E301" s="23"/>
      <x:c r="F301" s="23"/>
      <x:c r="G301" s="23"/>
    </x:row>
    <x:row r="302" spans="1:7" ht="13.19999999999999928946">
      <x:c r="A302" s="23"/>
      <x:c r="B302" s="23"/>
      <x:c r="C302" s="23"/>
      <x:c r="D302" s="23"/>
      <x:c r="E302" s="23"/>
      <x:c r="F302" s="23"/>
      <x:c r="G302" s="23"/>
    </x:row>
    <x:row r="303" spans="1:7" ht="13.19999999999999928946">
      <x:c r="A303" s="23"/>
      <x:c r="B303" s="23"/>
      <x:c r="C303" s="23"/>
      <x:c r="D303" s="23"/>
      <x:c r="E303" s="23"/>
      <x:c r="F303" s="23"/>
      <x:c r="G303" s="23"/>
    </x:row>
    <x:row r="304" spans="1:7" ht="13.19999999999999928946">
      <x:c r="A304" s="23"/>
      <x:c r="B304" s="23"/>
      <x:c r="C304" s="23"/>
      <x:c r="D304" s="23"/>
      <x:c r="E304" s="23"/>
      <x:c r="F304" s="23"/>
      <x:c r="G304" s="23"/>
    </x:row>
    <x:row r="305" spans="1:7" ht="13.19999999999999928946">
      <x:c r="A305" s="23"/>
      <x:c r="B305" s="23"/>
      <x:c r="C305" s="23"/>
      <x:c r="D305" s="23"/>
      <x:c r="E305" s="23"/>
      <x:c r="F305" s="23"/>
      <x:c r="G305" s="23"/>
    </x:row>
    <x:row r="306" spans="1:7" ht="13.19999999999999928946">
      <x:c r="A306" s="23"/>
      <x:c r="B306" s="23"/>
      <x:c r="C306" s="23"/>
      <x:c r="D306" s="23"/>
      <x:c r="E306" s="23"/>
      <x:c r="F306" s="23"/>
      <x:c r="G306" s="23"/>
    </x:row>
    <x:row r="307" spans="1:7" ht="13.19999999999999928946">
      <x:c r="A307" s="23"/>
      <x:c r="B307" s="23"/>
      <x:c r="C307" s="23"/>
      <x:c r="D307" s="23"/>
      <x:c r="E307" s="23"/>
      <x:c r="F307" s="23"/>
      <x:c r="G307" s="23"/>
    </x:row>
    <x:row r="308" spans="1:7" ht="13.19999999999999928946">
      <x:c r="A308" s="23"/>
      <x:c r="B308" s="23"/>
      <x:c r="C308" s="23"/>
      <x:c r="D308" s="23"/>
      <x:c r="E308" s="23"/>
      <x:c r="F308" s="23"/>
      <x:c r="G308" s="23"/>
    </x:row>
    <x:row r="309" spans="1:7" ht="13.19999999999999928946">
      <x:c r="A309" s="23"/>
      <x:c r="B309" s="23"/>
      <x:c r="C309" s="23"/>
      <x:c r="D309" s="23"/>
      <x:c r="E309" s="23"/>
      <x:c r="F309" s="23"/>
      <x:c r="G309" s="23"/>
    </x:row>
    <x:row r="310" spans="1:7" ht="13.19999999999999928946">
      <x:c r="A310" s="23"/>
      <x:c r="B310" s="23"/>
      <x:c r="C310" s="23"/>
      <x:c r="D310" s="23"/>
      <x:c r="E310" s="23"/>
      <x:c r="F310" s="23"/>
      <x:c r="G310" s="23"/>
    </x:row>
    <x:row r="311" spans="1:7" ht="13.19999999999999928946">
      <x:c r="A311" s="23"/>
      <x:c r="B311" s="23"/>
      <x:c r="C311" s="23"/>
      <x:c r="D311" s="23"/>
      <x:c r="E311" s="23"/>
      <x:c r="F311" s="23"/>
      <x:c r="G311" s="23"/>
    </x:row>
    <x:row r="312" spans="1:7" ht="13.19999999999999928946">
      <x:c r="A312" s="23"/>
      <x:c r="B312" s="23"/>
      <x:c r="C312" s="23"/>
      <x:c r="D312" s="23"/>
      <x:c r="E312" s="23"/>
      <x:c r="F312" s="23"/>
      <x:c r="G312" s="23"/>
    </x:row>
    <x:row r="313" spans="1:7" ht="13.19999999999999928946">
      <x:c r="A313" s="23"/>
      <x:c r="B313" s="23"/>
      <x:c r="C313" s="23"/>
      <x:c r="D313" s="23"/>
      <x:c r="E313" s="23"/>
      <x:c r="F313" s="23"/>
      <x:c r="G313" s="23"/>
    </x:row>
    <x:row r="314" spans="1:7" ht="13.19999999999999928946">
      <x:c r="A314" s="23"/>
      <x:c r="B314" s="23"/>
      <x:c r="C314" s="23"/>
      <x:c r="D314" s="23"/>
      <x:c r="E314" s="23"/>
      <x:c r="F314" s="23"/>
      <x:c r="G314" s="23"/>
    </x:row>
    <x:row r="315" spans="1:7" ht="13.19999999999999928946">
      <x:c r="A315" s="23"/>
      <x:c r="B315" s="23"/>
      <x:c r="C315" s="23"/>
      <x:c r="D315" s="23"/>
      <x:c r="E315" s="23"/>
      <x:c r="F315" s="23"/>
      <x:c r="G315" s="23"/>
    </x:row>
    <x:row r="316" spans="1:7" ht="13.19999999999999928946">
      <x:c r="A316" s="23"/>
      <x:c r="B316" s="23"/>
      <x:c r="C316" s="23"/>
      <x:c r="D316" s="23"/>
      <x:c r="E316" s="23"/>
      <x:c r="F316" s="23"/>
      <x:c r="G316" s="23"/>
    </x:row>
    <x:row r="317" spans="1:7" ht="13.19999999999999928946">
      <x:c r="A317" s="23"/>
      <x:c r="B317" s="23"/>
      <x:c r="C317" s="23"/>
      <x:c r="D317" s="23"/>
      <x:c r="E317" s="23"/>
      <x:c r="F317" s="23"/>
      <x:c r="G317" s="23"/>
    </x:row>
    <x:row r="318" spans="1:7" ht="13.19999999999999928946">
      <x:c r="A318" s="23"/>
      <x:c r="B318" s="23"/>
      <x:c r="C318" s="23"/>
      <x:c r="D318" s="23"/>
      <x:c r="E318" s="23"/>
      <x:c r="F318" s="23"/>
      <x:c r="G318" s="23"/>
    </x:row>
    <x:row r="319" spans="1:7" ht="13.19999999999999928946">
      <x:c r="A319" s="23"/>
      <x:c r="B319" s="23"/>
      <x:c r="C319" s="23"/>
      <x:c r="D319" s="23"/>
      <x:c r="E319" s="23"/>
      <x:c r="F319" s="23"/>
      <x:c r="G319" s="23"/>
    </x:row>
    <x:row r="320" spans="1:7" ht="13.19999999999999928946">
      <x:c r="A320" s="23"/>
      <x:c r="B320" s="23"/>
      <x:c r="C320" s="23"/>
      <x:c r="D320" s="23"/>
      <x:c r="E320" s="23"/>
      <x:c r="F320" s="23"/>
      <x:c r="G320" s="23"/>
    </x:row>
    <x:row r="321" spans="1:7" ht="13.19999999999999928946">
      <x:c r="A321" s="23"/>
      <x:c r="B321" s="23"/>
      <x:c r="C321" s="23"/>
      <x:c r="D321" s="23"/>
      <x:c r="E321" s="23"/>
      <x:c r="F321" s="23"/>
      <x:c r="G321" s="23"/>
    </x:row>
    <x:row r="322" spans="1:7" ht="13.19999999999999928946">
      <x:c r="A322" s="23"/>
      <x:c r="B322" s="23"/>
      <x:c r="C322" s="23"/>
      <x:c r="D322" s="23"/>
      <x:c r="E322" s="23"/>
      <x:c r="F322" s="23"/>
      <x:c r="G322" s="23"/>
    </x:row>
    <x:row r="323" spans="1:7" ht="13.19999999999999928946">
      <x:c r="A323" s="23"/>
      <x:c r="B323" s="23"/>
      <x:c r="C323" s="23"/>
      <x:c r="D323" s="23"/>
      <x:c r="E323" s="23"/>
      <x:c r="F323" s="23"/>
      <x:c r="G323" s="23"/>
    </x:row>
    <x:row r="324" spans="1:7" ht="13.19999999999999928946">
      <x:c r="A324" s="23"/>
      <x:c r="B324" s="23"/>
      <x:c r="C324" s="23"/>
      <x:c r="D324" s="23"/>
      <x:c r="E324" s="23"/>
      <x:c r="F324" s="23"/>
      <x:c r="G324" s="23"/>
    </x:row>
    <x:row r="325" spans="1:7" ht="13.19999999999999928946">
      <x:c r="A325" s="23"/>
      <x:c r="B325" s="23"/>
      <x:c r="C325" s="23"/>
      <x:c r="D325" s="23"/>
      <x:c r="E325" s="23"/>
      <x:c r="F325" s="23"/>
      <x:c r="G325" s="23"/>
    </x:row>
    <x:row r="326" spans="1:7" ht="13.19999999999999928946">
      <x:c r="A326" s="23"/>
      <x:c r="B326" s="23"/>
      <x:c r="C326" s="23"/>
      <x:c r="D326" s="23"/>
      <x:c r="E326" s="23"/>
      <x:c r="F326" s="23"/>
      <x:c r="G326" s="23"/>
    </x:row>
    <x:row r="327" spans="1:7" ht="13.19999999999999928946">
      <x:c r="A327" s="23"/>
      <x:c r="B327" s="23"/>
      <x:c r="C327" s="23"/>
      <x:c r="D327" s="23"/>
      <x:c r="E327" s="23"/>
      <x:c r="F327" s="23"/>
      <x:c r="G327" s="23"/>
    </x:row>
    <x:row r="328" spans="1:7" ht="13.19999999999999928946">
      <x:c r="A328" s="23"/>
      <x:c r="B328" s="23"/>
      <x:c r="C328" s="23"/>
      <x:c r="D328" s="23"/>
      <x:c r="E328" s="23"/>
      <x:c r="F328" s="23"/>
      <x:c r="G328" s="23"/>
    </x:row>
    <x:row r="329" spans="1:7" ht="13.19999999999999928946">
      <x:c r="A329" s="23"/>
      <x:c r="B329" s="23"/>
      <x:c r="C329" s="23"/>
      <x:c r="D329" s="23"/>
      <x:c r="E329" s="23"/>
      <x:c r="F329" s="23"/>
      <x:c r="G329" s="23"/>
    </x:row>
    <x:row r="330" spans="1:7" ht="13.19999999999999928946">
      <x:c r="A330" s="23"/>
      <x:c r="B330" s="23"/>
      <x:c r="C330" s="23"/>
      <x:c r="D330" s="23"/>
      <x:c r="E330" s="23"/>
      <x:c r="F330" s="23"/>
      <x:c r="G330" s="23"/>
    </x:row>
    <x:row r="331" spans="1:7" ht="13.19999999999999928946">
      <x:c r="A331" s="23"/>
      <x:c r="B331" s="23"/>
      <x:c r="C331" s="23"/>
      <x:c r="D331" s="23"/>
      <x:c r="E331" s="23"/>
      <x:c r="F331" s="23"/>
      <x:c r="G331" s="23"/>
    </x:row>
    <x:row r="332" spans="1:7" ht="13.19999999999999928946">
      <x:c r="A332" s="23"/>
      <x:c r="B332" s="23"/>
      <x:c r="C332" s="23"/>
      <x:c r="D332" s="23"/>
      <x:c r="E332" s="23"/>
      <x:c r="F332" s="23"/>
      <x:c r="G332" s="23"/>
    </x:row>
    <x:row r="333" spans="1:7" ht="13.19999999999999928946">
      <x:c r="A333" s="23"/>
      <x:c r="B333" s="23"/>
      <x:c r="C333" s="23"/>
      <x:c r="D333" s="23"/>
      <x:c r="E333" s="23"/>
      <x:c r="F333" s="23"/>
      <x:c r="G333" s="23"/>
    </x:row>
    <x:row r="334" spans="1:7" ht="13.19999999999999928946">
      <x:c r="A334" s="23"/>
      <x:c r="B334" s="23"/>
      <x:c r="C334" s="23"/>
      <x:c r="D334" s="23"/>
      <x:c r="E334" s="23"/>
      <x:c r="F334" s="23"/>
      <x:c r="G334" s="23"/>
    </x:row>
    <x:row r="335" spans="1:7" ht="13.19999999999999928946">
      <x:c r="A335" s="23"/>
      <x:c r="B335" s="23"/>
      <x:c r="C335" s="23"/>
      <x:c r="D335" s="23"/>
      <x:c r="E335" s="23"/>
      <x:c r="F335" s="23"/>
      <x:c r="G335" s="23"/>
    </x:row>
    <x:row r="336" spans="1:7" ht="13.19999999999999928946">
      <x:c r="A336" s="23"/>
      <x:c r="B336" s="23"/>
      <x:c r="C336" s="23"/>
      <x:c r="D336" s="23"/>
      <x:c r="E336" s="23"/>
      <x:c r="F336" s="23"/>
      <x:c r="G336" s="23"/>
    </x:row>
    <x:row r="337" spans="1:7" ht="13.19999999999999928946">
      <x:c r="A337" s="23"/>
      <x:c r="B337" s="23"/>
      <x:c r="C337" s="23"/>
      <x:c r="D337" s="23"/>
      <x:c r="E337" s="23"/>
      <x:c r="F337" s="23"/>
      <x:c r="G337" s="23"/>
    </x:row>
    <x:row r="338" spans="1:7" ht="13.19999999999999928946">
      <x:c r="A338" s="23"/>
      <x:c r="B338" s="23"/>
      <x:c r="C338" s="23"/>
      <x:c r="D338" s="23"/>
      <x:c r="E338" s="23"/>
      <x:c r="F338" s="23"/>
      <x:c r="G338" s="23"/>
    </x:row>
    <x:row r="339" spans="1:7" ht="13.19999999999999928946">
      <x:c r="A339" s="23"/>
      <x:c r="B339" s="23"/>
      <x:c r="C339" s="23"/>
      <x:c r="D339" s="23"/>
      <x:c r="E339" s="23"/>
      <x:c r="F339" s="23"/>
      <x:c r="G339" s="23"/>
    </x:row>
    <x:row r="340" spans="1:7" ht="13.19999999999999928946">
      <x:c r="A340" s="23"/>
      <x:c r="B340" s="23"/>
      <x:c r="C340" s="23"/>
      <x:c r="D340" s="23"/>
      <x:c r="E340" s="23"/>
      <x:c r="F340" s="23"/>
      <x:c r="G340" s="23"/>
    </x:row>
    <x:row r="341" spans="1:7" ht="13.19999999999999928946">
      <x:c r="A341" s="23"/>
      <x:c r="B341" s="23"/>
      <x:c r="C341" s="23"/>
      <x:c r="D341" s="23"/>
      <x:c r="E341" s="23"/>
      <x:c r="F341" s="23"/>
      <x:c r="G341" s="23"/>
    </x:row>
    <x:row r="342" spans="1:7" ht="13.19999999999999928946">
      <x:c r="A342" s="23"/>
      <x:c r="B342" s="23"/>
      <x:c r="C342" s="23"/>
      <x:c r="D342" s="23"/>
      <x:c r="E342" s="23"/>
      <x:c r="F342" s="23"/>
      <x:c r="G342" s="23"/>
    </x:row>
    <x:row r="343" spans="1:7" ht="13.19999999999999928946">
      <x:c r="A343" s="23"/>
      <x:c r="B343" s="23"/>
      <x:c r="C343" s="23"/>
      <x:c r="D343" s="23"/>
      <x:c r="E343" s="23"/>
      <x:c r="F343" s="23"/>
      <x:c r="G343" s="23"/>
    </x:row>
    <x:row r="344" spans="1:7" ht="13.19999999999999928946">
      <x:c r="A344" s="23"/>
      <x:c r="B344" s="23"/>
      <x:c r="C344" s="23"/>
      <x:c r="D344" s="23"/>
      <x:c r="E344" s="23"/>
      <x:c r="F344" s="23"/>
      <x:c r="G344" s="23"/>
    </x:row>
    <x:row r="345" spans="1:7" ht="13.19999999999999928946">
      <x:c r="A345" s="23"/>
      <x:c r="B345" s="23"/>
      <x:c r="C345" s="23"/>
      <x:c r="D345" s="23"/>
      <x:c r="E345" s="23"/>
      <x:c r="F345" s="23"/>
      <x:c r="G345" s="23"/>
    </x:row>
    <x:row r="346" spans="1:7" ht="13.19999999999999928946">
      <x:c r="A346" s="23"/>
      <x:c r="B346" s="23"/>
      <x:c r="C346" s="23"/>
      <x:c r="D346" s="23"/>
      <x:c r="E346" s="23"/>
      <x:c r="F346" s="23"/>
      <x:c r="G346" s="23"/>
    </x:row>
    <x:row r="347" spans="1:7" ht="13.19999999999999928946">
      <x:c r="A347" s="23"/>
      <x:c r="B347" s="23"/>
      <x:c r="C347" s="23"/>
      <x:c r="D347" s="23"/>
      <x:c r="E347" s="23"/>
      <x:c r="F347" s="23"/>
      <x:c r="G347" s="23"/>
    </x:row>
    <x:row r="348" spans="1:7" ht="13.19999999999999928946">
      <x:c r="A348" s="23"/>
      <x:c r="B348" s="23"/>
      <x:c r="C348" s="23"/>
      <x:c r="D348" s="23"/>
      <x:c r="E348" s="23"/>
      <x:c r="F348" s="23"/>
      <x:c r="G348" s="23"/>
    </x:row>
    <x:row r="349" spans="1:7" ht="13.19999999999999928946">
      <x:c r="A349" s="23"/>
      <x:c r="B349" s="23"/>
      <x:c r="C349" s="23"/>
      <x:c r="D349" s="23"/>
      <x:c r="E349" s="23"/>
      <x:c r="F349" s="23"/>
      <x:c r="G349" s="23"/>
    </x:row>
    <x:row r="350" spans="1:7" ht="13.19999999999999928946">
      <x:c r="A350" s="23"/>
      <x:c r="B350" s="23"/>
      <x:c r="C350" s="23"/>
      <x:c r="D350" s="23"/>
      <x:c r="E350" s="23"/>
      <x:c r="F350" s="23"/>
      <x:c r="G350" s="23"/>
    </x:row>
    <x:row r="351" spans="1:7" ht="13.19999999999999928946">
      <x:c r="A351" s="23"/>
      <x:c r="B351" s="23"/>
      <x:c r="C351" s="23"/>
      <x:c r="D351" s="23"/>
      <x:c r="E351" s="23"/>
      <x:c r="F351" s="23"/>
      <x:c r="G351" s="23"/>
    </x:row>
    <x:row r="352" spans="1:7" ht="13.19999999999999928946">
      <x:c r="A352" s="23"/>
      <x:c r="B352" s="23"/>
      <x:c r="C352" s="23"/>
      <x:c r="D352" s="23"/>
      <x:c r="E352" s="23"/>
      <x:c r="F352" s="23"/>
      <x:c r="G352" s="23"/>
    </x:row>
    <x:row r="353" spans="1:7" ht="13.19999999999999928946">
      <x:c r="A353" s="23"/>
      <x:c r="B353" s="23"/>
      <x:c r="C353" s="23"/>
      <x:c r="D353" s="23"/>
      <x:c r="E353" s="23"/>
      <x:c r="F353" s="23"/>
      <x:c r="G353" s="23"/>
    </x:row>
    <x:row r="354" spans="1:7" ht="13.19999999999999928946">
      <x:c r="A354" s="23"/>
      <x:c r="B354" s="23"/>
      <x:c r="C354" s="23"/>
      <x:c r="D354" s="23"/>
      <x:c r="E354" s="23"/>
      <x:c r="F354" s="23"/>
      <x:c r="G354" s="23"/>
    </x:row>
    <x:row r="355" spans="1:7" ht="13.19999999999999928946">
      <x:c r="A355" s="23"/>
      <x:c r="B355" s="23"/>
      <x:c r="C355" s="23"/>
      <x:c r="D355" s="23"/>
      <x:c r="E355" s="23"/>
      <x:c r="F355" s="23"/>
      <x:c r="G355" s="23"/>
    </x:row>
    <x:row r="356" spans="1:7" ht="13.19999999999999928946">
      <x:c r="A356" s="23"/>
      <x:c r="B356" s="23"/>
      <x:c r="C356" s="23"/>
      <x:c r="D356" s="23"/>
      <x:c r="E356" s="23"/>
      <x:c r="F356" s="23"/>
      <x:c r="G356" s="23"/>
    </x:row>
    <x:row r="357" spans="1:7" ht="13.19999999999999928946">
      <x:c r="A357" s="23"/>
      <x:c r="B357" s="23"/>
      <x:c r="C357" s="23"/>
      <x:c r="D357" s="23"/>
      <x:c r="E357" s="23"/>
      <x:c r="F357" s="23"/>
      <x:c r="G357" s="23"/>
    </x:row>
    <x:row r="358" spans="1:7" ht="13.19999999999999928946">
      <x:c r="A358" s="23"/>
      <x:c r="B358" s="23"/>
      <x:c r="C358" s="23"/>
      <x:c r="D358" s="23"/>
      <x:c r="E358" s="23"/>
      <x:c r="F358" s="23"/>
      <x:c r="G358" s="23"/>
    </x:row>
    <x:row r="359" spans="1:7" ht="13.19999999999999928946">
      <x:c r="A359" s="23"/>
      <x:c r="B359" s="23"/>
      <x:c r="C359" s="23"/>
      <x:c r="D359" s="23"/>
      <x:c r="E359" s="23"/>
      <x:c r="F359" s="23"/>
      <x:c r="G359" s="23"/>
    </x:row>
    <x:row r="360" spans="1:7" ht="13.19999999999999928946">
      <x:c r="A360" s="23"/>
      <x:c r="B360" s="23"/>
      <x:c r="C360" s="23"/>
      <x:c r="D360" s="23"/>
      <x:c r="E360" s="23"/>
      <x:c r="F360" s="23"/>
      <x:c r="G360" s="23"/>
    </x:row>
    <x:row r="361" spans="1:7" ht="13.19999999999999928946">
      <x:c r="A361" s="23"/>
      <x:c r="B361" s="23"/>
      <x:c r="C361" s="23"/>
      <x:c r="D361" s="23"/>
      <x:c r="E361" s="23"/>
      <x:c r="F361" s="23"/>
      <x:c r="G361" s="23"/>
    </x:row>
    <x:row r="362" spans="1:7" ht="13.19999999999999928946">
      <x:c r="A362" s="23"/>
      <x:c r="B362" s="23"/>
      <x:c r="C362" s="23"/>
      <x:c r="D362" s="23"/>
      <x:c r="E362" s="23"/>
      <x:c r="F362" s="23"/>
      <x:c r="G362" s="23"/>
    </x:row>
    <x:row r="363" spans="1:7" ht="13.19999999999999928946">
      <x:c r="A363" s="23"/>
      <x:c r="B363" s="23"/>
      <x:c r="C363" s="23"/>
      <x:c r="D363" s="23"/>
      <x:c r="E363" s="23"/>
      <x:c r="F363" s="23"/>
      <x:c r="G363" s="23"/>
    </x:row>
    <x:row r="364" spans="1:7" ht="13.19999999999999928946">
      <x:c r="A364" s="23"/>
      <x:c r="B364" s="23"/>
      <x:c r="C364" s="23"/>
      <x:c r="D364" s="23"/>
      <x:c r="E364" s="23"/>
      <x:c r="F364" s="23"/>
      <x:c r="G364" s="23"/>
    </x:row>
    <x:row r="365" spans="1:7" ht="13.19999999999999928946">
      <x:c r="A365" s="23"/>
      <x:c r="B365" s="23"/>
      <x:c r="C365" s="23"/>
      <x:c r="D365" s="23"/>
      <x:c r="E365" s="23"/>
      <x:c r="F365" s="23"/>
      <x:c r="G365" s="23"/>
    </x:row>
    <x:row r="366" spans="1:7" ht="13.19999999999999928946">
      <x:c r="A366" s="23"/>
      <x:c r="B366" s="23"/>
      <x:c r="C366" s="23"/>
      <x:c r="D366" s="23"/>
      <x:c r="E366" s="23"/>
      <x:c r="F366" s="23"/>
      <x:c r="G366" s="23"/>
    </x:row>
    <x:row r="367" spans="1:7" ht="13.19999999999999928946">
      <x:c r="A367" s="23"/>
      <x:c r="B367" s="23"/>
      <x:c r="C367" s="23"/>
      <x:c r="D367" s="23"/>
      <x:c r="E367" s="23"/>
      <x:c r="F367" s="23"/>
      <x:c r="G367" s="23"/>
    </x:row>
    <x:row r="368" spans="1:7" ht="13.19999999999999928946">
      <x:c r="A368" s="23"/>
      <x:c r="B368" s="23"/>
      <x:c r="C368" s="23"/>
      <x:c r="D368" s="23"/>
      <x:c r="E368" s="23"/>
      <x:c r="F368" s="23"/>
      <x:c r="G368" s="23"/>
    </x:row>
    <x:row r="369" spans="1:7" ht="13.19999999999999928946">
      <x:c r="A369" s="23"/>
      <x:c r="B369" s="23"/>
      <x:c r="C369" s="23"/>
      <x:c r="D369" s="23"/>
      <x:c r="E369" s="23"/>
      <x:c r="F369" s="23"/>
      <x:c r="G369" s="23"/>
    </x:row>
    <x:row r="370" spans="1:7" ht="13.19999999999999928946">
      <x:c r="A370" s="23"/>
      <x:c r="B370" s="23"/>
      <x:c r="C370" s="23"/>
      <x:c r="D370" s="23"/>
      <x:c r="E370" s="23"/>
      <x:c r="F370" s="23"/>
      <x:c r="G370" s="23"/>
    </x:row>
    <x:row r="371" spans="1:7" ht="13.19999999999999928946">
      <x:c r="A371" s="23"/>
      <x:c r="B371" s="23"/>
      <x:c r="C371" s="23"/>
      <x:c r="D371" s="23"/>
      <x:c r="E371" s="23"/>
      <x:c r="F371" s="23"/>
      <x:c r="G371" s="23"/>
    </x:row>
    <x:row r="372" spans="1:7" ht="13.19999999999999928946">
      <x:c r="A372" s="23"/>
      <x:c r="B372" s="23"/>
      <x:c r="C372" s="23"/>
      <x:c r="D372" s="23"/>
      <x:c r="E372" s="23"/>
      <x:c r="F372" s="23"/>
      <x:c r="G372" s="23"/>
    </x:row>
    <x:row r="373" spans="1:7" ht="13.19999999999999928946">
      <x:c r="A373" s="23"/>
      <x:c r="B373" s="23"/>
      <x:c r="C373" s="23"/>
      <x:c r="D373" s="23"/>
      <x:c r="E373" s="23"/>
      <x:c r="F373" s="23"/>
      <x:c r="G373" s="23"/>
    </x:row>
    <x:row r="374" spans="1:7" ht="13.19999999999999928946">
      <x:c r="A374" s="23"/>
      <x:c r="B374" s="23"/>
      <x:c r="C374" s="23"/>
      <x:c r="D374" s="23"/>
      <x:c r="E374" s="23"/>
      <x:c r="F374" s="23"/>
      <x:c r="G374" s="23"/>
    </x:row>
    <x:row r="375" spans="1:7" ht="13.19999999999999928946">
      <x:c r="A375" s="23"/>
      <x:c r="B375" s="23"/>
      <x:c r="C375" s="23"/>
      <x:c r="D375" s="23"/>
      <x:c r="E375" s="23"/>
      <x:c r="F375" s="23"/>
      <x:c r="G375" s="23"/>
    </x:row>
    <x:row r="376" spans="1:7" ht="13.19999999999999928946">
      <x:c r="A376" s="23"/>
      <x:c r="B376" s="23"/>
      <x:c r="C376" s="23"/>
      <x:c r="D376" s="23"/>
      <x:c r="E376" s="23"/>
      <x:c r="F376" s="23"/>
      <x:c r="G376" s="23"/>
    </x:row>
    <x:row r="377" spans="1:7" ht="13.19999999999999928946">
      <x:c r="A377" s="23"/>
      <x:c r="B377" s="23"/>
      <x:c r="C377" s="23"/>
      <x:c r="D377" s="23"/>
      <x:c r="E377" s="23"/>
      <x:c r="F377" s="23"/>
      <x:c r="G377" s="23"/>
    </x:row>
    <x:row r="378" spans="1:7" ht="13.19999999999999928946">
      <x:c r="A378" s="23"/>
      <x:c r="B378" s="23"/>
      <x:c r="C378" s="23"/>
      <x:c r="D378" s="23"/>
      <x:c r="E378" s="23"/>
      <x:c r="F378" s="23"/>
      <x:c r="G378" s="23"/>
    </x:row>
    <x:row r="379" spans="1:7" ht="13.19999999999999928946">
      <x:c r="A379" s="23"/>
      <x:c r="B379" s="23"/>
      <x:c r="C379" s="23"/>
      <x:c r="D379" s="23"/>
      <x:c r="E379" s="23"/>
      <x:c r="F379" s="23"/>
      <x:c r="G379" s="23"/>
    </x:row>
    <x:row r="380" spans="1:7" ht="13.19999999999999928946">
      <x:c r="A380" s="23"/>
      <x:c r="B380" s="23"/>
      <x:c r="C380" s="23"/>
      <x:c r="D380" s="23"/>
      <x:c r="E380" s="23"/>
      <x:c r="F380" s="23"/>
      <x:c r="G380" s="23"/>
    </x:row>
    <x:row r="381" spans="1:7" ht="13.19999999999999928946">
      <x:c r="A381" s="23"/>
      <x:c r="B381" s="23"/>
      <x:c r="C381" s="23"/>
      <x:c r="D381" s="23"/>
      <x:c r="E381" s="23"/>
      <x:c r="F381" s="23"/>
      <x:c r="G381" s="23"/>
    </x:row>
    <x:row r="382" spans="1:7" ht="13.19999999999999928946">
      <x:c r="A382" s="23"/>
      <x:c r="B382" s="23"/>
      <x:c r="C382" s="23"/>
      <x:c r="D382" s="23"/>
      <x:c r="E382" s="23"/>
      <x:c r="F382" s="23"/>
      <x:c r="G382" s="23"/>
    </x:row>
    <x:row r="383" spans="1:7" ht="13.19999999999999928946">
      <x:c r="A383" s="23"/>
      <x:c r="B383" s="23"/>
      <x:c r="C383" s="23"/>
      <x:c r="D383" s="23"/>
      <x:c r="E383" s="23"/>
      <x:c r="F383" s="23"/>
      <x:c r="G383" s="23"/>
    </x:row>
    <x:row r="384" spans="1:7" ht="13.19999999999999928946">
      <x:c r="A384" s="23"/>
      <x:c r="B384" s="23"/>
      <x:c r="C384" s="23"/>
      <x:c r="D384" s="23"/>
      <x:c r="E384" s="23"/>
      <x:c r="F384" s="23"/>
      <x:c r="G384" s="23"/>
    </x:row>
    <x:row r="385" spans="1:7" ht="13.19999999999999928946">
      <x:c r="A385" s="23"/>
      <x:c r="B385" s="23"/>
      <x:c r="C385" s="23"/>
      <x:c r="D385" s="23"/>
      <x:c r="E385" s="23"/>
      <x:c r="F385" s="23"/>
      <x:c r="G385" s="23"/>
    </x:row>
    <x:row r="386" spans="1:7" ht="13.19999999999999928946">
      <x:c r="A386" s="23"/>
      <x:c r="B386" s="23"/>
      <x:c r="C386" s="23"/>
      <x:c r="D386" s="23"/>
      <x:c r="E386" s="23"/>
      <x:c r="F386" s="23"/>
      <x:c r="G386" s="23"/>
    </x:row>
    <x:row r="387" spans="1:7" ht="13.19999999999999928946">
      <x:c r="A387" s="23"/>
      <x:c r="B387" s="23"/>
      <x:c r="C387" s="23"/>
      <x:c r="D387" s="23"/>
      <x:c r="E387" s="23"/>
      <x:c r="F387" s="23"/>
      <x:c r="G387" s="23"/>
    </x:row>
    <x:row r="388" spans="1:7" ht="13.19999999999999928946">
      <x:c r="A388" s="23"/>
      <x:c r="B388" s="23"/>
      <x:c r="C388" s="23"/>
      <x:c r="D388" s="23"/>
      <x:c r="E388" s="23"/>
      <x:c r="F388" s="23"/>
      <x:c r="G388" s="23"/>
    </x:row>
    <x:row r="389" spans="1:7" ht="13.19999999999999928946">
      <x:c r="A389" s="23"/>
      <x:c r="B389" s="23"/>
      <x:c r="C389" s="23"/>
      <x:c r="D389" s="23"/>
      <x:c r="E389" s="23"/>
      <x:c r="F389" s="23"/>
      <x:c r="G389" s="23"/>
    </x:row>
    <x:row r="390" spans="1:7" ht="13.19999999999999928946">
      <x:c r="A390" s="23"/>
      <x:c r="B390" s="23"/>
      <x:c r="C390" s="23"/>
      <x:c r="D390" s="23"/>
      <x:c r="E390" s="23"/>
      <x:c r="F390" s="23"/>
      <x:c r="G390" s="23"/>
    </x:row>
    <x:row r="391" spans="1:7" ht="13.19999999999999928946">
      <x:c r="A391" s="23"/>
      <x:c r="B391" s="23"/>
      <x:c r="C391" s="23"/>
      <x:c r="D391" s="23"/>
      <x:c r="E391" s="23"/>
      <x:c r="F391" s="23"/>
      <x:c r="G391" s="23"/>
    </x:row>
    <x:row r="392" spans="1:7" ht="13.19999999999999928946">
      <x:c r="A392" s="23"/>
      <x:c r="B392" s="23"/>
      <x:c r="C392" s="23"/>
      <x:c r="D392" s="23"/>
      <x:c r="E392" s="23"/>
      <x:c r="F392" s="23"/>
      <x:c r="G392" s="23"/>
    </x:row>
    <x:row r="393" spans="1:7" ht="13.19999999999999928946">
      <x:c r="A393" s="23"/>
      <x:c r="B393" s="23"/>
      <x:c r="C393" s="23"/>
      <x:c r="D393" s="23"/>
      <x:c r="E393" s="23"/>
      <x:c r="F393" s="23"/>
      <x:c r="G393" s="23"/>
    </x:row>
    <x:row r="394" spans="1:7" ht="13.19999999999999928946">
      <x:c r="A394" s="23"/>
      <x:c r="B394" s="23"/>
      <x:c r="C394" s="23"/>
      <x:c r="D394" s="23"/>
      <x:c r="E394" s="23"/>
      <x:c r="F394" s="23"/>
      <x:c r="G394" s="23"/>
    </x:row>
    <x:row r="395" spans="1:7" ht="13.19999999999999928946">
      <x:c r="A395" s="23"/>
      <x:c r="B395" s="23"/>
      <x:c r="C395" s="23"/>
      <x:c r="D395" s="23"/>
      <x:c r="E395" s="23"/>
      <x:c r="F395" s="23"/>
      <x:c r="G395" s="23"/>
    </x:row>
    <x:row r="396" spans="1:7" ht="13.19999999999999928946">
      <x:c r="A396" s="23"/>
      <x:c r="B396" s="23"/>
      <x:c r="C396" s="23"/>
      <x:c r="D396" s="23"/>
      <x:c r="E396" s="23"/>
      <x:c r="F396" s="23"/>
      <x:c r="G396" s="23"/>
    </x:row>
    <x:row r="397" spans="1:7" ht="13.19999999999999928946">
      <x:c r="A397" s="23"/>
      <x:c r="B397" s="23"/>
      <x:c r="C397" s="23"/>
      <x:c r="D397" s="23"/>
      <x:c r="E397" s="23"/>
      <x:c r="F397" s="23"/>
      <x:c r="G397" s="23"/>
    </x:row>
    <x:row r="398" spans="1:7" ht="13.19999999999999928946">
      <x:c r="A398" s="23"/>
      <x:c r="B398" s="23"/>
      <x:c r="C398" s="23"/>
      <x:c r="D398" s="23"/>
      <x:c r="E398" s="23"/>
      <x:c r="F398" s="23"/>
      <x:c r="G398" s="23"/>
    </x:row>
    <x:row r="399" spans="1:7" ht="13.19999999999999928946">
      <x:c r="A399" s="23"/>
      <x:c r="B399" s="23"/>
      <x:c r="C399" s="23"/>
      <x:c r="D399" s="23"/>
      <x:c r="E399" s="23"/>
      <x:c r="F399" s="23"/>
      <x:c r="G399" s="23"/>
    </x:row>
    <x:row r="400" spans="1:7" ht="13.19999999999999928946">
      <x:c r="A400" s="23"/>
      <x:c r="B400" s="23"/>
      <x:c r="C400" s="23"/>
      <x:c r="D400" s="23"/>
      <x:c r="E400" s="23"/>
      <x:c r="F400" s="23"/>
      <x:c r="G400" s="23"/>
    </x:row>
    <x:row r="401" spans="1:7" ht="13.19999999999999928946">
      <x:c r="A401" s="23"/>
      <x:c r="B401" s="23"/>
      <x:c r="C401" s="23"/>
      <x:c r="D401" s="23"/>
      <x:c r="E401" s="23"/>
      <x:c r="F401" s="23"/>
      <x:c r="G401" s="23"/>
    </x:row>
    <x:row r="402" spans="1:7" ht="13.19999999999999928946">
      <x:c r="A402" s="23"/>
      <x:c r="B402" s="23"/>
      <x:c r="C402" s="23"/>
      <x:c r="D402" s="23"/>
      <x:c r="E402" s="23"/>
      <x:c r="F402" s="23"/>
      <x:c r="G402" s="23"/>
    </x:row>
    <x:row r="403" spans="1:7" ht="13.19999999999999928946">
      <x:c r="A403" s="23"/>
      <x:c r="B403" s="23"/>
      <x:c r="C403" s="23"/>
      <x:c r="D403" s="23"/>
      <x:c r="E403" s="23"/>
      <x:c r="F403" s="23"/>
      <x:c r="G403" s="23"/>
    </x:row>
    <x:row r="404" spans="1:7" ht="13.19999999999999928946">
      <x:c r="A404" s="23"/>
      <x:c r="B404" s="23"/>
      <x:c r="C404" s="23"/>
      <x:c r="D404" s="23"/>
      <x:c r="E404" s="23"/>
      <x:c r="F404" s="23"/>
      <x:c r="G404" s="23"/>
    </x:row>
    <x:row r="405" spans="1:7" ht="13.19999999999999928946">
      <x:c r="A405" s="23"/>
      <x:c r="B405" s="23"/>
      <x:c r="C405" s="23"/>
      <x:c r="D405" s="23"/>
      <x:c r="E405" s="23"/>
      <x:c r="F405" s="23"/>
      <x:c r="G405" s="23"/>
    </x:row>
    <x:row r="406" spans="1:7" ht="13.19999999999999928946">
      <x:c r="A406" s="23"/>
      <x:c r="B406" s="23"/>
      <x:c r="C406" s="23"/>
      <x:c r="D406" s="23"/>
      <x:c r="E406" s="23"/>
      <x:c r="F406" s="23"/>
      <x:c r="G406" s="23"/>
    </x:row>
    <x:row r="407" spans="1:7" ht="13.19999999999999928946">
      <x:c r="A407" s="23"/>
      <x:c r="B407" s="23"/>
      <x:c r="C407" s="23"/>
      <x:c r="D407" s="23"/>
      <x:c r="E407" s="23"/>
      <x:c r="F407" s="23"/>
      <x:c r="G407" s="23"/>
    </x:row>
    <x:row r="408" spans="1:7" ht="13.19999999999999928946">
      <x:c r="A408" s="23"/>
      <x:c r="B408" s="23"/>
      <x:c r="C408" s="23"/>
      <x:c r="D408" s="23"/>
      <x:c r="E408" s="23"/>
      <x:c r="F408" s="23"/>
      <x:c r="G408" s="23"/>
    </x:row>
    <x:row r="409" spans="1:7" ht="13.19999999999999928946">
      <x:c r="A409" s="23"/>
      <x:c r="B409" s="23"/>
      <x:c r="C409" s="23"/>
      <x:c r="D409" s="23"/>
      <x:c r="E409" s="23"/>
      <x:c r="F409" s="23"/>
      <x:c r="G409" s="23"/>
    </x:row>
    <x:row r="410" spans="1:7" ht="13.19999999999999928946">
      <x:c r="A410" s="23"/>
      <x:c r="B410" s="23"/>
      <x:c r="C410" s="23"/>
      <x:c r="D410" s="23"/>
      <x:c r="E410" s="23"/>
      <x:c r="F410" s="23"/>
      <x:c r="G410" s="23"/>
    </x:row>
    <x:row r="411" spans="1:7" ht="13.19999999999999928946">
      <x:c r="A411" s="23"/>
      <x:c r="B411" s="23"/>
      <x:c r="C411" s="23"/>
      <x:c r="D411" s="23"/>
      <x:c r="E411" s="23"/>
      <x:c r="F411" s="23"/>
      <x:c r="G411" s="23"/>
    </x:row>
    <x:row r="412" spans="1:7" ht="13.19999999999999928946">
      <x:c r="A412" s="23"/>
      <x:c r="B412" s="23"/>
      <x:c r="C412" s="23"/>
      <x:c r="D412" s="23"/>
      <x:c r="E412" s="23"/>
      <x:c r="F412" s="23"/>
      <x:c r="G412" s="23"/>
    </x:row>
    <x:row r="413" spans="1:7" ht="13.19999999999999928946">
      <x:c r="A413" s="23"/>
      <x:c r="B413" s="23"/>
      <x:c r="C413" s="23"/>
      <x:c r="D413" s="23"/>
      <x:c r="E413" s="23"/>
      <x:c r="F413" s="23"/>
      <x:c r="G413" s="23"/>
    </x:row>
    <x:row r="414" spans="1:7" ht="13.19999999999999928946">
      <x:c r="A414" s="23"/>
      <x:c r="B414" s="23"/>
      <x:c r="C414" s="23"/>
      <x:c r="D414" s="23"/>
      <x:c r="E414" s="23"/>
      <x:c r="F414" s="23"/>
      <x:c r="G414" s="23"/>
    </x:row>
    <x:row r="415" spans="1:7" ht="13.19999999999999928946">
      <x:c r="A415" s="23"/>
      <x:c r="B415" s="23"/>
      <x:c r="C415" s="23"/>
      <x:c r="D415" s="23"/>
      <x:c r="E415" s="23"/>
      <x:c r="F415" s="23"/>
      <x:c r="G415" s="23"/>
    </x:row>
    <x:row r="416" spans="1:7" ht="13.19999999999999928946">
      <x:c r="A416" s="23"/>
      <x:c r="B416" s="23"/>
      <x:c r="C416" s="23"/>
      <x:c r="D416" s="23"/>
      <x:c r="E416" s="23"/>
      <x:c r="F416" s="23"/>
      <x:c r="G416" s="23"/>
    </x:row>
    <x:row r="417" spans="1:7" ht="13.19999999999999928946">
      <x:c r="A417" s="23"/>
      <x:c r="B417" s="23"/>
      <x:c r="C417" s="23"/>
      <x:c r="D417" s="23"/>
      <x:c r="E417" s="23"/>
      <x:c r="F417" s="23"/>
      <x:c r="G417" s="23"/>
    </x:row>
    <x:row r="418" spans="1:7" ht="13.19999999999999928946">
      <x:c r="A418" s="23"/>
      <x:c r="B418" s="23"/>
      <x:c r="C418" s="23"/>
      <x:c r="D418" s="23"/>
      <x:c r="E418" s="23"/>
      <x:c r="F418" s="23"/>
      <x:c r="G418" s="23"/>
    </x:row>
    <x:row r="419" spans="1:7" ht="13.19999999999999928946">
      <x:c r="A419" s="23"/>
      <x:c r="B419" s="23"/>
      <x:c r="C419" s="23"/>
      <x:c r="D419" s="23"/>
      <x:c r="E419" s="23"/>
      <x:c r="F419" s="23"/>
      <x:c r="G419" s="23"/>
    </x:row>
    <x:row r="420" spans="1:7" ht="13.19999999999999928946">
      <x:c r="A420" s="23"/>
      <x:c r="B420" s="23"/>
      <x:c r="C420" s="23"/>
      <x:c r="D420" s="23"/>
      <x:c r="E420" s="23"/>
      <x:c r="F420" s="23"/>
      <x:c r="G420" s="23"/>
    </x:row>
    <x:row r="421" spans="1:7" ht="13.19999999999999928946">
      <x:c r="A421" s="23"/>
      <x:c r="B421" s="23"/>
      <x:c r="C421" s="23"/>
      <x:c r="D421" s="23"/>
      <x:c r="E421" s="23"/>
      <x:c r="F421" s="23"/>
      <x:c r="G421" s="23"/>
    </x:row>
    <x:row r="422" spans="1:7" ht="13.19999999999999928946">
      <x:c r="A422" s="23"/>
      <x:c r="B422" s="23"/>
      <x:c r="C422" s="23"/>
      <x:c r="D422" s="23"/>
      <x:c r="E422" s="23"/>
      <x:c r="F422" s="23"/>
      <x:c r="G422" s="23"/>
    </x:row>
    <x:row r="423" spans="1:7" ht="13.19999999999999928946">
      <x:c r="A423" s="23"/>
      <x:c r="B423" s="23"/>
      <x:c r="C423" s="23"/>
      <x:c r="D423" s="23"/>
      <x:c r="E423" s="23"/>
      <x:c r="F423" s="23"/>
      <x:c r="G423" s="23"/>
    </x:row>
    <x:row r="424" spans="1:7" ht="13.19999999999999928946">
      <x:c r="A424" s="23"/>
      <x:c r="B424" s="23"/>
      <x:c r="C424" s="23"/>
      <x:c r="D424" s="23"/>
      <x:c r="E424" s="23"/>
      <x:c r="F424" s="23"/>
      <x:c r="G424" s="23"/>
    </x:row>
    <x:row r="425" spans="1:7" ht="13.19999999999999928946">
      <x:c r="A425" s="23"/>
      <x:c r="B425" s="23"/>
      <x:c r="C425" s="23"/>
      <x:c r="D425" s="23"/>
      <x:c r="E425" s="23"/>
      <x:c r="F425" s="23"/>
      <x:c r="G425" s="23"/>
    </x:row>
    <x:row r="426" spans="1:7" ht="13.19999999999999928946">
      <x:c r="A426" s="23"/>
      <x:c r="B426" s="23"/>
      <x:c r="C426" s="23"/>
      <x:c r="D426" s="23"/>
      <x:c r="E426" s="23"/>
      <x:c r="F426" s="23"/>
      <x:c r="G426" s="23"/>
    </x:row>
    <x:row r="427" spans="1:7" ht="13.19999999999999928946">
      <x:c r="A427" s="23"/>
      <x:c r="B427" s="23"/>
      <x:c r="C427" s="23"/>
      <x:c r="D427" s="23"/>
      <x:c r="E427" s="23"/>
      <x:c r="F427" s="23"/>
      <x:c r="G427" s="23"/>
    </x:row>
    <x:row r="428" spans="1:7" ht="13.19999999999999928946">
      <x:c r="A428" s="23"/>
      <x:c r="B428" s="23"/>
      <x:c r="C428" s="23"/>
      <x:c r="D428" s="23"/>
      <x:c r="E428" s="23"/>
      <x:c r="F428" s="23"/>
      <x:c r="G428" s="23"/>
    </x:row>
    <x:row r="429" spans="1:7" ht="13.19999999999999928946">
      <x:c r="A429" s="23"/>
      <x:c r="B429" s="23"/>
      <x:c r="C429" s="23"/>
      <x:c r="D429" s="23"/>
      <x:c r="E429" s="23"/>
      <x:c r="F429" s="23"/>
      <x:c r="G429" s="23"/>
    </x:row>
    <x:row r="430" spans="1:7" ht="13.19999999999999928946">
      <x:c r="A430" s="23"/>
      <x:c r="B430" s="23"/>
      <x:c r="C430" s="23"/>
      <x:c r="D430" s="23"/>
      <x:c r="E430" s="23"/>
      <x:c r="F430" s="23"/>
      <x:c r="G430" s="23"/>
    </x:row>
    <x:row r="431" spans="1:7" ht="13.19999999999999928946">
      <x:c r="A431" s="23"/>
      <x:c r="B431" s="23"/>
      <x:c r="C431" s="23"/>
      <x:c r="D431" s="23"/>
      <x:c r="E431" s="23"/>
      <x:c r="F431" s="23"/>
      <x:c r="G431" s="23"/>
    </x:row>
    <x:row r="432" spans="1:7" ht="13.19999999999999928946">
      <x:c r="A432" s="23"/>
      <x:c r="B432" s="23"/>
      <x:c r="C432" s="23"/>
      <x:c r="D432" s="23"/>
      <x:c r="E432" s="23"/>
      <x:c r="F432" s="23"/>
      <x:c r="G432" s="23"/>
    </x:row>
    <x:row r="433" spans="1:7" ht="13.19999999999999928946">
      <x:c r="A433" s="23"/>
      <x:c r="B433" s="23"/>
      <x:c r="C433" s="23"/>
      <x:c r="D433" s="23"/>
      <x:c r="E433" s="23"/>
      <x:c r="F433" s="23"/>
      <x:c r="G433" s="23"/>
    </x:row>
    <x:row r="434" spans="1:7" ht="13.19999999999999928946">
      <x:c r="A434" s="23"/>
      <x:c r="B434" s="23"/>
      <x:c r="C434" s="23"/>
      <x:c r="D434" s="23"/>
      <x:c r="E434" s="23"/>
      <x:c r="F434" s="23"/>
      <x:c r="G434" s="23"/>
    </x:row>
    <x:row r="435" spans="1:7" ht="13.19999999999999928946">
      <x:c r="A435" s="23"/>
      <x:c r="B435" s="23"/>
      <x:c r="C435" s="23"/>
      <x:c r="D435" s="23"/>
      <x:c r="E435" s="23"/>
      <x:c r="F435" s="23"/>
      <x:c r="G435" s="23"/>
    </x:row>
    <x:row r="436" spans="1:7" ht="13.19999999999999928946">
      <x:c r="A436" s="23"/>
      <x:c r="B436" s="23"/>
      <x:c r="C436" s="23"/>
      <x:c r="D436" s="23"/>
      <x:c r="E436" s="23"/>
      <x:c r="F436" s="23"/>
      <x:c r="G436" s="23"/>
    </x:row>
    <x:row r="437" spans="1:7" ht="13.19999999999999928946">
      <x:c r="A437" s="23"/>
      <x:c r="B437" s="23"/>
      <x:c r="C437" s="23"/>
      <x:c r="D437" s="23"/>
      <x:c r="E437" s="23"/>
      <x:c r="F437" s="23"/>
      <x:c r="G437" s="23"/>
    </x:row>
    <x:row r="438" spans="1:7" ht="13.19999999999999928946">
      <x:c r="A438" s="23"/>
      <x:c r="B438" s="23"/>
      <x:c r="C438" s="23"/>
      <x:c r="D438" s="23"/>
      <x:c r="E438" s="23"/>
      <x:c r="F438" s="23"/>
      <x:c r="G438" s="23"/>
    </x:row>
    <x:row r="439" spans="1:7" ht="13.19999999999999928946">
      <x:c r="A439" s="23"/>
      <x:c r="B439" s="23"/>
      <x:c r="C439" s="23"/>
      <x:c r="D439" s="23"/>
      <x:c r="E439" s="23"/>
      <x:c r="F439" s="23"/>
      <x:c r="G439" s="23"/>
    </x:row>
    <x:row r="440" spans="1:7" ht="13.19999999999999928946">
      <x:c r="A440" s="23"/>
      <x:c r="B440" s="23"/>
      <x:c r="C440" s="23"/>
      <x:c r="D440" s="23"/>
      <x:c r="E440" s="23"/>
      <x:c r="F440" s="23"/>
      <x:c r="G440" s="23"/>
    </x:row>
    <x:row r="441" spans="1:7" ht="13.19999999999999928946">
      <x:c r="A441" s="23"/>
      <x:c r="B441" s="23"/>
      <x:c r="C441" s="23"/>
      <x:c r="D441" s="23"/>
      <x:c r="E441" s="23"/>
      <x:c r="F441" s="23"/>
      <x:c r="G441" s="23"/>
    </x:row>
    <x:row r="442" spans="1:7" ht="13.19999999999999928946">
      <x:c r="A442" s="23"/>
      <x:c r="B442" s="23"/>
      <x:c r="C442" s="23"/>
      <x:c r="D442" s="23"/>
      <x:c r="E442" s="23"/>
      <x:c r="F442" s="23"/>
      <x:c r="G442" s="23"/>
    </x:row>
    <x:row r="443" spans="1:7" ht="13.19999999999999928946">
      <x:c r="A443" s="23"/>
      <x:c r="B443" s="23"/>
      <x:c r="C443" s="23"/>
      <x:c r="D443" s="23"/>
      <x:c r="E443" s="23"/>
      <x:c r="F443" s="23"/>
      <x:c r="G443" s="23"/>
    </x:row>
    <x:row r="444" spans="1:7" ht="13.19999999999999928946">
      <x:c r="A444" s="23"/>
      <x:c r="B444" s="23"/>
      <x:c r="C444" s="23"/>
      <x:c r="D444" s="23"/>
      <x:c r="E444" s="23"/>
      <x:c r="F444" s="23"/>
      <x:c r="G444" s="23"/>
    </x:row>
    <x:row r="445" spans="1:7" ht="13.19999999999999928946">
      <x:c r="A445" s="23"/>
      <x:c r="B445" s="23"/>
      <x:c r="C445" s="23"/>
      <x:c r="D445" s="23"/>
      <x:c r="E445" s="23"/>
      <x:c r="F445" s="23"/>
      <x:c r="G445" s="23"/>
    </x:row>
    <x:row r="446" spans="1:7" ht="13.19999999999999928946">
      <x:c r="A446" s="23"/>
      <x:c r="B446" s="23"/>
      <x:c r="C446" s="23"/>
      <x:c r="D446" s="23"/>
      <x:c r="E446" s="23"/>
      <x:c r="F446" s="23"/>
      <x:c r="G446" s="23"/>
    </x:row>
    <x:row r="447" spans="1:7" ht="13.19999999999999928946">
      <x:c r="A447" s="23"/>
      <x:c r="B447" s="23"/>
      <x:c r="C447" s="23"/>
      <x:c r="D447" s="23"/>
      <x:c r="E447" s="23"/>
      <x:c r="F447" s="23"/>
      <x:c r="G447" s="23"/>
    </x:row>
    <x:row r="448" spans="1:7" ht="13.19999999999999928946">
      <x:c r="A448" s="23"/>
      <x:c r="B448" s="23"/>
      <x:c r="C448" s="23"/>
      <x:c r="D448" s="23"/>
      <x:c r="E448" s="23"/>
      <x:c r="F448" s="23"/>
      <x:c r="G448" s="23"/>
    </x:row>
    <x:row r="449" spans="1:7" ht="13.19999999999999928946">
      <x:c r="A449" s="23"/>
      <x:c r="B449" s="23"/>
      <x:c r="C449" s="23"/>
      <x:c r="D449" s="23"/>
      <x:c r="E449" s="23"/>
      <x:c r="F449" s="23"/>
      <x:c r="G449" s="23"/>
    </x:row>
    <x:row r="450" spans="1:7" ht="13.19999999999999928946">
      <x:c r="A450" s="23"/>
      <x:c r="B450" s="23"/>
      <x:c r="C450" s="23"/>
      <x:c r="D450" s="23"/>
      <x:c r="E450" s="23"/>
      <x:c r="F450" s="23"/>
      <x:c r="G450" s="23"/>
    </x:row>
    <x:row r="451" spans="1:7" ht="13.19999999999999928946">
      <x:c r="A451" s="23"/>
      <x:c r="B451" s="23"/>
      <x:c r="C451" s="23"/>
      <x:c r="D451" s="23"/>
      <x:c r="E451" s="23"/>
      <x:c r="F451" s="23"/>
      <x:c r="G451" s="23"/>
    </x:row>
    <x:row r="452" spans="1:7" ht="13.19999999999999928946">
      <x:c r="A452" s="23"/>
      <x:c r="B452" s="23"/>
      <x:c r="C452" s="23"/>
      <x:c r="D452" s="23"/>
      <x:c r="E452" s="23"/>
      <x:c r="F452" s="23"/>
      <x:c r="G452" s="23"/>
    </x:row>
    <x:row r="453" spans="1:7" ht="13.19999999999999928946">
      <x:c r="A453" s="23"/>
      <x:c r="B453" s="23"/>
      <x:c r="C453" s="23"/>
      <x:c r="D453" s="23"/>
      <x:c r="E453" s="23"/>
      <x:c r="F453" s="23"/>
      <x:c r="G453" s="23"/>
    </x:row>
    <x:row r="454" spans="1:7" ht="13.19999999999999928946">
      <x:c r="A454" s="23"/>
      <x:c r="B454" s="23"/>
      <x:c r="C454" s="23"/>
      <x:c r="D454" s="23"/>
      <x:c r="E454" s="23"/>
      <x:c r="F454" s="23"/>
      <x:c r="G454" s="23"/>
    </x:row>
    <x:row r="455" spans="1:7" ht="13.19999999999999928946">
      <x:c r="A455" s="23"/>
      <x:c r="B455" s="23"/>
      <x:c r="C455" s="23"/>
      <x:c r="D455" s="23"/>
      <x:c r="E455" s="23"/>
      <x:c r="F455" s="23"/>
      <x:c r="G455" s="23"/>
    </x:row>
    <x:row r="456" spans="1:7" ht="13.19999999999999928946">
      <x:c r="A456" s="23"/>
      <x:c r="B456" s="23"/>
      <x:c r="C456" s="23"/>
      <x:c r="D456" s="23"/>
      <x:c r="E456" s="23"/>
      <x:c r="F456" s="23"/>
      <x:c r="G456" s="23"/>
    </x:row>
    <x:row r="457" spans="1:7" ht="13.19999999999999928946">
      <x:c r="A457" s="23"/>
      <x:c r="B457" s="23"/>
      <x:c r="C457" s="23"/>
      <x:c r="D457" s="23"/>
      <x:c r="E457" s="23"/>
      <x:c r="F457" s="23"/>
      <x:c r="G457" s="23"/>
    </x:row>
    <x:row r="458" spans="1:7" ht="13.19999999999999928946">
      <x:c r="A458" s="23"/>
      <x:c r="B458" s="23"/>
      <x:c r="C458" s="23"/>
      <x:c r="D458" s="23"/>
      <x:c r="E458" s="23"/>
      <x:c r="F458" s="23"/>
      <x:c r="G458" s="23"/>
    </x:row>
    <x:row r="459" spans="1:7" ht="13.19999999999999928946">
      <x:c r="A459" s="23"/>
      <x:c r="B459" s="23"/>
      <x:c r="C459" s="23"/>
      <x:c r="D459" s="23"/>
      <x:c r="E459" s="23"/>
      <x:c r="F459" s="23"/>
      <x:c r="G459" s="23"/>
    </x:row>
    <x:row r="460" spans="1:7" ht="13.19999999999999928946">
      <x:c r="A460" s="23"/>
      <x:c r="B460" s="23"/>
      <x:c r="C460" s="23"/>
      <x:c r="D460" s="23"/>
      <x:c r="E460" s="23"/>
      <x:c r="F460" s="23"/>
      <x:c r="G460" s="23"/>
    </x:row>
    <x:row r="461" spans="1:7" ht="13.19999999999999928946">
      <x:c r="A461" s="23"/>
      <x:c r="B461" s="23"/>
      <x:c r="C461" s="23"/>
      <x:c r="D461" s="23"/>
      <x:c r="E461" s="23"/>
      <x:c r="F461" s="23"/>
      <x:c r="G461" s="23"/>
    </x:row>
    <x:row r="462" spans="1:7" ht="13.19999999999999928946">
      <x:c r="A462" s="23"/>
      <x:c r="B462" s="23"/>
      <x:c r="C462" s="23"/>
      <x:c r="D462" s="23"/>
      <x:c r="E462" s="23"/>
      <x:c r="F462" s="23"/>
      <x:c r="G462" s="23"/>
    </x:row>
    <x:row r="463" spans="1:7" ht="13.19999999999999928946">
      <x:c r="A463" s="23"/>
      <x:c r="B463" s="23"/>
      <x:c r="C463" s="23"/>
      <x:c r="D463" s="23"/>
      <x:c r="E463" s="23"/>
      <x:c r="F463" s="23"/>
      <x:c r="G463" s="23"/>
    </x:row>
    <x:row r="464" spans="1:7" ht="13.19999999999999928946">
      <x:c r="A464" s="23"/>
      <x:c r="B464" s="23"/>
      <x:c r="C464" s="23"/>
      <x:c r="D464" s="23"/>
      <x:c r="E464" s="23"/>
      <x:c r="F464" s="23"/>
      <x:c r="G464" s="23"/>
    </x:row>
    <x:row r="465" spans="1:7" ht="13.19999999999999928946">
      <x:c r="A465" s="23"/>
      <x:c r="B465" s="23"/>
      <x:c r="C465" s="23"/>
      <x:c r="D465" s="23"/>
      <x:c r="E465" s="23"/>
      <x:c r="F465" s="23"/>
      <x:c r="G465" s="23"/>
    </x:row>
    <x:row r="466" spans="1:7" ht="13.19999999999999928946">
      <x:c r="A466" s="23"/>
      <x:c r="B466" s="23"/>
      <x:c r="C466" s="23"/>
      <x:c r="D466" s="23"/>
      <x:c r="E466" s="23"/>
      <x:c r="F466" s="23"/>
      <x:c r="G466" s="23"/>
    </x:row>
    <x:row r="467" spans="1:7" ht="13.19999999999999928946">
      <x:c r="A467" s="23"/>
      <x:c r="B467" s="23"/>
      <x:c r="C467" s="23"/>
      <x:c r="D467" s="23"/>
      <x:c r="E467" s="23"/>
      <x:c r="F467" s="23"/>
      <x:c r="G467" s="23"/>
    </x:row>
    <x:row r="468" spans="1:7" ht="13.19999999999999928946">
      <x:c r="A468" s="23"/>
      <x:c r="B468" s="23"/>
      <x:c r="C468" s="23"/>
      <x:c r="D468" s="23"/>
      <x:c r="E468" s="23"/>
      <x:c r="F468" s="23"/>
      <x:c r="G468" s="23"/>
    </x:row>
    <x:row r="469" spans="1:7" ht="13.19999999999999928946">
      <x:c r="A469" s="23"/>
      <x:c r="B469" s="23"/>
      <x:c r="C469" s="23"/>
      <x:c r="D469" s="23"/>
      <x:c r="E469" s="23"/>
      <x:c r="F469" s="23"/>
      <x:c r="G469" s="23"/>
    </x:row>
    <x:row r="470" spans="1:7" ht="13.19999999999999928946">
      <x:c r="A470" s="23"/>
      <x:c r="B470" s="23"/>
      <x:c r="C470" s="23"/>
      <x:c r="D470" s="23"/>
      <x:c r="E470" s="23"/>
      <x:c r="F470" s="23"/>
      <x:c r="G470" s="23"/>
    </x:row>
    <x:row r="471" spans="1:7" ht="13.19999999999999928946">
      <x:c r="A471" s="23"/>
      <x:c r="B471" s="23"/>
      <x:c r="C471" s="23"/>
      <x:c r="D471" s="23"/>
      <x:c r="E471" s="23"/>
      <x:c r="F471" s="23"/>
      <x:c r="G471" s="23"/>
    </x:row>
    <x:row r="472" spans="1:7" ht="13.19999999999999928946">
      <x:c r="A472" s="23"/>
      <x:c r="B472" s="23"/>
      <x:c r="C472" s="23"/>
      <x:c r="D472" s="23"/>
      <x:c r="E472" s="23"/>
      <x:c r="F472" s="23"/>
      <x:c r="G472" s="23"/>
    </x:row>
    <x:row r="473" spans="1:7" ht="13.19999999999999928946">
      <x:c r="A473" s="23"/>
      <x:c r="B473" s="23"/>
      <x:c r="C473" s="23"/>
      <x:c r="D473" s="23"/>
      <x:c r="E473" s="23"/>
      <x:c r="F473" s="23"/>
      <x:c r="G473" s="23"/>
    </x:row>
    <x:row r="474" spans="1:7" ht="13.19999999999999928946">
      <x:c r="A474" s="23"/>
      <x:c r="B474" s="23"/>
      <x:c r="C474" s="23"/>
      <x:c r="D474" s="23"/>
      <x:c r="E474" s="23"/>
      <x:c r="F474" s="23"/>
      <x:c r="G474" s="23"/>
    </x:row>
    <x:row r="475" spans="1:7" ht="13.19999999999999928946">
      <x:c r="A475" s="23"/>
      <x:c r="B475" s="23"/>
      <x:c r="C475" s="23"/>
      <x:c r="D475" s="23"/>
      <x:c r="E475" s="23"/>
      <x:c r="F475" s="23"/>
      <x:c r="G475" s="23"/>
    </x:row>
    <x:row r="476" spans="1:7" ht="13.19999999999999928946">
      <x:c r="A476" s="23"/>
      <x:c r="B476" s="23"/>
      <x:c r="C476" s="23"/>
      <x:c r="D476" s="23"/>
      <x:c r="E476" s="23"/>
      <x:c r="F476" s="23"/>
      <x:c r="G476" s="23"/>
    </x:row>
    <x:row r="477" spans="1:7" ht="13.19999999999999928946">
      <x:c r="A477" s="23"/>
      <x:c r="B477" s="23"/>
      <x:c r="C477" s="23"/>
      <x:c r="D477" s="23"/>
      <x:c r="E477" s="23"/>
      <x:c r="F477" s="23"/>
      <x:c r="G477" s="23"/>
    </x:row>
    <x:row r="478" spans="1:7" ht="13.19999999999999928946">
      <x:c r="A478" s="23"/>
      <x:c r="B478" s="23"/>
      <x:c r="C478" s="23"/>
      <x:c r="D478" s="23"/>
      <x:c r="E478" s="23"/>
      <x:c r="F478" s="23"/>
      <x:c r="G478" s="23"/>
    </x:row>
    <x:row r="479" spans="1:7" ht="13.19999999999999928946">
      <x:c r="A479" s="23"/>
      <x:c r="B479" s="23"/>
      <x:c r="C479" s="23"/>
      <x:c r="D479" s="23"/>
      <x:c r="E479" s="23"/>
      <x:c r="F479" s="23"/>
      <x:c r="G479" s="23"/>
    </x:row>
    <x:row r="480" spans="1:7" ht="13.19999999999999928946">
      <x:c r="A480" s="23"/>
      <x:c r="B480" s="23"/>
      <x:c r="C480" s="23"/>
      <x:c r="D480" s="23"/>
      <x:c r="E480" s="23"/>
      <x:c r="F480" s="23"/>
      <x:c r="G480" s="23"/>
    </x:row>
    <x:row r="481" spans="1:7" ht="13.19999999999999928946">
      <x:c r="A481" s="23"/>
      <x:c r="B481" s="23"/>
      <x:c r="C481" s="23"/>
      <x:c r="D481" s="23"/>
      <x:c r="E481" s="23"/>
      <x:c r="F481" s="23"/>
      <x:c r="G481" s="23"/>
    </x:row>
    <x:row r="482" spans="1:7" ht="13.19999999999999928946">
      <x:c r="A482" s="23"/>
      <x:c r="B482" s="23"/>
      <x:c r="C482" s="23"/>
      <x:c r="D482" s="23"/>
      <x:c r="E482" s="23"/>
      <x:c r="F482" s="23"/>
      <x:c r="G482" s="23"/>
    </x:row>
    <x:row r="483" spans="1:7" ht="13.19999999999999928946">
      <x:c r="A483" s="23"/>
      <x:c r="B483" s="23"/>
      <x:c r="C483" s="23"/>
      <x:c r="D483" s="23"/>
      <x:c r="E483" s="23"/>
      <x:c r="F483" s="23"/>
      <x:c r="G483" s="23"/>
    </x:row>
    <x:row r="484" spans="1:7" ht="13.19999999999999928946">
      <x:c r="A484" s="23"/>
      <x:c r="B484" s="23"/>
      <x:c r="C484" s="23"/>
      <x:c r="D484" s="23"/>
      <x:c r="E484" s="23"/>
      <x:c r="F484" s="23"/>
      <x:c r="G484" s="23"/>
    </x:row>
    <x:row r="485" spans="1:7" ht="13.19999999999999928946">
      <x:c r="A485" s="23"/>
      <x:c r="B485" s="23"/>
      <x:c r="C485" s="23"/>
      <x:c r="D485" s="23"/>
      <x:c r="E485" s="23"/>
      <x:c r="F485" s="23"/>
      <x:c r="G485" s="23"/>
    </x:row>
    <x:row r="486" spans="1:7" ht="13.19999999999999928946">
      <x:c r="A486" s="23"/>
      <x:c r="B486" s="23"/>
      <x:c r="C486" s="23"/>
      <x:c r="D486" s="23"/>
      <x:c r="E486" s="23"/>
      <x:c r="F486" s="23"/>
      <x:c r="G486" s="23"/>
    </x:row>
    <x:row r="487" spans="1:7" ht="13.19999999999999928946">
      <x:c r="A487" s="23"/>
      <x:c r="B487" s="23"/>
      <x:c r="C487" s="23"/>
      <x:c r="D487" s="23"/>
      <x:c r="E487" s="23"/>
      <x:c r="F487" s="23"/>
      <x:c r="G487" s="23"/>
    </x:row>
    <x:row r="488" spans="1:7" ht="13.19999999999999928946">
      <x:c r="A488" s="23"/>
      <x:c r="B488" s="23"/>
      <x:c r="C488" s="23"/>
      <x:c r="D488" s="23"/>
      <x:c r="E488" s="23"/>
      <x:c r="F488" s="23"/>
      <x:c r="G488" s="23"/>
    </x:row>
    <x:row r="489" spans="1:7" ht="13.19999999999999928946">
      <x:c r="A489" s="23"/>
      <x:c r="B489" s="23"/>
      <x:c r="C489" s="23"/>
      <x:c r="D489" s="23"/>
      <x:c r="E489" s="23"/>
      <x:c r="F489" s="23"/>
      <x:c r="G489" s="23"/>
    </x:row>
    <x:row r="490" spans="1:7" ht="13.19999999999999928946">
      <x:c r="A490" s="23"/>
      <x:c r="B490" s="23"/>
      <x:c r="C490" s="23"/>
      <x:c r="D490" s="23"/>
      <x:c r="E490" s="23"/>
      <x:c r="F490" s="23"/>
      <x:c r="G490" s="23"/>
    </x:row>
    <x:row r="491" spans="1:7" ht="13.19999999999999928946">
      <x:c r="A491" s="23"/>
      <x:c r="B491" s="23"/>
      <x:c r="C491" s="23"/>
      <x:c r="D491" s="23"/>
      <x:c r="E491" s="23"/>
      <x:c r="F491" s="23"/>
      <x:c r="G491" s="23"/>
    </x:row>
    <x:row r="492" spans="1:7" ht="13.19999999999999928946">
      <x:c r="A492" s="23"/>
      <x:c r="B492" s="23"/>
      <x:c r="C492" s="23"/>
      <x:c r="D492" s="23"/>
      <x:c r="E492" s="23"/>
      <x:c r="F492" s="23"/>
      <x:c r="G492" s="23"/>
    </x:row>
    <x:row r="493" spans="1:7" ht="13.19999999999999928946">
      <x:c r="A493" s="23"/>
      <x:c r="B493" s="23"/>
      <x:c r="C493" s="23"/>
      <x:c r="D493" s="23"/>
      <x:c r="E493" s="23"/>
      <x:c r="F493" s="23"/>
      <x:c r="G493" s="23"/>
    </x:row>
    <x:row r="494" spans="1:7" ht="13.19999999999999928946">
      <x:c r="A494" s="23"/>
      <x:c r="B494" s="23"/>
      <x:c r="C494" s="23"/>
      <x:c r="D494" s="23"/>
      <x:c r="E494" s="23"/>
      <x:c r="F494" s="23"/>
      <x:c r="G494" s="23"/>
    </x:row>
    <x:row r="495" spans="1:7" ht="13.19999999999999928946">
      <x:c r="A495" s="23"/>
      <x:c r="B495" s="23"/>
      <x:c r="C495" s="23"/>
      <x:c r="D495" s="23"/>
      <x:c r="E495" s="23"/>
      <x:c r="F495" s="23"/>
      <x:c r="G495" s="23"/>
    </x:row>
    <x:row r="496" spans="1:7" ht="13.19999999999999928946">
      <x:c r="A496" s="23"/>
      <x:c r="B496" s="23"/>
      <x:c r="C496" s="23"/>
      <x:c r="D496" s="23"/>
      <x:c r="E496" s="23"/>
      <x:c r="F496" s="23"/>
      <x:c r="G496" s="23"/>
    </x:row>
    <x:row r="497" spans="1:7" ht="13.19999999999999928946">
      <x:c r="A497" s="23"/>
      <x:c r="B497" s="23"/>
      <x:c r="C497" s="23"/>
      <x:c r="D497" s="23"/>
      <x:c r="E497" s="23"/>
      <x:c r="F497" s="23"/>
      <x:c r="G497" s="23"/>
    </x:row>
    <x:row r="498" spans="1:7" ht="13.19999999999999928946">
      <x:c r="A498" s="23"/>
      <x:c r="B498" s="23"/>
      <x:c r="C498" s="23"/>
      <x:c r="D498" s="23"/>
      <x:c r="E498" s="23"/>
      <x:c r="F498" s="23"/>
      <x:c r="G498" s="23"/>
    </x:row>
    <x:row r="499" spans="1:7" ht="13.19999999999999928946">
      <x:c r="A499" s="23"/>
      <x:c r="B499" s="23"/>
      <x:c r="C499" s="23"/>
      <x:c r="D499" s="23"/>
      <x:c r="E499" s="23"/>
      <x:c r="F499" s="23"/>
      <x:c r="G499" s="23"/>
    </x:row>
    <x:row r="500" spans="1:7" ht="13.19999999999999928946">
      <x:c r="A500" s="23"/>
      <x:c r="B500" s="23"/>
      <x:c r="C500" s="23"/>
      <x:c r="D500" s="23"/>
      <x:c r="E500" s="23"/>
      <x:c r="F500" s="23"/>
      <x:c r="G500" s="23"/>
    </x:row>
    <x:row r="501" spans="1:7" ht="13.19999999999999928946">
      <x:c r="A501" s="23"/>
      <x:c r="B501" s="23"/>
      <x:c r="C501" s="23"/>
      <x:c r="D501" s="23"/>
      <x:c r="E501" s="23"/>
      <x:c r="F501" s="23"/>
      <x:c r="G501" s="23"/>
    </x:row>
    <x:row r="502" spans="1:7" ht="13.19999999999999928946">
      <x:c r="A502" s="23"/>
      <x:c r="B502" s="23"/>
      <x:c r="C502" s="23"/>
      <x:c r="D502" s="23"/>
      <x:c r="E502" s="23"/>
      <x:c r="F502" s="23"/>
      <x:c r="G502" s="23"/>
    </x:row>
    <x:row r="503" spans="1:7" ht="13.19999999999999928946">
      <x:c r="A503" s="23"/>
      <x:c r="B503" s="23"/>
      <x:c r="C503" s="23"/>
      <x:c r="D503" s="23"/>
      <x:c r="E503" s="23"/>
      <x:c r="F503" s="23"/>
      <x:c r="G503" s="23"/>
    </x:row>
    <x:row r="504" spans="1:7" ht="13.19999999999999928946">
      <x:c r="A504" s="23"/>
      <x:c r="B504" s="23"/>
      <x:c r="C504" s="23"/>
      <x:c r="D504" s="23"/>
      <x:c r="E504" s="23"/>
      <x:c r="F504" s="23"/>
      <x:c r="G504" s="23"/>
    </x:row>
    <x:row r="505" spans="1:7" ht="13.19999999999999928946">
      <x:c r="A505" s="23"/>
      <x:c r="B505" s="23"/>
      <x:c r="C505" s="23"/>
      <x:c r="D505" s="23"/>
      <x:c r="E505" s="23"/>
      <x:c r="F505" s="23"/>
      <x:c r="G505" s="23"/>
    </x:row>
    <x:row r="506" spans="1:7" ht="13.19999999999999928946">
      <x:c r="A506" s="23"/>
      <x:c r="B506" s="23"/>
      <x:c r="C506" s="23"/>
      <x:c r="D506" s="23"/>
      <x:c r="E506" s="23"/>
      <x:c r="F506" s="23"/>
      <x:c r="G506" s="23"/>
    </x:row>
    <x:row r="507" spans="1:7" ht="13.19999999999999928946">
      <x:c r="A507" s="23"/>
      <x:c r="B507" s="23"/>
      <x:c r="C507" s="23"/>
      <x:c r="D507" s="23"/>
      <x:c r="E507" s="23"/>
      <x:c r="F507" s="23"/>
      <x:c r="G507" s="23"/>
    </x:row>
    <x:row r="508" spans="1:7" ht="13.19999999999999928946">
      <x:c r="A508" s="23"/>
      <x:c r="B508" s="23"/>
      <x:c r="C508" s="23"/>
      <x:c r="D508" s="23"/>
      <x:c r="E508" s="23"/>
      <x:c r="F508" s="23"/>
      <x:c r="G508" s="23"/>
    </x:row>
    <x:row r="509" spans="1:7" ht="13.19999999999999928946">
      <x:c r="A509" s="23"/>
      <x:c r="B509" s="23"/>
      <x:c r="C509" s="23"/>
      <x:c r="D509" s="23"/>
      <x:c r="E509" s="23"/>
      <x:c r="F509" s="23"/>
      <x:c r="G509" s="23"/>
    </x:row>
    <x:row r="510" spans="1:7" ht="13.19999999999999928946">
      <x:c r="A510" s="23"/>
      <x:c r="B510" s="23"/>
      <x:c r="C510" s="23"/>
      <x:c r="D510" s="23"/>
      <x:c r="E510" s="23"/>
      <x:c r="F510" s="23"/>
      <x:c r="G510" s="23"/>
    </x:row>
    <x:row r="511" spans="1:7" ht="13.19999999999999928946">
      <x:c r="A511" s="23"/>
      <x:c r="B511" s="23"/>
      <x:c r="C511" s="23"/>
      <x:c r="D511" s="23"/>
      <x:c r="E511" s="23"/>
      <x:c r="F511" s="23"/>
      <x:c r="G511" s="23"/>
    </x:row>
    <x:row r="512" spans="1:7" ht="13.19999999999999928946">
      <x:c r="A512" s="23"/>
      <x:c r="B512" s="23"/>
      <x:c r="C512" s="23"/>
      <x:c r="D512" s="23"/>
      <x:c r="E512" s="23"/>
      <x:c r="F512" s="23"/>
      <x:c r="G512" s="23"/>
    </x:row>
    <x:row r="513" spans="1:7" ht="13.19999999999999928946">
      <x:c r="A513" s="23"/>
      <x:c r="B513" s="23"/>
      <x:c r="C513" s="23"/>
      <x:c r="D513" s="23"/>
      <x:c r="E513" s="23"/>
      <x:c r="F513" s="23"/>
      <x:c r="G513" s="23"/>
    </x:row>
    <x:row r="514" spans="1:7" ht="13.19999999999999928946">
      <x:c r="A514" s="23"/>
      <x:c r="B514" s="23"/>
      <x:c r="C514" s="23"/>
      <x:c r="D514" s="23"/>
      <x:c r="E514" s="23"/>
      <x:c r="F514" s="23"/>
      <x:c r="G514" s="23"/>
    </x:row>
    <x:row r="515" spans="1:7" ht="13.19999999999999928946">
      <x:c r="A515" s="23"/>
      <x:c r="B515" s="23"/>
      <x:c r="C515" s="23"/>
      <x:c r="D515" s="23"/>
      <x:c r="E515" s="23"/>
      <x:c r="F515" s="23"/>
      <x:c r="G515" s="23"/>
    </x:row>
    <x:row r="516" spans="1:7" ht="13.19999999999999928946">
      <x:c r="A516" s="23"/>
      <x:c r="B516" s="23"/>
      <x:c r="C516" s="23"/>
      <x:c r="D516" s="23"/>
      <x:c r="E516" s="23"/>
      <x:c r="F516" s="23"/>
      <x:c r="G516" s="23"/>
    </x:row>
    <x:row r="517" spans="1:7" ht="13.19999999999999928946">
      <x:c r="A517" s="23"/>
      <x:c r="B517" s="23"/>
      <x:c r="C517" s="23"/>
      <x:c r="D517" s="23"/>
      <x:c r="E517" s="23"/>
      <x:c r="F517" s="23"/>
      <x:c r="G517" s="23"/>
    </x:row>
    <x:row r="518" spans="1:7" ht="13.19999999999999928946">
      <x:c r="A518" s="23"/>
      <x:c r="B518" s="23"/>
      <x:c r="C518" s="23"/>
      <x:c r="D518" s="23"/>
      <x:c r="E518" s="23"/>
      <x:c r="F518" s="23"/>
      <x:c r="G518" s="23"/>
    </x:row>
    <x:row r="519" spans="1:7" ht="13.19999999999999928946">
      <x:c r="A519" s="23"/>
      <x:c r="B519" s="23"/>
      <x:c r="C519" s="23"/>
      <x:c r="D519" s="23"/>
      <x:c r="E519" s="23"/>
      <x:c r="F519" s="23"/>
      <x:c r="G519" s="23"/>
    </x:row>
    <x:row r="520" spans="1:7" ht="13.19999999999999928946">
      <x:c r="A520" s="23"/>
      <x:c r="B520" s="23"/>
      <x:c r="C520" s="23"/>
      <x:c r="D520" s="23"/>
      <x:c r="E520" s="23"/>
      <x:c r="F520" s="23"/>
      <x:c r="G520" s="23"/>
    </x:row>
    <x:row r="521" spans="1:7" ht="13.19999999999999928946">
      <x:c r="A521" s="23"/>
      <x:c r="B521" s="23"/>
      <x:c r="C521" s="23"/>
      <x:c r="D521" s="23"/>
      <x:c r="E521" s="23"/>
      <x:c r="F521" s="23"/>
      <x:c r="G521" s="23"/>
    </x:row>
    <x:row r="522" spans="1:7" ht="13.19999999999999928946">
      <x:c r="A522" s="23"/>
      <x:c r="B522" s="23"/>
      <x:c r="C522" s="23"/>
      <x:c r="D522" s="23"/>
      <x:c r="E522" s="23"/>
      <x:c r="F522" s="23"/>
      <x:c r="G522" s="23"/>
    </x:row>
    <x:row r="523" spans="1:7" ht="13.19999999999999928946">
      <x:c r="A523" s="23"/>
      <x:c r="B523" s="23"/>
      <x:c r="C523" s="23"/>
      <x:c r="D523" s="23"/>
      <x:c r="E523" s="23"/>
      <x:c r="F523" s="23"/>
      <x:c r="G523" s="23"/>
    </x:row>
    <x:row r="524" spans="1:7" ht="13.19999999999999928946">
      <x:c r="A524" s="23"/>
      <x:c r="B524" s="23"/>
      <x:c r="C524" s="23"/>
      <x:c r="D524" s="23"/>
      <x:c r="E524" s="23"/>
      <x:c r="F524" s="23"/>
      <x:c r="G524" s="23"/>
    </x:row>
    <x:row r="525" spans="1:7" ht="13.19999999999999928946">
      <x:c r="A525" s="23"/>
      <x:c r="B525" s="23"/>
      <x:c r="C525" s="23"/>
      <x:c r="D525" s="23"/>
      <x:c r="E525" s="23"/>
      <x:c r="F525" s="23"/>
      <x:c r="G525" s="23"/>
    </x:row>
    <x:row r="526" spans="1:7" ht="13.19999999999999928946">
      <x:c r="A526" s="23"/>
      <x:c r="B526" s="23"/>
      <x:c r="C526" s="23"/>
      <x:c r="D526" s="23"/>
      <x:c r="E526" s="23"/>
      <x:c r="F526" s="23"/>
      <x:c r="G526" s="23"/>
    </x:row>
    <x:row r="527" spans="1:7" ht="13.19999999999999928946">
      <x:c r="A527" s="23"/>
      <x:c r="B527" s="23"/>
      <x:c r="C527" s="23"/>
      <x:c r="D527" s="23"/>
      <x:c r="E527" s="23"/>
      <x:c r="F527" s="23"/>
      <x:c r="G527" s="23"/>
    </x:row>
    <x:row r="528" spans="1:7" ht="13.19999999999999928946">
      <x:c r="A528" s="23"/>
      <x:c r="B528" s="23"/>
      <x:c r="C528" s="23"/>
      <x:c r="D528" s="23"/>
      <x:c r="E528" s="23"/>
      <x:c r="F528" s="23"/>
      <x:c r="G528" s="23"/>
    </x:row>
    <x:row r="529" spans="1:7" ht="13.19999999999999928946">
      <x:c r="A529" s="23"/>
      <x:c r="B529" s="23"/>
      <x:c r="C529" s="23"/>
      <x:c r="D529" s="23"/>
      <x:c r="E529" s="23"/>
      <x:c r="F529" s="23"/>
      <x:c r="G529" s="23"/>
    </x:row>
    <x:row r="530" spans="1:7" ht="13.19999999999999928946">
      <x:c r="A530" s="23"/>
      <x:c r="B530" s="23"/>
      <x:c r="C530" s="23"/>
      <x:c r="D530" s="23"/>
      <x:c r="E530" s="23"/>
      <x:c r="F530" s="23"/>
      <x:c r="G530" s="23"/>
    </x:row>
    <x:row r="531" spans="1:7" ht="13.19999999999999928946">
      <x:c r="A531" s="23"/>
      <x:c r="B531" s="23"/>
      <x:c r="C531" s="23"/>
      <x:c r="D531" s="23"/>
      <x:c r="E531" s="23"/>
      <x:c r="F531" s="23"/>
      <x:c r="G531" s="23"/>
    </x:row>
    <x:row r="532" spans="1:7" ht="13.19999999999999928946">
      <x:c r="A532" s="23"/>
      <x:c r="B532" s="23"/>
      <x:c r="C532" s="23"/>
      <x:c r="D532" s="23"/>
      <x:c r="E532" s="23"/>
      <x:c r="F532" s="23"/>
      <x:c r="G532" s="23"/>
    </x:row>
    <x:row r="533" spans="1:7" ht="13.19999999999999928946">
      <x:c r="A533" s="23"/>
      <x:c r="B533" s="23"/>
      <x:c r="C533" s="23"/>
      <x:c r="D533" s="23"/>
      <x:c r="E533" s="23"/>
      <x:c r="F533" s="23"/>
      <x:c r="G533" s="23"/>
    </x:row>
    <x:row r="534" spans="1:7" ht="13.19999999999999928946">
      <x:c r="A534" s="23"/>
      <x:c r="B534" s="23"/>
      <x:c r="C534" s="23"/>
      <x:c r="D534" s="23"/>
      <x:c r="E534" s="23"/>
      <x:c r="F534" s="23"/>
      <x:c r="G534" s="23"/>
    </x:row>
    <x:row r="535" spans="1:7" ht="13.19999999999999928946">
      <x:c r="A535" s="23"/>
      <x:c r="B535" s="23"/>
      <x:c r="C535" s="23"/>
      <x:c r="D535" s="23"/>
      <x:c r="E535" s="23"/>
      <x:c r="F535" s="23"/>
      <x:c r="G535" s="23"/>
    </x:row>
    <x:row r="536" spans="1:7" ht="13.19999999999999928946">
      <x:c r="A536" s="23"/>
      <x:c r="B536" s="23"/>
      <x:c r="C536" s="23"/>
      <x:c r="D536" s="23"/>
      <x:c r="E536" s="23"/>
      <x:c r="F536" s="23"/>
      <x:c r="G536" s="23"/>
    </x:row>
    <x:row r="537" spans="1:7" ht="13.19999999999999928946">
      <x:c r="A537" s="23"/>
      <x:c r="B537" s="23"/>
      <x:c r="C537" s="23"/>
      <x:c r="D537" s="23"/>
      <x:c r="E537" s="23"/>
      <x:c r="F537" s="23"/>
      <x:c r="G537" s="23"/>
    </x:row>
    <x:row r="538" spans="1:7" ht="13.19999999999999928946">
      <x:c r="A538" s="23"/>
      <x:c r="B538" s="23"/>
      <x:c r="C538" s="23"/>
      <x:c r="D538" s="23"/>
      <x:c r="E538" s="23"/>
      <x:c r="F538" s="23"/>
      <x:c r="G538" s="23"/>
    </x:row>
    <x:row r="539" spans="1:7" ht="13.19999999999999928946">
      <x:c r="A539" s="23"/>
      <x:c r="B539" s="23"/>
      <x:c r="C539" s="23"/>
      <x:c r="D539" s="23"/>
      <x:c r="E539" s="23"/>
      <x:c r="F539" s="23"/>
      <x:c r="G539" s="23"/>
    </x:row>
    <x:row r="540" spans="1:7" ht="13.19999999999999928946">
      <x:c r="A540" s="23"/>
      <x:c r="B540" s="23"/>
      <x:c r="C540" s="23"/>
      <x:c r="D540" s="23"/>
      <x:c r="E540" s="23"/>
      <x:c r="F540" s="23"/>
      <x:c r="G540" s="23"/>
    </x:row>
    <x:row r="541" spans="1:7" ht="13.19999999999999928946">
      <x:c r="A541" s="23"/>
      <x:c r="B541" s="23"/>
      <x:c r="C541" s="23"/>
      <x:c r="D541" s="23"/>
      <x:c r="E541" s="23"/>
      <x:c r="F541" s="23"/>
      <x:c r="G541" s="23"/>
    </x:row>
    <x:row r="542" spans="1:7" ht="13.19999999999999928946">
      <x:c r="A542" s="23"/>
      <x:c r="B542" s="23"/>
      <x:c r="C542" s="23"/>
      <x:c r="D542" s="23"/>
      <x:c r="E542" s="23"/>
      <x:c r="F542" s="23"/>
      <x:c r="G542" s="23"/>
    </x:row>
    <x:row r="543" spans="1:7" ht="13.19999999999999928946">
      <x:c r="A543" s="23"/>
      <x:c r="B543" s="23"/>
      <x:c r="C543" s="23"/>
      <x:c r="D543" s="23"/>
      <x:c r="E543" s="23"/>
      <x:c r="F543" s="23"/>
      <x:c r="G543" s="23"/>
    </x:row>
    <x:row r="544" spans="1:7" ht="13.19999999999999928946">
      <x:c r="A544" s="23"/>
      <x:c r="B544" s="23"/>
      <x:c r="C544" s="23"/>
      <x:c r="D544" s="23"/>
      <x:c r="E544" s="23"/>
      <x:c r="F544" s="23"/>
      <x:c r="G544" s="23"/>
    </x:row>
    <x:row r="545" spans="1:7" ht="13.19999999999999928946">
      <x:c r="A545" s="23"/>
      <x:c r="B545" s="23"/>
      <x:c r="C545" s="23"/>
      <x:c r="D545" s="23"/>
      <x:c r="E545" s="23"/>
      <x:c r="F545" s="23"/>
      <x:c r="G545" s="23"/>
    </x:row>
    <x:row r="546" spans="1:7" ht="13.19999999999999928946">
      <x:c r="A546" s="23"/>
      <x:c r="B546" s="23"/>
      <x:c r="C546" s="23"/>
      <x:c r="D546" s="23"/>
      <x:c r="E546" s="23"/>
      <x:c r="F546" s="23"/>
      <x:c r="G546" s="23"/>
    </x:row>
    <x:row r="547" spans="1:7" ht="13.19999999999999928946">
      <x:c r="A547" s="23"/>
      <x:c r="B547" s="23"/>
      <x:c r="C547" s="23"/>
      <x:c r="D547" s="23"/>
      <x:c r="E547" s="23"/>
      <x:c r="F547" s="23"/>
      <x:c r="G547" s="23"/>
    </x:row>
    <x:row r="548" spans="1:7" ht="13.19999999999999928946">
      <x:c r="A548" s="23"/>
      <x:c r="B548" s="23"/>
      <x:c r="C548" s="23"/>
      <x:c r="D548" s="23"/>
      <x:c r="E548" s="23"/>
      <x:c r="F548" s="23"/>
      <x:c r="G548" s="23"/>
    </x:row>
    <x:row r="549" spans="1:7" ht="13.19999999999999928946">
      <x:c r="A549" s="23"/>
      <x:c r="B549" s="23"/>
      <x:c r="C549" s="23"/>
      <x:c r="D549" s="23"/>
      <x:c r="E549" s="23"/>
      <x:c r="F549" s="23"/>
      <x:c r="G549" s="23"/>
    </x:row>
    <x:row r="550" spans="1:7" ht="13.19999999999999928946">
      <x:c r="A550" s="23"/>
      <x:c r="B550" s="23"/>
      <x:c r="C550" s="23"/>
      <x:c r="D550" s="23"/>
      <x:c r="E550" s="23"/>
      <x:c r="F550" s="23"/>
      <x:c r="G550" s="23"/>
    </x:row>
    <x:row r="551" spans="1:7" ht="13.19999999999999928946">
      <x:c r="A551" s="23"/>
      <x:c r="B551" s="23"/>
      <x:c r="C551" s="23"/>
      <x:c r="D551" s="23"/>
      <x:c r="E551" s="23"/>
      <x:c r="F551" s="23"/>
      <x:c r="G551" s="23"/>
    </x:row>
    <x:row r="552" spans="1:7" ht="13.19999999999999928946">
      <x:c r="A552" s="23"/>
      <x:c r="B552" s="23"/>
      <x:c r="C552" s="23"/>
      <x:c r="D552" s="23"/>
      <x:c r="E552" s="23"/>
      <x:c r="F552" s="23"/>
      <x:c r="G552" s="23"/>
    </x:row>
    <x:row r="553" spans="1:7" ht="13.19999999999999928946">
      <x:c r="A553" s="23"/>
      <x:c r="B553" s="23"/>
      <x:c r="C553" s="23"/>
      <x:c r="D553" s="23"/>
      <x:c r="E553" s="23"/>
      <x:c r="F553" s="23"/>
      <x:c r="G553" s="23"/>
    </x:row>
    <x:row r="554" spans="1:7" ht="13.19999999999999928946">
      <x:c r="A554" s="23"/>
      <x:c r="B554" s="23"/>
      <x:c r="C554" s="23"/>
      <x:c r="D554" s="23"/>
      <x:c r="E554" s="23"/>
      <x:c r="F554" s="23"/>
      <x:c r="G554" s="23"/>
    </x:row>
    <x:row r="555" spans="1:7" ht="13.19999999999999928946">
      <x:c r="A555" s="23"/>
      <x:c r="B555" s="23"/>
      <x:c r="C555" s="23"/>
      <x:c r="D555" s="23"/>
      <x:c r="E555" s="23"/>
      <x:c r="F555" s="23"/>
      <x:c r="G555" s="23"/>
    </x:row>
    <x:row r="556" spans="1:7" ht="13.19999999999999928946">
      <x:c r="A556" s="23"/>
      <x:c r="B556" s="23"/>
      <x:c r="C556" s="23"/>
      <x:c r="D556" s="23"/>
      <x:c r="E556" s="23"/>
      <x:c r="F556" s="23"/>
      <x:c r="G556" s="23"/>
    </x:row>
    <x:row r="557" spans="1:7" ht="13.19999999999999928946">
      <x:c r="A557" s="23"/>
      <x:c r="B557" s="23"/>
      <x:c r="C557" s="23"/>
      <x:c r="D557" s="23"/>
      <x:c r="E557" s="23"/>
      <x:c r="F557" s="23"/>
      <x:c r="G557" s="23"/>
    </x:row>
    <x:row r="558" spans="1:7" ht="13.19999999999999928946">
      <x:c r="A558" s="23"/>
      <x:c r="B558" s="23"/>
      <x:c r="C558" s="23"/>
      <x:c r="D558" s="23"/>
      <x:c r="E558" s="23"/>
      <x:c r="F558" s="23"/>
      <x:c r="G558" s="23"/>
    </x:row>
    <x:row r="559" spans="1:7" ht="13.19999999999999928946">
      <x:c r="A559" s="23"/>
      <x:c r="B559" s="23"/>
      <x:c r="C559" s="23"/>
      <x:c r="D559" s="23"/>
      <x:c r="E559" s="23"/>
      <x:c r="F559" s="23"/>
      <x:c r="G559" s="23"/>
    </x:row>
    <x:row r="560" spans="1:7" ht="13.19999999999999928946">
      <x:c r="A560" s="23"/>
      <x:c r="B560" s="23"/>
      <x:c r="C560" s="23"/>
      <x:c r="D560" s="23"/>
      <x:c r="E560" s="23"/>
      <x:c r="F560" s="23"/>
      <x:c r="G560" s="23"/>
    </x:row>
    <x:row r="561" spans="1:7" ht="13.19999999999999928946">
      <x:c r="A561" s="23"/>
      <x:c r="B561" s="23"/>
      <x:c r="C561" s="23"/>
      <x:c r="D561" s="23"/>
      <x:c r="E561" s="23"/>
      <x:c r="F561" s="23"/>
      <x:c r="G561" s="23"/>
    </x:row>
    <x:row r="562" spans="1:7" ht="13.19999999999999928946">
      <x:c r="A562" s="23"/>
      <x:c r="B562" s="23"/>
      <x:c r="C562" s="23"/>
      <x:c r="D562" s="23"/>
      <x:c r="E562" s="23"/>
      <x:c r="F562" s="23"/>
      <x:c r="G562" s="23"/>
    </x:row>
    <x:row r="563" spans="1:7" ht="13.19999999999999928946">
      <x:c r="A563" s="23"/>
      <x:c r="B563" s="23"/>
      <x:c r="C563" s="23"/>
      <x:c r="D563" s="23"/>
      <x:c r="E563" s="23"/>
      <x:c r="F563" s="23"/>
      <x:c r="G563" s="23"/>
    </x:row>
    <x:row r="564" spans="1:7" ht="13.19999999999999928946">
      <x:c r="A564" s="23"/>
      <x:c r="B564" s="23"/>
      <x:c r="C564" s="23"/>
      <x:c r="D564" s="23"/>
      <x:c r="E564" s="23"/>
      <x:c r="F564" s="23"/>
      <x:c r="G564" s="23"/>
    </x:row>
    <x:row r="565" spans="1:7" ht="13.19999999999999928946">
      <x:c r="A565" s="23"/>
      <x:c r="B565" s="23"/>
      <x:c r="C565" s="23"/>
      <x:c r="D565" s="23"/>
      <x:c r="E565" s="23"/>
      <x:c r="F565" s="23"/>
      <x:c r="G565" s="23"/>
    </x:row>
    <x:row r="566" spans="1:7" ht="13.19999999999999928946">
      <x:c r="A566" s="23"/>
      <x:c r="B566" s="23"/>
      <x:c r="C566" s="23"/>
      <x:c r="D566" s="23"/>
      <x:c r="E566" s="23"/>
      <x:c r="F566" s="23"/>
      <x:c r="G566" s="23"/>
    </x:row>
    <x:row r="567" spans="1:7" ht="13.19999999999999928946">
      <x:c r="A567" s="23"/>
      <x:c r="B567" s="23"/>
      <x:c r="C567" s="23"/>
      <x:c r="D567" s="23"/>
      <x:c r="E567" s="23"/>
      <x:c r="F567" s="23"/>
      <x:c r="G567" s="23"/>
    </x:row>
    <x:row r="568" spans="1:7" ht="13.19999999999999928946">
      <x:c r="A568" s="23"/>
      <x:c r="B568" s="23"/>
      <x:c r="C568" s="23"/>
      <x:c r="D568" s="23"/>
      <x:c r="E568" s="23"/>
      <x:c r="F568" s="23"/>
      <x:c r="G568" s="23"/>
    </x:row>
    <x:row r="569" spans="1:7" ht="13.19999999999999928946">
      <x:c r="A569" s="23"/>
      <x:c r="B569" s="23"/>
      <x:c r="C569" s="23"/>
      <x:c r="D569" s="23"/>
      <x:c r="E569" s="23"/>
      <x:c r="F569" s="23"/>
      <x:c r="G569" s="23"/>
    </x:row>
    <x:row r="570" spans="1:7" ht="13.19999999999999928946">
      <x:c r="A570" s="23"/>
      <x:c r="B570" s="23"/>
      <x:c r="C570" s="23"/>
      <x:c r="D570" s="23"/>
      <x:c r="E570" s="23"/>
      <x:c r="F570" s="23"/>
      <x:c r="G570" s="23"/>
    </x:row>
    <x:row r="571" spans="1:7" ht="13.19999999999999928946">
      <x:c r="A571" s="23"/>
      <x:c r="B571" s="23"/>
      <x:c r="C571" s="23"/>
      <x:c r="D571" s="23"/>
      <x:c r="E571" s="23"/>
      <x:c r="F571" s="23"/>
      <x:c r="G571" s="23"/>
    </x:row>
    <x:row r="572" spans="1:7" ht="13.19999999999999928946">
      <x:c r="A572" s="23"/>
      <x:c r="B572" s="23"/>
      <x:c r="C572" s="23"/>
      <x:c r="D572" s="23"/>
      <x:c r="E572" s="23"/>
      <x:c r="F572" s="23"/>
      <x:c r="G572" s="23"/>
    </x:row>
    <x:row r="573" spans="1:7" ht="13.19999999999999928946">
      <x:c r="A573" s="23"/>
      <x:c r="B573" s="23"/>
      <x:c r="C573" s="23"/>
      <x:c r="D573" s="23"/>
      <x:c r="E573" s="23"/>
      <x:c r="F573" s="23"/>
      <x:c r="G573" s="23"/>
    </x:row>
    <x:row r="574" spans="1:7" ht="13.19999999999999928946">
      <x:c r="A574" s="23"/>
      <x:c r="B574" s="23"/>
      <x:c r="C574" s="23"/>
      <x:c r="D574" s="23"/>
      <x:c r="E574" s="23"/>
      <x:c r="F574" s="23"/>
      <x:c r="G574" s="23"/>
    </x:row>
    <x:row r="575" spans="1:7" ht="13.19999999999999928946">
      <x:c r="A575" s="23"/>
      <x:c r="B575" s="23"/>
      <x:c r="C575" s="23"/>
      <x:c r="D575" s="23"/>
      <x:c r="E575" s="23"/>
      <x:c r="F575" s="23"/>
      <x:c r="G575" s="23"/>
    </x:row>
    <x:row r="576" spans="1:7" ht="13.19999999999999928946">
      <x:c r="A576" s="23"/>
      <x:c r="B576" s="23"/>
      <x:c r="C576" s="23"/>
      <x:c r="D576" s="23"/>
      <x:c r="E576" s="23"/>
      <x:c r="F576" s="23"/>
      <x:c r="G576" s="23"/>
    </x:row>
    <x:row r="577" spans="1:7" ht="13.19999999999999928946">
      <x:c r="A577" s="23"/>
      <x:c r="B577" s="23"/>
      <x:c r="C577" s="23"/>
      <x:c r="D577" s="23"/>
      <x:c r="E577" s="23"/>
      <x:c r="F577" s="23"/>
      <x:c r="G577" s="23"/>
    </x:row>
    <x:row r="578" spans="1:7" ht="13.19999999999999928946">
      <x:c r="A578" s="23"/>
      <x:c r="B578" s="23"/>
      <x:c r="C578" s="23"/>
      <x:c r="D578" s="23"/>
      <x:c r="E578" s="23"/>
      <x:c r="F578" s="23"/>
      <x:c r="G578" s="23"/>
    </x:row>
    <x:row r="579" spans="1:7" ht="13.19999999999999928946">
      <x:c r="A579" s="23"/>
      <x:c r="B579" s="23"/>
      <x:c r="C579" s="23"/>
      <x:c r="D579" s="23"/>
      <x:c r="E579" s="23"/>
      <x:c r="F579" s="23"/>
      <x:c r="G579" s="23"/>
    </x:row>
    <x:row r="580" spans="1:7" ht="13.19999999999999928946">
      <x:c r="A580" s="23"/>
      <x:c r="B580" s="23"/>
      <x:c r="C580" s="23"/>
      <x:c r="D580" s="23"/>
      <x:c r="E580" s="23"/>
      <x:c r="F580" s="23"/>
      <x:c r="G580" s="23"/>
    </x:row>
    <x:row r="581" spans="1:7" ht="13.19999999999999928946">
      <x:c r="A581" s="23"/>
      <x:c r="B581" s="23"/>
      <x:c r="C581" s="23"/>
      <x:c r="D581" s="23"/>
      <x:c r="E581" s="23"/>
      <x:c r="F581" s="23"/>
      <x:c r="G581" s="23"/>
    </x:row>
    <x:row r="582" spans="1:7" ht="13.19999999999999928946">
      <x:c r="A582" s="23"/>
      <x:c r="B582" s="23"/>
      <x:c r="C582" s="23"/>
      <x:c r="D582" s="23"/>
      <x:c r="E582" s="23"/>
      <x:c r="F582" s="23"/>
      <x:c r="G582" s="23"/>
    </x:row>
    <x:row r="583" spans="1:7" ht="13.19999999999999928946">
      <x:c r="A583" s="23"/>
      <x:c r="B583" s="23"/>
      <x:c r="C583" s="23"/>
      <x:c r="D583" s="23"/>
      <x:c r="E583" s="23"/>
      <x:c r="F583" s="23"/>
      <x:c r="G583" s="23"/>
    </x:row>
    <x:row r="584" spans="1:7" ht="13.19999999999999928946">
      <x:c r="A584" s="23"/>
      <x:c r="B584" s="23"/>
      <x:c r="C584" s="23"/>
      <x:c r="D584" s="23"/>
      <x:c r="E584" s="23"/>
      <x:c r="F584" s="23"/>
      <x:c r="G584" s="23"/>
    </x:row>
    <x:row r="585" spans="1:7" ht="13.19999999999999928946">
      <x:c r="A585" s="23"/>
      <x:c r="B585" s="23"/>
      <x:c r="C585" s="23"/>
      <x:c r="D585" s="23"/>
      <x:c r="E585" s="23"/>
      <x:c r="F585" s="23"/>
      <x:c r="G585" s="23"/>
    </x:row>
    <x:row r="586" spans="1:7" ht="13.19999999999999928946">
      <x:c r="A586" s="23"/>
      <x:c r="B586" s="23"/>
      <x:c r="C586" s="23"/>
      <x:c r="D586" s="23"/>
      <x:c r="E586" s="23"/>
      <x:c r="F586" s="23"/>
      <x:c r="G586" s="23"/>
    </x:row>
    <x:row r="587" spans="1:7" ht="13.19999999999999928946">
      <x:c r="A587" s="23"/>
      <x:c r="B587" s="23"/>
      <x:c r="C587" s="23"/>
      <x:c r="D587" s="23"/>
      <x:c r="E587" s="23"/>
      <x:c r="F587" s="23"/>
      <x:c r="G587" s="23"/>
    </x:row>
    <x:row r="588" spans="1:7" ht="13.19999999999999928946">
      <x:c r="A588" s="23"/>
      <x:c r="B588" s="23"/>
      <x:c r="C588" s="23"/>
      <x:c r="D588" s="23"/>
      <x:c r="E588" s="23"/>
      <x:c r="F588" s="23"/>
      <x:c r="G588" s="23"/>
    </x:row>
    <x:row r="589" spans="1:7" ht="13.19999999999999928946">
      <x:c r="A589" s="23"/>
      <x:c r="B589" s="23"/>
      <x:c r="C589" s="23"/>
      <x:c r="D589" s="23"/>
      <x:c r="E589" s="23"/>
      <x:c r="F589" s="23"/>
      <x:c r="G589" s="23"/>
    </x:row>
    <x:row r="590" spans="1:7" ht="13.19999999999999928946">
      <x:c r="A590" s="23"/>
      <x:c r="B590" s="23"/>
      <x:c r="C590" s="23"/>
      <x:c r="D590" s="23"/>
      <x:c r="E590" s="23"/>
      <x:c r="F590" s="23"/>
      <x:c r="G590" s="23"/>
    </x:row>
    <x:row r="591" spans="1:7" ht="13.19999999999999928946">
      <x:c r="A591" s="23"/>
      <x:c r="B591" s="23"/>
      <x:c r="C591" s="23"/>
      <x:c r="D591" s="23"/>
      <x:c r="E591" s="23"/>
      <x:c r="F591" s="23"/>
      <x:c r="G591" s="23"/>
    </x:row>
    <x:row r="592" spans="1:7" ht="13.19999999999999928946">
      <x:c r="A592" s="23"/>
      <x:c r="B592" s="23"/>
      <x:c r="C592" s="23"/>
      <x:c r="D592" s="23"/>
      <x:c r="E592" s="23"/>
      <x:c r="F592" s="23"/>
      <x:c r="G592" s="23"/>
    </x:row>
    <x:row r="593" spans="1:7" ht="13.19999999999999928946">
      <x:c r="A593" s="23"/>
      <x:c r="B593" s="23"/>
      <x:c r="C593" s="23"/>
      <x:c r="D593" s="23"/>
      <x:c r="E593" s="23"/>
      <x:c r="F593" s="23"/>
      <x:c r="G593" s="23"/>
    </x:row>
    <x:row r="594" spans="1:7" ht="13.19999999999999928946">
      <x:c r="A594" s="23"/>
      <x:c r="B594" s="23"/>
      <x:c r="C594" s="23"/>
      <x:c r="D594" s="23"/>
      <x:c r="E594" s="23"/>
      <x:c r="F594" s="23"/>
      <x:c r="G594" s="23"/>
    </x:row>
    <x:row r="595" spans="1:7" ht="13.19999999999999928946">
      <x:c r="A595" s="23"/>
      <x:c r="B595" s="23"/>
      <x:c r="C595" s="23"/>
      <x:c r="D595" s="23"/>
      <x:c r="E595" s="23"/>
      <x:c r="F595" s="23"/>
      <x:c r="G595" s="23"/>
    </x:row>
    <x:row r="596" spans="1:7" ht="13.19999999999999928946">
      <x:c r="A596" s="23"/>
      <x:c r="B596" s="23"/>
      <x:c r="C596" s="23"/>
      <x:c r="D596" s="23"/>
      <x:c r="E596" s="23"/>
      <x:c r="F596" s="23"/>
      <x:c r="G596" s="23"/>
    </x:row>
    <x:row r="597" spans="1:7" ht="13.19999999999999928946">
      <x:c r="A597" s="23"/>
      <x:c r="B597" s="23"/>
      <x:c r="C597" s="23"/>
      <x:c r="D597" s="23"/>
      <x:c r="E597" s="23"/>
      <x:c r="F597" s="23"/>
      <x:c r="G597" s="23"/>
    </x:row>
    <x:row r="598" spans="1:7" ht="13.19999999999999928946">
      <x:c r="A598" s="23"/>
      <x:c r="B598" s="23"/>
      <x:c r="C598" s="23"/>
      <x:c r="D598" s="23"/>
      <x:c r="E598" s="23"/>
      <x:c r="F598" s="23"/>
      <x:c r="G598" s="23"/>
    </x:row>
    <x:row r="599" spans="1:7" ht="13.19999999999999928946">
      <x:c r="A599" s="23"/>
      <x:c r="B599" s="23"/>
      <x:c r="C599" s="23"/>
      <x:c r="D599" s="23"/>
      <x:c r="E599" s="23"/>
      <x:c r="F599" s="23"/>
      <x:c r="G599" s="23"/>
    </x:row>
    <x:row r="600" spans="1:7" ht="13.19999999999999928946">
      <x:c r="A600" s="23"/>
      <x:c r="B600" s="23"/>
      <x:c r="C600" s="23"/>
      <x:c r="D600" s="23"/>
      <x:c r="E600" s="23"/>
      <x:c r="F600" s="23"/>
      <x:c r="G600" s="23"/>
    </x:row>
    <x:row r="601" spans="1:7" ht="13.19999999999999928946">
      <x:c r="A601" s="23"/>
      <x:c r="B601" s="23"/>
      <x:c r="C601" s="23"/>
      <x:c r="D601" s="23"/>
      <x:c r="E601" s="23"/>
      <x:c r="F601" s="23"/>
      <x:c r="G601" s="23"/>
    </x:row>
    <x:row r="602" spans="1:7" ht="13.19999999999999928946">
      <x:c r="A602" s="23"/>
      <x:c r="B602" s="23"/>
      <x:c r="C602" s="23"/>
      <x:c r="D602" s="23"/>
      <x:c r="E602" s="23"/>
      <x:c r="F602" s="23"/>
      <x:c r="G602" s="23"/>
    </x:row>
    <x:row r="603" spans="1:7" ht="13.19999999999999928946">
      <x:c r="A603" s="23"/>
      <x:c r="B603" s="23"/>
      <x:c r="C603" s="23"/>
      <x:c r="D603" s="23"/>
      <x:c r="E603" s="23"/>
      <x:c r="F603" s="23"/>
      <x:c r="G603" s="23"/>
    </x:row>
    <x:row r="604" spans="1:7" ht="13.19999999999999928946">
      <x:c r="A604" s="23"/>
      <x:c r="B604" s="23"/>
      <x:c r="C604" s="23"/>
      <x:c r="D604" s="23"/>
      <x:c r="E604" s="23"/>
      <x:c r="F604" s="23"/>
      <x:c r="G604" s="23"/>
    </x:row>
    <x:row r="605" spans="1:7" ht="13.19999999999999928946">
      <x:c r="A605" s="23"/>
      <x:c r="B605" s="23"/>
      <x:c r="C605" s="23"/>
      <x:c r="D605" s="23"/>
      <x:c r="E605" s="23"/>
      <x:c r="F605" s="23"/>
      <x:c r="G605" s="23"/>
    </x:row>
    <x:row r="606" spans="1:7" ht="13.19999999999999928946">
      <x:c r="A606" s="23"/>
      <x:c r="B606" s="23"/>
      <x:c r="C606" s="23"/>
      <x:c r="D606" s="23"/>
      <x:c r="E606" s="23"/>
      <x:c r="F606" s="23"/>
      <x:c r="G606" s="23"/>
    </x:row>
    <x:row r="607" spans="1:7" ht="13.19999999999999928946">
      <x:c r="A607" s="23"/>
      <x:c r="B607" s="23"/>
      <x:c r="C607" s="23"/>
      <x:c r="D607" s="23"/>
      <x:c r="E607" s="23"/>
      <x:c r="F607" s="23"/>
      <x:c r="G607" s="23"/>
    </x:row>
    <x:row r="608" spans="1:7" ht="13.19999999999999928946">
      <x:c r="A608" s="23"/>
      <x:c r="B608" s="23"/>
      <x:c r="C608" s="23"/>
      <x:c r="D608" s="23"/>
      <x:c r="E608" s="23"/>
      <x:c r="F608" s="23"/>
      <x:c r="G608" s="23"/>
    </x:row>
    <x:row r="609" spans="1:7" ht="13.19999999999999928946">
      <x:c r="A609" s="23"/>
      <x:c r="B609" s="23"/>
      <x:c r="C609" s="23"/>
      <x:c r="D609" s="23"/>
      <x:c r="E609" s="23"/>
      <x:c r="F609" s="23"/>
      <x:c r="G609" s="23"/>
    </x:row>
    <x:row r="610" spans="1:7" ht="13.19999999999999928946">
      <x:c r="A610" s="23"/>
      <x:c r="B610" s="23"/>
      <x:c r="C610" s="23"/>
      <x:c r="D610" s="23"/>
      <x:c r="E610" s="23"/>
      <x:c r="F610" s="23"/>
      <x:c r="G610" s="23"/>
    </x:row>
    <x:row r="611" spans="1:7" ht="13.19999999999999928946">
      <x:c r="A611" s="23"/>
      <x:c r="B611" s="23"/>
      <x:c r="C611" s="23"/>
      <x:c r="D611" s="23"/>
      <x:c r="E611" s="23"/>
      <x:c r="F611" s="23"/>
      <x:c r="G611" s="23"/>
    </x:row>
    <x:row r="612" spans="1:7" ht="13.19999999999999928946">
      <x:c r="A612" s="23"/>
      <x:c r="B612" s="23"/>
      <x:c r="C612" s="23"/>
      <x:c r="D612" s="23"/>
      <x:c r="E612" s="23"/>
      <x:c r="F612" s="23"/>
      <x:c r="G612" s="23"/>
    </x:row>
    <x:row r="613" spans="1:7" ht="13.19999999999999928946">
      <x:c r="A613" s="23"/>
      <x:c r="B613" s="23"/>
      <x:c r="C613" s="23"/>
      <x:c r="D613" s="23"/>
      <x:c r="E613" s="23"/>
      <x:c r="F613" s="23"/>
      <x:c r="G613" s="23"/>
    </x:row>
    <x:row r="614" spans="1:7" ht="13.19999999999999928946">
      <x:c r="A614" s="23"/>
      <x:c r="B614" s="23"/>
      <x:c r="C614" s="23"/>
      <x:c r="D614" s="23"/>
      <x:c r="E614" s="23"/>
      <x:c r="F614" s="23"/>
      <x:c r="G614" s="23"/>
    </x:row>
    <x:row r="615" spans="1:7" ht="13.19999999999999928946">
      <x:c r="A615" s="23"/>
      <x:c r="B615" s="23"/>
      <x:c r="C615" s="23"/>
      <x:c r="D615" s="23"/>
      <x:c r="E615" s="23"/>
      <x:c r="F615" s="23"/>
      <x:c r="G615" s="23"/>
    </x:row>
    <x:row r="616" spans="1:7" ht="13.19999999999999928946">
      <x:c r="A616" s="23"/>
      <x:c r="B616" s="23"/>
      <x:c r="C616" s="23"/>
      <x:c r="D616" s="23"/>
      <x:c r="E616" s="23"/>
      <x:c r="F616" s="23"/>
      <x:c r="G616" s="23"/>
    </x:row>
    <x:row r="617" spans="1:7" ht="13.19999999999999928946">
      <x:c r="A617" s="23"/>
      <x:c r="B617" s="23"/>
      <x:c r="C617" s="23"/>
      <x:c r="D617" s="23"/>
      <x:c r="E617" s="23"/>
      <x:c r="F617" s="23"/>
      <x:c r="G617" s="23"/>
    </x:row>
    <x:row r="618" spans="1:7" ht="13.19999999999999928946">
      <x:c r="A618" s="23"/>
      <x:c r="B618" s="23"/>
      <x:c r="C618" s="23"/>
      <x:c r="D618" s="23"/>
      <x:c r="E618" s="23"/>
      <x:c r="F618" s="23"/>
      <x:c r="G618" s="23"/>
    </x:row>
    <x:row r="619" spans="1:7" ht="13.19999999999999928946">
      <x:c r="A619" s="23"/>
      <x:c r="B619" s="23"/>
      <x:c r="C619" s="23"/>
      <x:c r="D619" s="23"/>
      <x:c r="E619" s="23"/>
      <x:c r="F619" s="23"/>
      <x:c r="G619" s="23"/>
    </x:row>
    <x:row r="620" spans="1:7" ht="13.19999999999999928946">
      <x:c r="A620" s="23"/>
      <x:c r="B620" s="23"/>
      <x:c r="C620" s="23"/>
      <x:c r="D620" s="23"/>
      <x:c r="E620" s="23"/>
      <x:c r="F620" s="23"/>
      <x:c r="G620" s="23"/>
    </x:row>
    <x:row r="621" spans="1:7" ht="13.19999999999999928946">
      <x:c r="A621" s="23"/>
      <x:c r="B621" s="23"/>
      <x:c r="C621" s="23"/>
      <x:c r="D621" s="23"/>
      <x:c r="E621" s="23"/>
      <x:c r="F621" s="23"/>
      <x:c r="G621" s="23"/>
    </x:row>
    <x:row r="622" spans="1:7" ht="13.19999999999999928946">
      <x:c r="A622" s="23"/>
      <x:c r="B622" s="23"/>
      <x:c r="C622" s="23"/>
      <x:c r="D622" s="23"/>
      <x:c r="E622" s="23"/>
      <x:c r="F622" s="23"/>
      <x:c r="G622" s="23"/>
    </x:row>
    <x:row r="623" spans="1:7" ht="13.19999999999999928946">
      <x:c r="A623" s="23"/>
      <x:c r="B623" s="23"/>
      <x:c r="C623" s="23"/>
      <x:c r="D623" s="23"/>
      <x:c r="E623" s="23"/>
      <x:c r="F623" s="23"/>
      <x:c r="G623" s="23"/>
    </x:row>
    <x:row r="624" spans="1:7" ht="13.19999999999999928946">
      <x:c r="A624" s="23"/>
      <x:c r="B624" s="23"/>
      <x:c r="C624" s="23"/>
      <x:c r="D624" s="23"/>
      <x:c r="E624" s="23"/>
      <x:c r="F624" s="23"/>
      <x:c r="G624" s="23"/>
    </x:row>
    <x:row r="625" spans="1:7" ht="13.19999999999999928946">
      <x:c r="A625" s="23"/>
      <x:c r="B625" s="23"/>
      <x:c r="C625" s="23"/>
      <x:c r="D625" s="23"/>
      <x:c r="E625" s="23"/>
      <x:c r="F625" s="23"/>
      <x:c r="G625" s="23"/>
    </x:row>
    <x:row r="626" spans="1:7" ht="13.19999999999999928946">
      <x:c r="A626" s="23"/>
      <x:c r="B626" s="23"/>
      <x:c r="C626" s="23"/>
      <x:c r="D626" s="23"/>
      <x:c r="E626" s="23"/>
      <x:c r="F626" s="23"/>
      <x:c r="G626" s="23"/>
    </x:row>
    <x:row r="627" spans="1:7" ht="13.19999999999999928946">
      <x:c r="A627" s="23"/>
      <x:c r="B627" s="23"/>
      <x:c r="C627" s="23"/>
      <x:c r="D627" s="23"/>
      <x:c r="E627" s="23"/>
      <x:c r="F627" s="23"/>
      <x:c r="G627" s="23"/>
    </x:row>
    <x:row r="628" spans="1:7" ht="13.19999999999999928946">
      <x:c r="A628" s="23"/>
      <x:c r="B628" s="23"/>
      <x:c r="C628" s="23"/>
      <x:c r="D628" s="23"/>
      <x:c r="E628" s="23"/>
      <x:c r="F628" s="23"/>
      <x:c r="G628" s="23"/>
    </x:row>
    <x:row r="629" spans="1:7" ht="13.19999999999999928946">
      <x:c r="A629" s="23"/>
      <x:c r="B629" s="23"/>
      <x:c r="C629" s="23"/>
      <x:c r="D629" s="23"/>
      <x:c r="E629" s="23"/>
      <x:c r="F629" s="23"/>
      <x:c r="G629" s="23"/>
    </x:row>
    <x:row r="630" spans="1:7" ht="13.19999999999999928946">
      <x:c r="A630" s="23"/>
      <x:c r="B630" s="23"/>
      <x:c r="C630" s="23"/>
      <x:c r="D630" s="23"/>
      <x:c r="E630" s="23"/>
      <x:c r="F630" s="23"/>
      <x:c r="G630" s="23"/>
    </x:row>
    <x:row r="631" spans="1:7" ht="13.19999999999999928946">
      <x:c r="A631" s="23"/>
      <x:c r="B631" s="23"/>
      <x:c r="C631" s="23"/>
      <x:c r="D631" s="23"/>
      <x:c r="E631" s="23"/>
      <x:c r="F631" s="23"/>
      <x:c r="G631" s="23"/>
    </x:row>
    <x:row r="632" spans="1:7" ht="13.19999999999999928946">
      <x:c r="A632" s="23"/>
      <x:c r="B632" s="23"/>
      <x:c r="C632" s="23"/>
      <x:c r="D632" s="23"/>
      <x:c r="E632" s="23"/>
      <x:c r="F632" s="23"/>
      <x:c r="G632" s="23"/>
    </x:row>
    <x:row r="633" spans="1:7" ht="13.19999999999999928946">
      <x:c r="A633" s="23"/>
      <x:c r="B633" s="23"/>
      <x:c r="C633" s="23"/>
      <x:c r="D633" s="23"/>
      <x:c r="E633" s="23"/>
      <x:c r="F633" s="23"/>
      <x:c r="G633" s="23"/>
    </x:row>
    <x:row r="634" spans="1:7" ht="13.19999999999999928946">
      <x:c r="A634" s="23"/>
      <x:c r="B634" s="23"/>
      <x:c r="C634" s="23"/>
      <x:c r="D634" s="23"/>
      <x:c r="E634" s="23"/>
      <x:c r="F634" s="23"/>
      <x:c r="G634" s="23"/>
    </x:row>
    <x:row r="635" spans="1:7" ht="13.19999999999999928946">
      <x:c r="A635" s="23"/>
      <x:c r="B635" s="23"/>
      <x:c r="C635" s="23"/>
      <x:c r="D635" s="23"/>
      <x:c r="E635" s="23"/>
      <x:c r="F635" s="23"/>
      <x:c r="G635" s="23"/>
    </x:row>
    <x:row r="636" spans="1:7" ht="13.19999999999999928946">
      <x:c r="A636" s="23"/>
      <x:c r="B636" s="23"/>
      <x:c r="C636" s="23"/>
      <x:c r="D636" s="23"/>
      <x:c r="E636" s="23"/>
      <x:c r="F636" s="23"/>
      <x:c r="G636" s="23"/>
    </x:row>
    <x:row r="637" spans="1:7" ht="13.19999999999999928946">
      <x:c r="A637" s="23"/>
      <x:c r="B637" s="23"/>
      <x:c r="C637" s="23"/>
      <x:c r="D637" s="23"/>
      <x:c r="E637" s="23"/>
      <x:c r="F637" s="23"/>
      <x:c r="G637" s="23"/>
    </x:row>
    <x:row r="638" spans="1:7" ht="13.19999999999999928946">
      <x:c r="A638" s="23"/>
      <x:c r="B638" s="23"/>
      <x:c r="C638" s="23"/>
      <x:c r="D638" s="23"/>
      <x:c r="E638" s="23"/>
      <x:c r="F638" s="23"/>
      <x:c r="G638" s="23"/>
    </x:row>
    <x:row r="639" spans="1:7" ht="13.19999999999999928946">
      <x:c r="A639" s="23"/>
      <x:c r="B639" s="23"/>
      <x:c r="C639" s="23"/>
      <x:c r="D639" s="23"/>
      <x:c r="E639" s="23"/>
      <x:c r="F639" s="23"/>
      <x:c r="G639" s="23"/>
    </x:row>
    <x:row r="640" spans="1:7" ht="13.19999999999999928946">
      <x:c r="A640" s="23"/>
      <x:c r="B640" s="23"/>
      <x:c r="C640" s="23"/>
      <x:c r="D640" s="23"/>
      <x:c r="E640" s="23"/>
      <x:c r="F640" s="23"/>
      <x:c r="G640" s="23"/>
    </x:row>
    <x:row r="641" spans="1:7" ht="13.19999999999999928946">
      <x:c r="A641" s="23"/>
      <x:c r="B641" s="23"/>
      <x:c r="C641" s="23"/>
      <x:c r="D641" s="23"/>
      <x:c r="E641" s="23"/>
      <x:c r="F641" s="23"/>
      <x:c r="G641" s="23"/>
    </x:row>
    <x:row r="642" spans="1:7" ht="13.19999999999999928946">
      <x:c r="A642" s="23"/>
      <x:c r="B642" s="23"/>
      <x:c r="C642" s="23"/>
      <x:c r="D642" s="23"/>
      <x:c r="E642" s="23"/>
      <x:c r="F642" s="23"/>
      <x:c r="G642" s="23"/>
    </x:row>
    <x:row r="643" spans="1:7" ht="13.19999999999999928946">
      <x:c r="A643" s="23"/>
      <x:c r="B643" s="23"/>
      <x:c r="C643" s="23"/>
      <x:c r="D643" s="23"/>
      <x:c r="E643" s="23"/>
      <x:c r="F643" s="23"/>
      <x:c r="G643" s="23"/>
    </x:row>
    <x:row r="644" spans="1:7" ht="13.19999999999999928946">
      <x:c r="A644" s="23"/>
      <x:c r="B644" s="23"/>
      <x:c r="C644" s="23"/>
      <x:c r="D644" s="23"/>
      <x:c r="E644" s="23"/>
      <x:c r="F644" s="23"/>
      <x:c r="G644" s="23"/>
    </x:row>
    <x:row r="645" spans="1:7" ht="13.19999999999999928946">
      <x:c r="A645" s="23"/>
      <x:c r="B645" s="23"/>
      <x:c r="C645" s="23"/>
      <x:c r="D645" s="23"/>
      <x:c r="E645" s="23"/>
      <x:c r="F645" s="23"/>
      <x:c r="G645" s="23"/>
    </x:row>
    <x:row r="646" spans="1:7" ht="13.19999999999999928946">
      <x:c r="A646" s="23"/>
      <x:c r="B646" s="23"/>
      <x:c r="C646" s="23"/>
      <x:c r="D646" s="23"/>
      <x:c r="E646" s="23"/>
      <x:c r="F646" s="23"/>
      <x:c r="G646" s="23"/>
    </x:row>
    <x:row r="647" spans="1:7" ht="13.19999999999999928946">
      <x:c r="A647" s="23"/>
      <x:c r="B647" s="23"/>
      <x:c r="C647" s="23"/>
      <x:c r="D647" s="23"/>
      <x:c r="E647" s="23"/>
      <x:c r="F647" s="23"/>
      <x:c r="G647" s="23"/>
    </x:row>
    <x:row r="648" spans="1:7" ht="13.19999999999999928946">
      <x:c r="A648" s="23"/>
      <x:c r="B648" s="23"/>
      <x:c r="C648" s="23"/>
      <x:c r="D648" s="23"/>
      <x:c r="E648" s="23"/>
      <x:c r="F648" s="23"/>
      <x:c r="G648" s="23"/>
    </x:row>
    <x:row r="649" spans="1:7" ht="13.19999999999999928946">
      <x:c r="A649" s="23"/>
      <x:c r="B649" s="23"/>
      <x:c r="C649" s="23"/>
      <x:c r="D649" s="23"/>
      <x:c r="E649" s="23"/>
      <x:c r="F649" s="23"/>
      <x:c r="G649" s="23"/>
    </x:row>
    <x:row r="650" spans="1:7" ht="13.19999999999999928946">
      <x:c r="A650" s="23"/>
      <x:c r="B650" s="23"/>
      <x:c r="C650" s="23"/>
      <x:c r="D650" s="23"/>
      <x:c r="E650" s="23"/>
      <x:c r="F650" s="23"/>
      <x:c r="G650" s="23"/>
    </x:row>
    <x:row r="651" spans="1:7" ht="13.19999999999999928946">
      <x:c r="A651" s="23"/>
      <x:c r="B651" s="23"/>
      <x:c r="C651" s="23"/>
      <x:c r="D651" s="23"/>
      <x:c r="E651" s="23"/>
      <x:c r="F651" s="23"/>
      <x:c r="G651" s="23"/>
    </x:row>
    <x:row r="652" spans="1:7" ht="13.19999999999999928946">
      <x:c r="A652" s="23"/>
      <x:c r="B652" s="23"/>
      <x:c r="C652" s="23"/>
      <x:c r="D652" s="23"/>
      <x:c r="E652" s="23"/>
      <x:c r="F652" s="23"/>
      <x:c r="G652" s="23"/>
    </x:row>
    <x:row r="653" spans="1:7" ht="13.19999999999999928946">
      <x:c r="A653" s="23"/>
      <x:c r="B653" s="23"/>
      <x:c r="C653" s="23"/>
      <x:c r="D653" s="23"/>
      <x:c r="E653" s="23"/>
      <x:c r="F653" s="23"/>
      <x:c r="G653" s="23"/>
    </x:row>
    <x:row r="654" spans="1:7" ht="13.19999999999999928946">
      <x:c r="A654" s="23"/>
      <x:c r="B654" s="23"/>
      <x:c r="C654" s="23"/>
      <x:c r="D654" s="23"/>
      <x:c r="E654" s="23"/>
      <x:c r="F654" s="23"/>
      <x:c r="G654" s="23"/>
    </x:row>
    <x:row r="655" spans="1:7" ht="13.19999999999999928946">
      <x:c r="A655" s="23"/>
      <x:c r="B655" s="23"/>
      <x:c r="C655" s="23"/>
      <x:c r="D655" s="23"/>
      <x:c r="E655" s="23"/>
      <x:c r="F655" s="23"/>
      <x:c r="G655" s="23"/>
    </x:row>
    <x:row r="656" spans="1:7" ht="13.19999999999999928946">
      <x:c r="A656" s="23"/>
      <x:c r="B656" s="23"/>
      <x:c r="C656" s="23"/>
      <x:c r="D656" s="23"/>
      <x:c r="E656" s="23"/>
      <x:c r="F656" s="23"/>
      <x:c r="G656" s="23"/>
    </x:row>
    <x:row r="657" spans="1:7" ht="13.19999999999999928946">
      <x:c r="A657" s="23"/>
      <x:c r="B657" s="23"/>
      <x:c r="C657" s="23"/>
      <x:c r="D657" s="23"/>
      <x:c r="E657" s="23"/>
      <x:c r="F657" s="23"/>
      <x:c r="G657" s="23"/>
    </x:row>
    <x:row r="658" spans="1:7" ht="13.19999999999999928946">
      <x:c r="A658" s="23"/>
      <x:c r="B658" s="23"/>
      <x:c r="C658" s="23"/>
      <x:c r="D658" s="23"/>
      <x:c r="E658" s="23"/>
      <x:c r="F658" s="23"/>
      <x:c r="G658" s="23"/>
    </x:row>
    <x:row r="659" spans="1:7" ht="13.19999999999999928946">
      <x:c r="A659" s="23"/>
      <x:c r="B659" s="23"/>
      <x:c r="C659" s="23"/>
      <x:c r="D659" s="23"/>
      <x:c r="E659" s="23"/>
      <x:c r="F659" s="23"/>
      <x:c r="G659" s="23"/>
    </x:row>
    <x:row r="660" spans="1:7" ht="13.19999999999999928946">
      <x:c r="A660" s="23"/>
      <x:c r="B660" s="23"/>
      <x:c r="C660" s="23"/>
      <x:c r="D660" s="23"/>
      <x:c r="E660" s="23"/>
      <x:c r="F660" s="23"/>
      <x:c r="G660" s="23"/>
    </x:row>
    <x:row r="661" spans="1:7" ht="13.19999999999999928946">
      <x:c r="A661" s="23"/>
      <x:c r="B661" s="23"/>
      <x:c r="C661" s="23"/>
      <x:c r="D661" s="23"/>
      <x:c r="E661" s="23"/>
      <x:c r="F661" s="23"/>
      <x:c r="G661" s="23"/>
    </x:row>
    <x:row r="662" spans="1:7" ht="13.19999999999999928946">
      <x:c r="A662" s="23"/>
      <x:c r="B662" s="23"/>
      <x:c r="C662" s="23"/>
      <x:c r="D662" s="23"/>
      <x:c r="E662" s="23"/>
      <x:c r="F662" s="23"/>
      <x:c r="G662" s="23"/>
    </x:row>
    <x:row r="663" spans="1:7" ht="13.19999999999999928946">
      <x:c r="A663" s="23"/>
      <x:c r="B663" s="23"/>
      <x:c r="C663" s="23"/>
      <x:c r="D663" s="23"/>
      <x:c r="E663" s="23"/>
      <x:c r="F663" s="23"/>
      <x:c r="G663" s="23"/>
    </x:row>
    <x:row r="664" spans="1:7" ht="13.19999999999999928946">
      <x:c r="A664" s="23"/>
      <x:c r="B664" s="23"/>
      <x:c r="C664" s="23"/>
      <x:c r="D664" s="23"/>
      <x:c r="E664" s="23"/>
      <x:c r="F664" s="23"/>
      <x:c r="G664" s="23"/>
    </x:row>
    <x:row r="665" spans="1:7" ht="13.19999999999999928946">
      <x:c r="A665" s="23"/>
      <x:c r="B665" s="23"/>
      <x:c r="C665" s="23"/>
      <x:c r="D665" s="23"/>
      <x:c r="E665" s="23"/>
      <x:c r="F665" s="23"/>
      <x:c r="G665" s="23"/>
    </x:row>
    <x:row r="666" spans="1:7" ht="13.19999999999999928946">
      <x:c r="A666" s="23"/>
      <x:c r="B666" s="23"/>
      <x:c r="C666" s="23"/>
      <x:c r="D666" s="23"/>
      <x:c r="E666" s="23"/>
      <x:c r="F666" s="23"/>
      <x:c r="G666" s="23"/>
    </x:row>
    <x:row r="667" spans="1:7" ht="13.19999999999999928946">
      <x:c r="A667" s="23"/>
      <x:c r="B667" s="23"/>
      <x:c r="C667" s="23"/>
      <x:c r="D667" s="23"/>
      <x:c r="E667" s="23"/>
      <x:c r="F667" s="23"/>
      <x:c r="G667" s="23"/>
    </x:row>
    <x:row r="668" spans="1:7" ht="13.19999999999999928946">
      <x:c r="A668" s="23"/>
      <x:c r="B668" s="23"/>
      <x:c r="C668" s="23"/>
      <x:c r="D668" s="23"/>
      <x:c r="E668" s="23"/>
      <x:c r="F668" s="23"/>
      <x:c r="G668" s="23"/>
    </x:row>
    <x:row r="669" spans="1:7" ht="13.19999999999999928946">
      <x:c r="A669" s="23"/>
      <x:c r="B669" s="23"/>
      <x:c r="C669" s="23"/>
      <x:c r="D669" s="23"/>
      <x:c r="E669" s="23"/>
      <x:c r="F669" s="23"/>
      <x:c r="G669" s="23"/>
    </x:row>
    <x:row r="670" spans="1:7" ht="13.19999999999999928946">
      <x:c r="A670" s="23"/>
      <x:c r="B670" s="23"/>
      <x:c r="C670" s="23"/>
      <x:c r="D670" s="23"/>
      <x:c r="E670" s="23"/>
      <x:c r="F670" s="23"/>
      <x:c r="G670" s="23"/>
    </x:row>
    <x:row r="671" spans="1:7" ht="13.19999999999999928946">
      <x:c r="A671" s="23"/>
      <x:c r="B671" s="23"/>
      <x:c r="C671" s="23"/>
      <x:c r="D671" s="23"/>
      <x:c r="E671" s="23"/>
      <x:c r="F671" s="23"/>
      <x:c r="G671" s="23"/>
    </x:row>
    <x:row r="672" spans="1:7" ht="13.19999999999999928946">
      <x:c r="A672" s="23"/>
      <x:c r="B672" s="23"/>
      <x:c r="C672" s="23"/>
      <x:c r="D672" s="23"/>
      <x:c r="E672" s="23"/>
      <x:c r="F672" s="23"/>
      <x:c r="G672" s="23"/>
    </x:row>
    <x:row r="673" spans="1:7" ht="13.19999999999999928946">
      <x:c r="A673" s="23"/>
      <x:c r="B673" s="23"/>
      <x:c r="C673" s="23"/>
      <x:c r="D673" s="23"/>
      <x:c r="E673" s="23"/>
      <x:c r="F673" s="23"/>
      <x:c r="G673" s="23"/>
    </x:row>
    <x:row r="674" spans="1:7" ht="13.19999999999999928946">
      <x:c r="A674" s="23"/>
      <x:c r="B674" s="23"/>
      <x:c r="C674" s="23"/>
      <x:c r="D674" s="23"/>
      <x:c r="E674" s="23"/>
      <x:c r="F674" s="23"/>
      <x:c r="G674" s="23"/>
    </x:row>
    <x:row r="675" spans="1:7" ht="13.19999999999999928946">
      <x:c r="A675" s="23"/>
      <x:c r="B675" s="23"/>
      <x:c r="C675" s="23"/>
      <x:c r="D675" s="23"/>
      <x:c r="E675" s="23"/>
      <x:c r="F675" s="23"/>
      <x:c r="G675" s="23"/>
    </x:row>
    <x:row r="676" spans="1:7" ht="13.19999999999999928946">
      <x:c r="A676" s="23"/>
      <x:c r="B676" s="23"/>
      <x:c r="C676" s="23"/>
      <x:c r="D676" s="23"/>
      <x:c r="E676" s="23"/>
      <x:c r="F676" s="23"/>
      <x:c r="G676" s="23"/>
    </x:row>
    <x:row r="677" spans="1:7" ht="13.19999999999999928946">
      <x:c r="A677" s="23"/>
      <x:c r="B677" s="23"/>
      <x:c r="C677" s="23"/>
      <x:c r="D677" s="23"/>
      <x:c r="E677" s="23"/>
      <x:c r="F677" s="23"/>
      <x:c r="G677" s="23"/>
    </x:row>
    <x:row r="678" spans="1:7" ht="13.19999999999999928946">
      <x:c r="A678" s="23"/>
      <x:c r="B678" s="23"/>
      <x:c r="C678" s="23"/>
      <x:c r="D678" s="23"/>
      <x:c r="E678" s="23"/>
      <x:c r="F678" s="23"/>
      <x:c r="G678" s="23"/>
    </x:row>
    <x:row r="679" spans="1:7" ht="13.19999999999999928946">
      <x:c r="A679" s="23"/>
      <x:c r="B679" s="23"/>
      <x:c r="C679" s="23"/>
      <x:c r="D679" s="23"/>
      <x:c r="E679" s="23"/>
      <x:c r="F679" s="23"/>
      <x:c r="G679" s="23"/>
    </x:row>
    <x:row r="680" spans="1:7" ht="13.19999999999999928946">
      <x:c r="A680" s="23"/>
      <x:c r="B680" s="23"/>
      <x:c r="C680" s="23"/>
      <x:c r="D680" s="23"/>
      <x:c r="E680" s="23"/>
      <x:c r="F680" s="23"/>
      <x:c r="G680" s="23"/>
    </x:row>
    <x:row r="681" spans="1:7" ht="13.19999999999999928946">
      <x:c r="A681" s="23"/>
      <x:c r="B681" s="23"/>
      <x:c r="C681" s="23"/>
      <x:c r="D681" s="23"/>
      <x:c r="E681" s="23"/>
      <x:c r="F681" s="23"/>
      <x:c r="G681" s="23"/>
    </x:row>
    <x:row r="682" spans="1:7" ht="13.19999999999999928946">
      <x:c r="A682" s="23"/>
      <x:c r="B682" s="23"/>
      <x:c r="C682" s="23"/>
      <x:c r="D682" s="23"/>
      <x:c r="E682" s="23"/>
      <x:c r="F682" s="23"/>
      <x:c r="G682" s="23"/>
    </x:row>
    <x:row r="683" spans="1:7" ht="13.19999999999999928946">
      <x:c r="A683" s="23"/>
      <x:c r="B683" s="23"/>
      <x:c r="C683" s="23"/>
      <x:c r="D683" s="23"/>
      <x:c r="E683" s="23"/>
      <x:c r="F683" s="23"/>
      <x:c r="G683" s="23"/>
    </x:row>
    <x:row r="684" spans="1:7" ht="13.19999999999999928946">
      <x:c r="A684" s="23"/>
      <x:c r="B684" s="23"/>
      <x:c r="C684" s="23"/>
      <x:c r="D684" s="23"/>
      <x:c r="E684" s="23"/>
      <x:c r="F684" s="23"/>
      <x:c r="G684" s="23"/>
    </x:row>
    <x:row r="685" spans="1:7" ht="13.19999999999999928946">
      <x:c r="A685" s="23"/>
      <x:c r="B685" s="23"/>
      <x:c r="C685" s="23"/>
      <x:c r="D685" s="23"/>
      <x:c r="E685" s="23"/>
      <x:c r="F685" s="23"/>
      <x:c r="G685" s="23"/>
    </x:row>
    <x:row r="686" spans="1:7" ht="13.19999999999999928946">
      <x:c r="A686" s="23"/>
      <x:c r="B686" s="23"/>
      <x:c r="C686" s="23"/>
      <x:c r="D686" s="23"/>
      <x:c r="E686" s="23"/>
      <x:c r="F686" s="23"/>
      <x:c r="G686" s="23"/>
    </x:row>
    <x:row r="687" spans="1:7" ht="13.19999999999999928946">
      <x:c r="A687" s="23"/>
      <x:c r="B687" s="23"/>
      <x:c r="C687" s="23"/>
      <x:c r="D687" s="23"/>
      <x:c r="E687" s="23"/>
      <x:c r="F687" s="23"/>
      <x:c r="G687" s="23"/>
    </x:row>
    <x:row r="688" spans="1:7" ht="13.19999999999999928946">
      <x:c r="A688" s="23"/>
      <x:c r="B688" s="23"/>
      <x:c r="C688" s="23"/>
      <x:c r="D688" s="23"/>
      <x:c r="E688" s="23"/>
      <x:c r="F688" s="23"/>
      <x:c r="G688" s="23"/>
    </x:row>
    <x:row r="689" spans="1:7" ht="13.19999999999999928946">
      <x:c r="A689" s="23"/>
      <x:c r="B689" s="23"/>
      <x:c r="C689" s="23"/>
      <x:c r="D689" s="23"/>
      <x:c r="E689" s="23"/>
      <x:c r="F689" s="23"/>
      <x:c r="G689" s="23"/>
    </x:row>
    <x:row r="690" spans="1:7" ht="13.19999999999999928946">
      <x:c r="A690" s="23"/>
      <x:c r="B690" s="23"/>
      <x:c r="C690" s="23"/>
      <x:c r="D690" s="23"/>
      <x:c r="E690" s="23"/>
      <x:c r="F690" s="23"/>
      <x:c r="G690" s="23"/>
    </x:row>
    <x:row r="691" spans="1:7" ht="13.19999999999999928946">
      <x:c r="A691" s="23"/>
      <x:c r="B691" s="23"/>
      <x:c r="C691" s="23"/>
      <x:c r="D691" s="23"/>
      <x:c r="E691" s="23"/>
      <x:c r="F691" s="23"/>
      <x:c r="G691" s="23"/>
    </x:row>
    <x:row r="692" spans="1:7" ht="13.19999999999999928946">
      <x:c r="A692" s="23"/>
      <x:c r="B692" s="23"/>
      <x:c r="C692" s="23"/>
      <x:c r="D692" s="23"/>
      <x:c r="E692" s="23"/>
      <x:c r="F692" s="23"/>
      <x:c r="G692" s="23"/>
    </x:row>
    <x:row r="693" spans="1:7" ht="13.19999999999999928946">
      <x:c r="A693" s="23"/>
      <x:c r="B693" s="23"/>
      <x:c r="C693" s="23"/>
      <x:c r="D693" s="23"/>
      <x:c r="E693" s="23"/>
      <x:c r="F693" s="23"/>
      <x:c r="G693" s="23"/>
    </x:row>
    <x:row r="694" spans="1:7" ht="13.19999999999999928946">
      <x:c r="A694" s="23"/>
      <x:c r="B694" s="23"/>
      <x:c r="C694" s="23"/>
      <x:c r="D694" s="23"/>
      <x:c r="E694" s="23"/>
      <x:c r="F694" s="23"/>
      <x:c r="G694" s="23"/>
    </x:row>
    <x:row r="695" spans="1:7" ht="13.19999999999999928946">
      <x:c r="A695" s="23"/>
      <x:c r="B695" s="23"/>
      <x:c r="C695" s="23"/>
      <x:c r="D695" s="23"/>
      <x:c r="E695" s="23"/>
      <x:c r="F695" s="23"/>
      <x:c r="G695" s="23"/>
    </x:row>
    <x:row r="696" spans="1:7" ht="13.19999999999999928946">
      <x:c r="A696" s="23"/>
      <x:c r="B696" s="23"/>
      <x:c r="C696" s="23"/>
      <x:c r="D696" s="23"/>
      <x:c r="E696" s="23"/>
      <x:c r="F696" s="23"/>
      <x:c r="G696" s="23"/>
    </x:row>
    <x:row r="697" spans="1:7" ht="13.19999999999999928946">
      <x:c r="A697" s="23"/>
      <x:c r="B697" s="23"/>
      <x:c r="C697" s="23"/>
      <x:c r="D697" s="23"/>
      <x:c r="E697" s="23"/>
      <x:c r="F697" s="23"/>
      <x:c r="G697" s="23"/>
    </x:row>
    <x:row r="698" spans="1:7" ht="13.19999999999999928946">
      <x:c r="A698" s="23"/>
      <x:c r="B698" s="23"/>
      <x:c r="C698" s="23"/>
      <x:c r="D698" s="23"/>
      <x:c r="E698" s="23"/>
      <x:c r="F698" s="23"/>
      <x:c r="G698" s="23"/>
    </x:row>
    <x:row r="699" spans="1:7" ht="13.19999999999999928946">
      <x:c r="A699" s="23"/>
      <x:c r="B699" s="23"/>
      <x:c r="C699" s="23"/>
      <x:c r="D699" s="23"/>
      <x:c r="E699" s="23"/>
      <x:c r="F699" s="23"/>
      <x:c r="G699" s="23"/>
    </x:row>
    <x:row r="700" spans="1:7" ht="13.19999999999999928946">
      <x:c r="A700" s="23"/>
      <x:c r="B700" s="23"/>
      <x:c r="C700" s="23"/>
      <x:c r="D700" s="23"/>
      <x:c r="E700" s="23"/>
      <x:c r="F700" s="23"/>
      <x:c r="G700" s="23"/>
    </x:row>
    <x:row r="701" spans="1:7" ht="13.19999999999999928946">
      <x:c r="A701" s="23"/>
      <x:c r="B701" s="23"/>
      <x:c r="C701" s="23"/>
      <x:c r="D701" s="23"/>
      <x:c r="E701" s="23"/>
      <x:c r="F701" s="23"/>
      <x:c r="G701" s="23"/>
    </x:row>
    <x:row r="702" spans="1:7" ht="13.19999999999999928946">
      <x:c r="A702" s="23"/>
      <x:c r="B702" s="23"/>
      <x:c r="C702" s="23"/>
      <x:c r="D702" s="23"/>
      <x:c r="E702" s="23"/>
      <x:c r="F702" s="23"/>
      <x:c r="G702" s="23"/>
    </x:row>
    <x:row r="703" spans="1:7" ht="13.19999999999999928946">
      <x:c r="A703" s="23"/>
      <x:c r="B703" s="23"/>
      <x:c r="C703" s="23"/>
      <x:c r="D703" s="23"/>
      <x:c r="E703" s="23"/>
      <x:c r="F703" s="23"/>
      <x:c r="G703" s="23"/>
    </x:row>
    <x:row r="704" spans="1:7" ht="13.19999999999999928946">
      <x:c r="A704" s="23"/>
      <x:c r="B704" s="23"/>
      <x:c r="C704" s="23"/>
      <x:c r="D704" s="23"/>
      <x:c r="E704" s="23"/>
      <x:c r="F704" s="23"/>
      <x:c r="G704" s="23"/>
    </x:row>
    <x:row r="705" spans="1:7" ht="13.19999999999999928946">
      <x:c r="A705" s="23"/>
      <x:c r="B705" s="23"/>
      <x:c r="C705" s="23"/>
      <x:c r="D705" s="23"/>
      <x:c r="E705" s="23"/>
      <x:c r="F705" s="23"/>
      <x:c r="G705" s="23"/>
    </x:row>
    <x:row r="706" spans="1:7" ht="13.19999999999999928946">
      <x:c r="A706" s="23"/>
      <x:c r="B706" s="23"/>
      <x:c r="C706" s="23"/>
      <x:c r="D706" s="23"/>
      <x:c r="E706" s="23"/>
      <x:c r="F706" s="23"/>
      <x:c r="G706" s="23"/>
    </x:row>
    <x:row r="707" spans="1:7" ht="13.19999999999999928946">
      <x:c r="A707" s="23"/>
      <x:c r="B707" s="23"/>
      <x:c r="C707" s="23"/>
      <x:c r="D707" s="23"/>
      <x:c r="E707" s="23"/>
      <x:c r="F707" s="23"/>
      <x:c r="G707" s="23"/>
    </x:row>
    <x:row r="708" spans="1:7" ht="13.19999999999999928946">
      <x:c r="A708" s="23"/>
      <x:c r="B708" s="23"/>
      <x:c r="C708" s="23"/>
      <x:c r="D708" s="23"/>
      <x:c r="E708" s="23"/>
      <x:c r="F708" s="23"/>
      <x:c r="G708" s="23"/>
    </x:row>
    <x:row r="709" spans="1:7" ht="13.19999999999999928946">
      <x:c r="A709" s="23"/>
      <x:c r="B709" s="23"/>
      <x:c r="C709" s="23"/>
      <x:c r="D709" s="23"/>
      <x:c r="E709" s="23"/>
      <x:c r="F709" s="23"/>
      <x:c r="G709" s="23"/>
    </x:row>
    <x:row r="710" spans="1:7" ht="13.19999999999999928946">
      <x:c r="A710" s="23"/>
      <x:c r="B710" s="23"/>
      <x:c r="C710" s="23"/>
      <x:c r="D710" s="23"/>
      <x:c r="E710" s="23"/>
      <x:c r="F710" s="23"/>
      <x:c r="G710" s="23"/>
    </x:row>
    <x:row r="711" spans="1:7" ht="13.19999999999999928946">
      <x:c r="A711" s="23"/>
      <x:c r="B711" s="23"/>
      <x:c r="C711" s="23"/>
      <x:c r="D711" s="23"/>
      <x:c r="E711" s="23"/>
      <x:c r="F711" s="23"/>
      <x:c r="G711" s="23"/>
    </x:row>
    <x:row r="712" spans="1:7" ht="13.19999999999999928946">
      <x:c r="A712" s="23"/>
      <x:c r="B712" s="23"/>
      <x:c r="C712" s="23"/>
      <x:c r="D712" s="23"/>
      <x:c r="E712" s="23"/>
      <x:c r="F712" s="23"/>
      <x:c r="G712" s="23"/>
    </x:row>
    <x:row r="713" spans="1:7" ht="13.19999999999999928946">
      <x:c r="A713" s="23"/>
      <x:c r="B713" s="23"/>
      <x:c r="C713" s="23"/>
      <x:c r="D713" s="23"/>
      <x:c r="E713" s="23"/>
      <x:c r="F713" s="23"/>
      <x:c r="G713" s="23"/>
    </x:row>
    <x:row r="714" spans="1:7" ht="13.19999999999999928946">
      <x:c r="A714" s="23"/>
      <x:c r="B714" s="23"/>
      <x:c r="C714" s="23"/>
      <x:c r="D714" s="23"/>
      <x:c r="E714" s="23"/>
      <x:c r="F714" s="23"/>
      <x:c r="G714" s="23"/>
    </x:row>
    <x:row r="715" spans="1:7" ht="13.19999999999999928946">
      <x:c r="A715" s="23"/>
      <x:c r="B715" s="23"/>
      <x:c r="C715" s="23"/>
      <x:c r="D715" s="23"/>
      <x:c r="E715" s="23"/>
      <x:c r="F715" s="23"/>
      <x:c r="G715" s="23"/>
    </x:row>
    <x:row r="716" spans="1:7" ht="13.19999999999999928946">
      <x:c r="A716" s="23"/>
      <x:c r="B716" s="23"/>
      <x:c r="C716" s="23"/>
      <x:c r="D716" s="23"/>
      <x:c r="E716" s="23"/>
      <x:c r="F716" s="23"/>
      <x:c r="G716" s="23"/>
    </x:row>
    <x:row r="717" spans="1:7" ht="13.19999999999999928946">
      <x:c r="A717" s="23"/>
      <x:c r="B717" s="23"/>
      <x:c r="C717" s="23"/>
      <x:c r="D717" s="23"/>
      <x:c r="E717" s="23"/>
      <x:c r="F717" s="23"/>
      <x:c r="G717" s="23"/>
    </x:row>
    <x:row r="718" spans="1:7" ht="13.19999999999999928946">
      <x:c r="A718" s="23"/>
      <x:c r="B718" s="23"/>
      <x:c r="C718" s="23"/>
      <x:c r="D718" s="23"/>
      <x:c r="E718" s="23"/>
      <x:c r="F718" s="23"/>
      <x:c r="G718" s="23"/>
    </x:row>
    <x:row r="719" spans="1:7" ht="13.19999999999999928946">
      <x:c r="A719" s="23"/>
      <x:c r="B719" s="23"/>
      <x:c r="C719" s="23"/>
      <x:c r="D719" s="23"/>
      <x:c r="E719" s="23"/>
      <x:c r="F719" s="23"/>
      <x:c r="G719" s="23"/>
    </x:row>
    <x:row r="720" spans="1:7" ht="13.19999999999999928946">
      <x:c r="A720" s="23"/>
      <x:c r="B720" s="23"/>
      <x:c r="C720" s="23"/>
      <x:c r="D720" s="23"/>
      <x:c r="E720" s="23"/>
      <x:c r="F720" s="23"/>
      <x:c r="G720" s="23"/>
    </x:row>
    <x:row r="721" spans="1:7" ht="13.19999999999999928946">
      <x:c r="A721" s="23"/>
      <x:c r="B721" s="23"/>
      <x:c r="C721" s="23"/>
      <x:c r="D721" s="23"/>
      <x:c r="E721" s="23"/>
      <x:c r="F721" s="23"/>
      <x:c r="G721" s="23"/>
    </x:row>
    <x:row r="722" spans="1:7" ht="13.19999999999999928946">
      <x:c r="A722" s="23"/>
      <x:c r="B722" s="23"/>
      <x:c r="C722" s="23"/>
      <x:c r="D722" s="23"/>
      <x:c r="E722" s="23"/>
      <x:c r="F722" s="23"/>
      <x:c r="G722" s="23"/>
    </x:row>
    <x:row r="723" spans="1:7" ht="13.19999999999999928946">
      <x:c r="A723" s="23"/>
      <x:c r="B723" s="23"/>
      <x:c r="C723" s="23"/>
      <x:c r="D723" s="23"/>
      <x:c r="E723" s="23"/>
      <x:c r="F723" s="23"/>
      <x:c r="G723" s="23"/>
    </x:row>
    <x:row r="724" spans="1:7" ht="13.19999999999999928946">
      <x:c r="A724" s="23"/>
      <x:c r="B724" s="23"/>
      <x:c r="C724" s="23"/>
      <x:c r="D724" s="23"/>
      <x:c r="E724" s="23"/>
      <x:c r="F724" s="23"/>
      <x:c r="G724" s="23"/>
    </x:row>
    <x:row r="725" spans="1:7" ht="13.19999999999999928946">
      <x:c r="A725" s="23"/>
      <x:c r="B725" s="23"/>
      <x:c r="C725" s="23"/>
      <x:c r="D725" s="23"/>
      <x:c r="E725" s="23"/>
      <x:c r="F725" s="23"/>
      <x:c r="G725" s="23"/>
    </x:row>
    <x:row r="726" spans="1:7" ht="13.19999999999999928946">
      <x:c r="A726" s="23"/>
      <x:c r="B726" s="23"/>
      <x:c r="C726" s="23"/>
      <x:c r="D726" s="23"/>
      <x:c r="E726" s="23"/>
      <x:c r="F726" s="23"/>
      <x:c r="G726" s="23"/>
    </x:row>
    <x:row r="727" spans="1:7" ht="13.19999999999999928946">
      <x:c r="A727" s="23"/>
      <x:c r="B727" s="23"/>
      <x:c r="C727" s="23"/>
      <x:c r="D727" s="23"/>
      <x:c r="E727" s="23"/>
      <x:c r="F727" s="23"/>
      <x:c r="G727" s="23"/>
    </x:row>
    <x:row r="728" spans="1:7" ht="13.19999999999999928946">
      <x:c r="A728" s="23"/>
      <x:c r="B728" s="23"/>
      <x:c r="C728" s="23"/>
      <x:c r="D728" s="23"/>
      <x:c r="E728" s="23"/>
      <x:c r="F728" s="23"/>
      <x:c r="G728" s="23"/>
    </x:row>
    <x:row r="729" spans="1:7" ht="13.19999999999999928946">
      <x:c r="A729" s="23"/>
      <x:c r="B729" s="23"/>
      <x:c r="C729" s="23"/>
      <x:c r="D729" s="23"/>
      <x:c r="E729" s="23"/>
      <x:c r="F729" s="23"/>
      <x:c r="G729" s="23"/>
    </x:row>
    <x:row r="730" spans="1:7" ht="13.19999999999999928946">
      <x:c r="A730" s="23"/>
      <x:c r="B730" s="23"/>
      <x:c r="C730" s="23"/>
      <x:c r="D730" s="23"/>
      <x:c r="E730" s="23"/>
      <x:c r="F730" s="23"/>
      <x:c r="G730" s="23"/>
    </x:row>
    <x:row r="731" spans="1:7" ht="13.19999999999999928946">
      <x:c r="A731" s="23"/>
      <x:c r="B731" s="23"/>
      <x:c r="C731" s="23"/>
      <x:c r="D731" s="23"/>
      <x:c r="E731" s="23"/>
      <x:c r="F731" s="23"/>
      <x:c r="G731" s="23"/>
    </x:row>
    <x:row r="732" spans="1:7" ht="13.19999999999999928946">
      <x:c r="A732" s="23"/>
      <x:c r="B732" s="23"/>
      <x:c r="C732" s="23"/>
      <x:c r="D732" s="23"/>
      <x:c r="E732" s="23"/>
      <x:c r="F732" s="23"/>
      <x:c r="G732" s="23"/>
    </x:row>
    <x:row r="733" spans="1:7" ht="13.19999999999999928946">
      <x:c r="A733" s="23"/>
      <x:c r="B733" s="23"/>
      <x:c r="C733" s="23"/>
      <x:c r="D733" s="23"/>
      <x:c r="E733" s="23"/>
      <x:c r="F733" s="23"/>
      <x:c r="G733" s="23"/>
    </x:row>
    <x:row r="734" spans="1:7" ht="13.19999999999999928946">
      <x:c r="A734" s="23"/>
      <x:c r="B734" s="23"/>
      <x:c r="C734" s="23"/>
      <x:c r="D734" s="23"/>
      <x:c r="E734" s="23"/>
      <x:c r="F734" s="23"/>
      <x:c r="G734" s="23"/>
    </x:row>
    <x:row r="735" spans="1:7" ht="13.19999999999999928946">
      <x:c r="A735" s="23"/>
      <x:c r="B735" s="23"/>
      <x:c r="C735" s="23"/>
      <x:c r="D735" s="23"/>
      <x:c r="E735" s="23"/>
      <x:c r="F735" s="23"/>
      <x:c r="G735" s="23"/>
    </x:row>
    <x:row r="736" spans="1:7" ht="13.19999999999999928946">
      <x:c r="A736" s="23"/>
      <x:c r="B736" s="23"/>
      <x:c r="C736" s="23"/>
      <x:c r="D736" s="23"/>
      <x:c r="E736" s="23"/>
      <x:c r="F736" s="23"/>
      <x:c r="G736" s="23"/>
    </x:row>
    <x:row r="737" spans="1:7" ht="13.19999999999999928946">
      <x:c r="A737" s="23"/>
      <x:c r="B737" s="23"/>
      <x:c r="C737" s="23"/>
      <x:c r="D737" s="23"/>
      <x:c r="E737" s="23"/>
      <x:c r="F737" s="23"/>
      <x:c r="G737" s="23"/>
    </x:row>
    <x:row r="738" spans="1:7" ht="13.19999999999999928946">
      <x:c r="A738" s="23"/>
      <x:c r="B738" s="23"/>
      <x:c r="C738" s="23"/>
      <x:c r="D738" s="23"/>
      <x:c r="E738" s="23"/>
      <x:c r="F738" s="23"/>
      <x:c r="G738" s="23"/>
    </x:row>
    <x:row r="739" spans="1:7" ht="13.19999999999999928946">
      <x:c r="A739" s="23"/>
      <x:c r="B739" s="23"/>
      <x:c r="C739" s="23"/>
      <x:c r="D739" s="23"/>
      <x:c r="E739" s="23"/>
      <x:c r="F739" s="23"/>
      <x:c r="G739" s="23"/>
    </x:row>
    <x:row r="740" spans="1:7" ht="13.19999999999999928946">
      <x:c r="A740" s="23"/>
      <x:c r="B740" s="23"/>
      <x:c r="C740" s="23"/>
      <x:c r="D740" s="23"/>
      <x:c r="E740" s="23"/>
      <x:c r="F740" s="23"/>
      <x:c r="G740" s="23"/>
    </x:row>
    <x:row r="741" spans="1:7" ht="13.19999999999999928946">
      <x:c r="A741" s="23"/>
      <x:c r="B741" s="23"/>
      <x:c r="C741" s="23"/>
      <x:c r="D741" s="23"/>
      <x:c r="E741" s="23"/>
      <x:c r="F741" s="23"/>
      <x:c r="G741" s="23"/>
    </x:row>
    <x:row r="742" spans="1:7" ht="13.19999999999999928946">
      <x:c r="A742" s="23"/>
      <x:c r="B742" s="23"/>
      <x:c r="C742" s="23"/>
      <x:c r="D742" s="23"/>
      <x:c r="E742" s="23"/>
      <x:c r="F742" s="23"/>
      <x:c r="G742" s="23"/>
    </x:row>
    <x:row r="743" spans="1:7" ht="13.19999999999999928946">
      <x:c r="A743" s="23"/>
      <x:c r="B743" s="23"/>
      <x:c r="C743" s="23"/>
      <x:c r="D743" s="23"/>
      <x:c r="E743" s="23"/>
      <x:c r="F743" s="23"/>
      <x:c r="G743" s="23"/>
    </x:row>
    <x:row r="744" spans="1:7" ht="13.19999999999999928946">
      <x:c r="A744" s="23"/>
      <x:c r="B744" s="23"/>
      <x:c r="C744" s="23"/>
      <x:c r="D744" s="23"/>
      <x:c r="E744" s="23"/>
      <x:c r="F744" s="23"/>
      <x:c r="G744" s="23"/>
    </x:row>
    <x:row r="745" spans="1:7" ht="13.19999999999999928946">
      <x:c r="A745" s="23"/>
      <x:c r="B745" s="23"/>
      <x:c r="C745" s="23"/>
      <x:c r="D745" s="23"/>
      <x:c r="E745" s="23"/>
      <x:c r="F745" s="23"/>
      <x:c r="G745" s="23"/>
    </x:row>
    <x:row r="746" spans="1:7" ht="13.19999999999999928946">
      <x:c r="A746" s="23"/>
      <x:c r="B746" s="23"/>
      <x:c r="C746" s="23"/>
      <x:c r="D746" s="23"/>
      <x:c r="E746" s="23"/>
      <x:c r="F746" s="23"/>
      <x:c r="G746" s="23"/>
    </x:row>
    <x:row r="747" spans="1:7" ht="13.19999999999999928946">
      <x:c r="A747" s="23"/>
      <x:c r="B747" s="23"/>
      <x:c r="C747" s="23"/>
      <x:c r="D747" s="23"/>
      <x:c r="E747" s="23"/>
      <x:c r="F747" s="23"/>
      <x:c r="G747" s="23"/>
    </x:row>
    <x:row r="748" spans="1:7" ht="13.19999999999999928946">
      <x:c r="A748" s="23"/>
      <x:c r="B748" s="23"/>
      <x:c r="C748" s="23"/>
      <x:c r="D748" s="23"/>
      <x:c r="E748" s="23"/>
      <x:c r="F748" s="23"/>
      <x:c r="G748" s="23"/>
    </x:row>
    <x:row r="749" spans="1:7" ht="13.19999999999999928946">
      <x:c r="A749" s="23"/>
      <x:c r="B749" s="23"/>
      <x:c r="C749" s="23"/>
      <x:c r="D749" s="23"/>
      <x:c r="E749" s="23"/>
      <x:c r="F749" s="23"/>
      <x:c r="G749" s="23"/>
    </x:row>
    <x:row r="750" spans="1:7" ht="13.19999999999999928946">
      <x:c r="A750" s="23"/>
      <x:c r="B750" s="23"/>
      <x:c r="C750" s="23"/>
      <x:c r="D750" s="23"/>
      <x:c r="E750" s="23"/>
      <x:c r="F750" s="23"/>
      <x:c r="G750" s="23"/>
    </x:row>
    <x:row r="751" spans="1:7" ht="13.19999999999999928946">
      <x:c r="A751" s="23"/>
      <x:c r="B751" s="23"/>
      <x:c r="C751" s="23"/>
      <x:c r="D751" s="23"/>
      <x:c r="E751" s="23"/>
      <x:c r="F751" s="23"/>
      <x:c r="G751" s="23"/>
    </x:row>
    <x:row r="752" spans="1:7" ht="13.19999999999999928946">
      <x:c r="A752" s="23"/>
      <x:c r="B752" s="23"/>
      <x:c r="C752" s="23"/>
      <x:c r="D752" s="23"/>
      <x:c r="E752" s="23"/>
      <x:c r="F752" s="23"/>
      <x:c r="G752" s="23"/>
    </x:row>
    <x:row r="753" spans="1:7" ht="13.19999999999999928946">
      <x:c r="A753" s="23"/>
      <x:c r="B753" s="23"/>
      <x:c r="C753" s="23"/>
      <x:c r="D753" s="23"/>
      <x:c r="E753" s="23"/>
      <x:c r="F753" s="23"/>
      <x:c r="G753" s="23"/>
    </x:row>
    <x:row r="754" spans="1:7" ht="13.19999999999999928946">
      <x:c r="A754" s="23"/>
      <x:c r="B754" s="23"/>
      <x:c r="C754" s="23"/>
      <x:c r="D754" s="23"/>
      <x:c r="E754" s="23"/>
      <x:c r="F754" s="23"/>
      <x:c r="G754" s="23"/>
    </x:row>
    <x:row r="755" spans="1:7" ht="13.19999999999999928946">
      <x:c r="A755" s="23"/>
      <x:c r="B755" s="23"/>
      <x:c r="C755" s="23"/>
      <x:c r="D755" s="23"/>
      <x:c r="E755" s="23"/>
      <x:c r="F755" s="23"/>
      <x:c r="G755" s="23"/>
    </x:row>
    <x:row r="756" spans="1:7" ht="13.19999999999999928946">
      <x:c r="A756" s="23"/>
      <x:c r="B756" s="23"/>
      <x:c r="C756" s="23"/>
      <x:c r="D756" s="23"/>
      <x:c r="E756" s="23"/>
      <x:c r="F756" s="23"/>
      <x:c r="G756" s="23"/>
    </x:row>
    <x:row r="757" spans="1:7" ht="13.19999999999999928946">
      <x:c r="A757" s="23"/>
      <x:c r="B757" s="23"/>
      <x:c r="C757" s="23"/>
      <x:c r="D757" s="23"/>
      <x:c r="E757" s="23"/>
      <x:c r="F757" s="23"/>
      <x:c r="G757" s="23"/>
    </x:row>
    <x:row r="758" spans="1:7" ht="13.19999999999999928946">
      <x:c r="A758" s="23"/>
      <x:c r="B758" s="23"/>
      <x:c r="C758" s="23"/>
      <x:c r="D758" s="23"/>
      <x:c r="E758" s="23"/>
      <x:c r="F758" s="23"/>
      <x:c r="G758" s="23"/>
    </x:row>
    <x:row r="759" spans="1:7" ht="13.19999999999999928946">
      <x:c r="A759" s="23"/>
      <x:c r="B759" s="23"/>
      <x:c r="C759" s="23"/>
      <x:c r="D759" s="23"/>
      <x:c r="E759" s="23"/>
      <x:c r="F759" s="23"/>
      <x:c r="G759" s="23"/>
    </x:row>
    <x:row r="760" spans="1:7" ht="13.19999999999999928946">
      <x:c r="A760" s="23"/>
      <x:c r="B760" s="23"/>
      <x:c r="C760" s="23"/>
      <x:c r="D760" s="23"/>
      <x:c r="E760" s="23"/>
      <x:c r="F760" s="23"/>
      <x:c r="G760" s="23"/>
    </x:row>
    <x:row r="761" spans="1:7" ht="13.19999999999999928946">
      <x:c r="A761" s="23"/>
      <x:c r="B761" s="23"/>
      <x:c r="C761" s="23"/>
      <x:c r="D761" s="23"/>
      <x:c r="E761" s="23"/>
      <x:c r="F761" s="23"/>
      <x:c r="G761" s="23"/>
    </x:row>
    <x:row r="762" spans="1:7" ht="13.19999999999999928946">
      <x:c r="A762" s="23"/>
      <x:c r="B762" s="23"/>
      <x:c r="C762" s="23"/>
      <x:c r="D762" s="23"/>
      <x:c r="E762" s="23"/>
      <x:c r="F762" s="23"/>
      <x:c r="G762" s="23"/>
    </x:row>
    <x:row r="763" spans="1:7" ht="13.19999999999999928946">
      <x:c r="A763" s="23"/>
      <x:c r="B763" s="23"/>
      <x:c r="C763" s="23"/>
      <x:c r="D763" s="23"/>
      <x:c r="E763" s="23"/>
      <x:c r="F763" s="23"/>
      <x:c r="G763" s="23"/>
    </x:row>
    <x:row r="764" spans="1:7" ht="13.19999999999999928946">
      <x:c r="A764" s="23"/>
      <x:c r="B764" s="23"/>
      <x:c r="C764" s="23"/>
      <x:c r="D764" s="23"/>
      <x:c r="E764" s="23"/>
      <x:c r="F764" s="23"/>
      <x:c r="G764" s="23"/>
    </x:row>
    <x:row r="765" spans="1:7" ht="13.19999999999999928946">
      <x:c r="A765" s="23"/>
      <x:c r="B765" s="23"/>
      <x:c r="C765" s="23"/>
      <x:c r="D765" s="23"/>
      <x:c r="E765" s="23"/>
      <x:c r="F765" s="23"/>
      <x:c r="G765" s="23"/>
    </x:row>
    <x:row r="766" spans="1:7" ht="13.19999999999999928946">
      <x:c r="A766" s="23"/>
      <x:c r="B766" s="23"/>
      <x:c r="C766" s="23"/>
      <x:c r="D766" s="23"/>
      <x:c r="E766" s="23"/>
      <x:c r="F766" s="23"/>
      <x:c r="G766" s="23"/>
    </x:row>
    <x:row r="767" spans="1:7" ht="13.19999999999999928946">
      <x:c r="A767" s="23"/>
      <x:c r="B767" s="23"/>
      <x:c r="C767" s="23"/>
      <x:c r="D767" s="23"/>
      <x:c r="E767" s="23"/>
      <x:c r="F767" s="23"/>
      <x:c r="G767" s="23"/>
    </x:row>
    <x:row r="768" spans="1:7" ht="13.19999999999999928946">
      <x:c r="A768" s="23"/>
      <x:c r="B768" s="23"/>
      <x:c r="C768" s="23"/>
      <x:c r="D768" s="23"/>
      <x:c r="E768" s="23"/>
      <x:c r="F768" s="23"/>
      <x:c r="G768" s="23"/>
    </x:row>
    <x:row r="769" spans="1:7" ht="13.19999999999999928946">
      <x:c r="A769" s="23"/>
      <x:c r="B769" s="23"/>
      <x:c r="C769" s="23"/>
      <x:c r="D769" s="23"/>
      <x:c r="E769" s="23"/>
      <x:c r="F769" s="23"/>
      <x:c r="G769" s="23"/>
    </x:row>
    <x:row r="770" spans="1:7" ht="13.19999999999999928946">
      <x:c r="A770" s="23"/>
      <x:c r="B770" s="23"/>
      <x:c r="C770" s="23"/>
      <x:c r="D770" s="23"/>
      <x:c r="E770" s="23"/>
      <x:c r="F770" s="23"/>
      <x:c r="G770" s="23"/>
    </x:row>
    <x:row r="771" spans="1:7" ht="13.19999999999999928946">
      <x:c r="A771" s="23"/>
      <x:c r="B771" s="23"/>
      <x:c r="C771" s="23"/>
      <x:c r="D771" s="23"/>
      <x:c r="E771" s="23"/>
      <x:c r="F771" s="23"/>
      <x:c r="G771" s="23"/>
    </x:row>
    <x:row r="772" spans="1:7" ht="13.19999999999999928946">
      <x:c r="A772" s="23"/>
      <x:c r="B772" s="23"/>
      <x:c r="C772" s="23"/>
      <x:c r="D772" s="23"/>
      <x:c r="E772" s="23"/>
      <x:c r="F772" s="23"/>
      <x:c r="G772" s="23"/>
    </x:row>
    <x:row r="773" spans="1:7" ht="13.19999999999999928946">
      <x:c r="A773" s="23"/>
      <x:c r="B773" s="23"/>
      <x:c r="C773" s="23"/>
      <x:c r="D773" s="23"/>
      <x:c r="E773" s="23"/>
      <x:c r="F773" s="23"/>
      <x:c r="G773" s="23"/>
    </x:row>
    <x:row r="774" spans="1:7" ht="13.19999999999999928946">
      <x:c r="A774" s="23"/>
      <x:c r="B774" s="23"/>
      <x:c r="C774" s="23"/>
      <x:c r="D774" s="23"/>
      <x:c r="E774" s="23"/>
      <x:c r="F774" s="23"/>
      <x:c r="G774" s="23"/>
    </x:row>
    <x:row r="775" spans="1:7" ht="13.19999999999999928946">
      <x:c r="A775" s="23"/>
      <x:c r="B775" s="23"/>
      <x:c r="C775" s="23"/>
      <x:c r="D775" s="23"/>
      <x:c r="E775" s="23"/>
      <x:c r="F775" s="23"/>
      <x:c r="G775" s="23"/>
    </x:row>
    <x:row r="776" spans="1:7" ht="13.19999999999999928946">
      <x:c r="A776" s="23"/>
      <x:c r="B776" s="23"/>
      <x:c r="C776" s="23"/>
      <x:c r="D776" s="23"/>
      <x:c r="E776" s="23"/>
      <x:c r="F776" s="23"/>
      <x:c r="G776" s="23"/>
    </x:row>
    <x:row r="777" spans="1:7" ht="13.19999999999999928946">
      <x:c r="A777" s="23"/>
      <x:c r="B777" s="23"/>
      <x:c r="C777" s="23"/>
      <x:c r="D777" s="23"/>
      <x:c r="E777" s="23"/>
      <x:c r="F777" s="23"/>
      <x:c r="G777" s="23"/>
    </x:row>
    <x:row r="778" spans="1:7" ht="13.19999999999999928946">
      <x:c r="A778" s="23"/>
      <x:c r="B778" s="23"/>
      <x:c r="C778" s="23"/>
      <x:c r="D778" s="23"/>
      <x:c r="E778" s="23"/>
      <x:c r="F778" s="23"/>
      <x:c r="G778" s="23"/>
    </x:row>
    <x:row r="779" spans="1:7" ht="13.19999999999999928946">
      <x:c r="A779" s="23"/>
      <x:c r="B779" s="23"/>
      <x:c r="C779" s="23"/>
      <x:c r="D779" s="23"/>
      <x:c r="E779" s="23"/>
      <x:c r="F779" s="23"/>
      <x:c r="G779" s="23"/>
    </x:row>
    <x:row r="780" spans="1:7" ht="13.19999999999999928946">
      <x:c r="A780" s="23"/>
      <x:c r="B780" s="23"/>
      <x:c r="C780" s="23"/>
      <x:c r="D780" s="23"/>
      <x:c r="E780" s="23"/>
      <x:c r="F780" s="23"/>
      <x:c r="G780" s="23"/>
    </x:row>
    <x:row r="781" spans="1:7" ht="13.19999999999999928946">
      <x:c r="A781" s="23"/>
      <x:c r="B781" s="23"/>
      <x:c r="C781" s="23"/>
      <x:c r="D781" s="23"/>
      <x:c r="E781" s="23"/>
      <x:c r="F781" s="23"/>
      <x:c r="G781" s="23"/>
    </x:row>
    <x:row r="782" spans="1:7" ht="13.19999999999999928946">
      <x:c r="A782" s="23"/>
      <x:c r="B782" s="23"/>
      <x:c r="C782" s="23"/>
      <x:c r="D782" s="23"/>
      <x:c r="E782" s="23"/>
      <x:c r="F782" s="23"/>
      <x:c r="G782" s="23"/>
    </x:row>
    <x:row r="783" spans="1:7" ht="13.19999999999999928946">
      <x:c r="A783" s="23"/>
      <x:c r="B783" s="23"/>
      <x:c r="C783" s="23"/>
      <x:c r="D783" s="23"/>
      <x:c r="E783" s="23"/>
      <x:c r="F783" s="23"/>
      <x:c r="G783" s="23"/>
    </x:row>
    <x:row r="784" spans="1:7" ht="13.19999999999999928946">
      <x:c r="A784" s="23"/>
      <x:c r="B784" s="23"/>
      <x:c r="C784" s="23"/>
      <x:c r="D784" s="23"/>
      <x:c r="E784" s="23"/>
      <x:c r="F784" s="23"/>
      <x:c r="G784" s="23"/>
    </x:row>
    <x:row r="785" spans="1:7" ht="13.19999999999999928946">
      <x:c r="A785" s="23"/>
      <x:c r="B785" s="23"/>
      <x:c r="C785" s="23"/>
      <x:c r="D785" s="23"/>
      <x:c r="E785" s="23"/>
      <x:c r="F785" s="23"/>
      <x:c r="G785" s="23"/>
    </x:row>
    <x:row r="786" spans="1:7" ht="13.19999999999999928946">
      <x:c r="A786" s="23"/>
      <x:c r="B786" s="23"/>
      <x:c r="C786" s="23"/>
      <x:c r="D786" s="23"/>
      <x:c r="E786" s="23"/>
      <x:c r="F786" s="23"/>
      <x:c r="G786" s="23"/>
    </x:row>
    <x:row r="787" spans="1:7" ht="13.19999999999999928946">
      <x:c r="A787" s="23"/>
      <x:c r="B787" s="23"/>
      <x:c r="C787" s="23"/>
      <x:c r="D787" s="23"/>
      <x:c r="E787" s="23"/>
      <x:c r="F787" s="23"/>
      <x:c r="G787" s="23"/>
    </x:row>
    <x:row r="788" spans="1:7" ht="13.19999999999999928946">
      <x:c r="A788" s="23"/>
      <x:c r="B788" s="23"/>
      <x:c r="C788" s="23"/>
      <x:c r="D788" s="23"/>
      <x:c r="E788" s="23"/>
      <x:c r="F788" s="23"/>
      <x:c r="G788" s="23"/>
    </x:row>
    <x:row r="789" spans="1:7" ht="13.19999999999999928946">
      <x:c r="A789" s="23"/>
      <x:c r="B789" s="23"/>
      <x:c r="C789" s="23"/>
      <x:c r="D789" s="23"/>
      <x:c r="E789" s="23"/>
      <x:c r="F789" s="23"/>
      <x:c r="G789" s="23"/>
    </x:row>
    <x:row r="790" spans="1:7" ht="13.19999999999999928946">
      <x:c r="A790" s="23"/>
      <x:c r="B790" s="23"/>
      <x:c r="C790" s="23"/>
      <x:c r="D790" s="23"/>
      <x:c r="E790" s="23"/>
      <x:c r="F790" s="23"/>
      <x:c r="G790" s="23"/>
    </x:row>
    <x:row r="791" spans="1:7" ht="13.19999999999999928946">
      <x:c r="A791" s="23"/>
      <x:c r="B791" s="23"/>
      <x:c r="C791" s="23"/>
      <x:c r="D791" s="23"/>
      <x:c r="E791" s="23"/>
      <x:c r="F791" s="23"/>
      <x:c r="G791" s="23"/>
    </x:row>
    <x:row r="792" spans="1:7" ht="13.19999999999999928946">
      <x:c r="A792" s="23"/>
      <x:c r="B792" s="23"/>
      <x:c r="C792" s="23"/>
      <x:c r="D792" s="23"/>
      <x:c r="E792" s="23"/>
      <x:c r="F792" s="23"/>
      <x:c r="G792" s="23"/>
    </x:row>
    <x:row r="793" spans="1:7" ht="13.19999999999999928946">
      <x:c r="A793" s="23"/>
      <x:c r="B793" s="23"/>
      <x:c r="C793" s="23"/>
      <x:c r="D793" s="23"/>
      <x:c r="E793" s="23"/>
      <x:c r="F793" s="23"/>
      <x:c r="G793" s="23"/>
    </x:row>
    <x:row r="794" spans="1:7" ht="13.19999999999999928946">
      <x:c r="A794" s="23"/>
      <x:c r="B794" s="23"/>
      <x:c r="C794" s="23"/>
      <x:c r="D794" s="23"/>
      <x:c r="E794" s="23"/>
      <x:c r="F794" s="23"/>
      <x:c r="G794" s="23"/>
    </x:row>
    <x:row r="795" spans="1:7" ht="13.19999999999999928946">
      <x:c r="A795" s="23"/>
      <x:c r="B795" s="23"/>
      <x:c r="C795" s="23"/>
      <x:c r="D795" s="23"/>
      <x:c r="E795" s="23"/>
      <x:c r="F795" s="23"/>
      <x:c r="G795" s="23"/>
    </x:row>
    <x:row r="796" spans="1:7" ht="13.19999999999999928946">
      <x:c r="A796" s="23"/>
      <x:c r="B796" s="23"/>
      <x:c r="C796" s="23"/>
      <x:c r="D796" s="23"/>
      <x:c r="E796" s="23"/>
      <x:c r="F796" s="23"/>
      <x:c r="G796" s="23"/>
    </x:row>
    <x:row r="797" spans="1:7" ht="13.19999999999999928946">
      <x:c r="A797" s="23"/>
      <x:c r="B797" s="23"/>
      <x:c r="C797" s="23"/>
      <x:c r="D797" s="23"/>
      <x:c r="E797" s="23"/>
      <x:c r="F797" s="23"/>
      <x:c r="G797" s="23"/>
    </x:row>
    <x:row r="798" spans="1:7" ht="13.19999999999999928946">
      <x:c r="A798" s="23"/>
      <x:c r="B798" s="23"/>
      <x:c r="C798" s="23"/>
      <x:c r="D798" s="23"/>
      <x:c r="E798" s="23"/>
      <x:c r="F798" s="23"/>
      <x:c r="G798" s="23"/>
    </x:row>
    <x:row r="799" spans="1:7" ht="13.19999999999999928946">
      <x:c r="A799" s="23"/>
      <x:c r="B799" s="23"/>
      <x:c r="C799" s="23"/>
      <x:c r="D799" s="23"/>
      <x:c r="E799" s="23"/>
      <x:c r="F799" s="23"/>
      <x:c r="G799" s="23"/>
    </x:row>
    <x:row r="800" spans="1:7" ht="13.19999999999999928946">
      <x:c r="A800" s="23"/>
      <x:c r="B800" s="23"/>
      <x:c r="C800" s="23"/>
      <x:c r="D800" s="23"/>
      <x:c r="E800" s="23"/>
      <x:c r="F800" s="23"/>
      <x:c r="G800" s="23"/>
    </x:row>
    <x:row r="801" spans="1:7" ht="13.19999999999999928946">
      <x:c r="A801" s="23"/>
      <x:c r="B801" s="23"/>
      <x:c r="C801" s="23"/>
      <x:c r="D801" s="23"/>
      <x:c r="E801" s="23"/>
      <x:c r="F801" s="23"/>
      <x:c r="G801" s="23"/>
    </x:row>
    <x:row r="802" spans="1:7" ht="13.19999999999999928946">
      <x:c r="A802" s="23"/>
      <x:c r="B802" s="23"/>
      <x:c r="C802" s="23"/>
      <x:c r="D802" s="23"/>
      <x:c r="E802" s="23"/>
      <x:c r="F802" s="23"/>
      <x:c r="G802" s="23"/>
    </x:row>
    <x:row r="803" spans="1:7" ht="13.19999999999999928946">
      <x:c r="A803" s="23"/>
      <x:c r="B803" s="23"/>
      <x:c r="C803" s="23"/>
      <x:c r="D803" s="23"/>
      <x:c r="E803" s="23"/>
      <x:c r="F803" s="23"/>
      <x:c r="G803" s="23"/>
    </x:row>
    <x:row r="804" spans="1:7" ht="13.19999999999999928946">
      <x:c r="A804" s="23"/>
      <x:c r="B804" s="23"/>
      <x:c r="C804" s="23"/>
      <x:c r="D804" s="23"/>
      <x:c r="E804" s="23"/>
      <x:c r="F804" s="23"/>
      <x:c r="G804" s="23"/>
    </x:row>
    <x:row r="805" spans="1:7" ht="13.19999999999999928946">
      <x:c r="A805" s="23"/>
      <x:c r="B805" s="23"/>
      <x:c r="C805" s="23"/>
      <x:c r="D805" s="23"/>
      <x:c r="E805" s="23"/>
      <x:c r="F805" s="23"/>
      <x:c r="G805" s="23"/>
    </x:row>
    <x:row r="806" spans="1:7" ht="13.19999999999999928946">
      <x:c r="A806" s="23"/>
      <x:c r="B806" s="23"/>
      <x:c r="C806" s="23"/>
      <x:c r="D806" s="23"/>
      <x:c r="E806" s="23"/>
      <x:c r="F806" s="23"/>
      <x:c r="G806" s="23"/>
    </x:row>
    <x:row r="807" spans="1:7" ht="13.19999999999999928946">
      <x:c r="A807" s="23"/>
      <x:c r="B807" s="23"/>
      <x:c r="C807" s="23"/>
      <x:c r="D807" s="23"/>
      <x:c r="E807" s="23"/>
      <x:c r="F807" s="23"/>
      <x:c r="G807" s="23"/>
    </x:row>
    <x:row r="808" spans="1:7" ht="13.19999999999999928946">
      <x:c r="A808" s="23"/>
      <x:c r="B808" s="23"/>
      <x:c r="C808" s="23"/>
      <x:c r="D808" s="23"/>
      <x:c r="E808" s="23"/>
      <x:c r="F808" s="23"/>
      <x:c r="G808" s="23"/>
    </x:row>
    <x:row r="809" spans="1:7" ht="13.19999999999999928946">
      <x:c r="A809" s="23"/>
      <x:c r="B809" s="23"/>
      <x:c r="C809" s="23"/>
      <x:c r="D809" s="23"/>
      <x:c r="E809" s="23"/>
      <x:c r="F809" s="23"/>
      <x:c r="G809" s="23"/>
    </x:row>
    <x:row r="810" spans="1:7" ht="13.19999999999999928946">
      <x:c r="A810" s="23"/>
      <x:c r="B810" s="23"/>
      <x:c r="C810" s="23"/>
      <x:c r="D810" s="23"/>
      <x:c r="E810" s="23"/>
      <x:c r="F810" s="23"/>
      <x:c r="G810" s="23"/>
    </x:row>
    <x:row r="811" spans="1:7" ht="13.19999999999999928946">
      <x:c r="A811" s="23"/>
      <x:c r="B811" s="23"/>
      <x:c r="C811" s="23"/>
      <x:c r="D811" s="23"/>
      <x:c r="E811" s="23"/>
      <x:c r="F811" s="23"/>
      <x:c r="G811" s="23"/>
    </x:row>
    <x:row r="812" spans="1:7" ht="13.19999999999999928946">
      <x:c r="A812" s="23"/>
      <x:c r="B812" s="23"/>
      <x:c r="C812" s="23"/>
      <x:c r="D812" s="23"/>
      <x:c r="E812" s="23"/>
      <x:c r="F812" s="23"/>
      <x:c r="G812" s="23"/>
    </x:row>
    <x:row r="813" spans="1:7" ht="13.19999999999999928946">
      <x:c r="A813" s="23"/>
      <x:c r="B813" s="23"/>
      <x:c r="C813" s="23"/>
      <x:c r="D813" s="23"/>
      <x:c r="E813" s="23"/>
      <x:c r="F813" s="23"/>
      <x:c r="G813" s="23"/>
    </x:row>
    <x:row r="814" spans="1:7" ht="13.19999999999999928946">
      <x:c r="A814" s="23"/>
      <x:c r="B814" s="23"/>
      <x:c r="C814" s="23"/>
      <x:c r="D814" s="23"/>
      <x:c r="E814" s="23"/>
      <x:c r="F814" s="23"/>
      <x:c r="G814" s="23"/>
    </x:row>
    <x:row r="815" spans="1:7" ht="13.19999999999999928946">
      <x:c r="A815" s="23"/>
      <x:c r="B815" s="23"/>
      <x:c r="C815" s="23"/>
      <x:c r="D815" s="23"/>
      <x:c r="E815" s="23"/>
      <x:c r="F815" s="23"/>
      <x:c r="G815" s="23"/>
    </x:row>
    <x:row r="816" spans="1:7" ht="13.19999999999999928946">
      <x:c r="A816" s="23"/>
      <x:c r="B816" s="23"/>
      <x:c r="C816" s="23"/>
      <x:c r="D816" s="23"/>
      <x:c r="E816" s="23"/>
      <x:c r="F816" s="23"/>
      <x:c r="G816" s="23"/>
    </x:row>
    <x:row r="817" spans="1:7" ht="13.19999999999999928946">
      <x:c r="A817" s="23"/>
      <x:c r="B817" s="23"/>
      <x:c r="C817" s="23"/>
      <x:c r="D817" s="23"/>
      <x:c r="E817" s="23"/>
      <x:c r="F817" s="23"/>
      <x:c r="G817" s="23"/>
    </x:row>
    <x:row r="818" spans="1:7" ht="13.19999999999999928946">
      <x:c r="A818" s="23"/>
      <x:c r="B818" s="23"/>
      <x:c r="C818" s="23"/>
      <x:c r="D818" s="23"/>
      <x:c r="E818" s="23"/>
      <x:c r="F818" s="23"/>
      <x:c r="G818" s="23"/>
    </x:row>
    <x:row r="819" spans="1:7" ht="13.19999999999999928946">
      <x:c r="A819" s="23"/>
      <x:c r="B819" s="23"/>
      <x:c r="C819" s="23"/>
      <x:c r="D819" s="23"/>
      <x:c r="E819" s="23"/>
      <x:c r="F819" s="23"/>
      <x:c r="G819" s="23"/>
    </x:row>
    <x:row r="820" spans="1:7" ht="13.19999999999999928946">
      <x:c r="A820" s="23"/>
      <x:c r="B820" s="23"/>
      <x:c r="C820" s="23"/>
      <x:c r="D820" s="23"/>
      <x:c r="E820" s="23"/>
      <x:c r="F820" s="23"/>
      <x:c r="G820" s="23"/>
    </x:row>
    <x:row r="821" spans="1:7" ht="13.19999999999999928946">
      <x:c r="A821" s="23"/>
      <x:c r="B821" s="23"/>
      <x:c r="C821" s="23"/>
      <x:c r="D821" s="23"/>
      <x:c r="E821" s="23"/>
      <x:c r="F821" s="23"/>
      <x:c r="G821" s="23"/>
    </x:row>
    <x:row r="822" spans="1:7" ht="13.19999999999999928946">
      <x:c r="A822" s="23"/>
      <x:c r="B822" s="23"/>
      <x:c r="C822" s="23"/>
      <x:c r="D822" s="23"/>
      <x:c r="E822" s="23"/>
      <x:c r="F822" s="23"/>
      <x:c r="G822" s="23"/>
    </x:row>
    <x:row r="823" spans="1:7" ht="13.19999999999999928946">
      <x:c r="A823" s="23"/>
      <x:c r="B823" s="23"/>
      <x:c r="C823" s="23"/>
      <x:c r="D823" s="23"/>
      <x:c r="E823" s="23"/>
      <x:c r="F823" s="23"/>
      <x:c r="G823" s="23"/>
    </x:row>
    <x:row r="824" spans="1:7" ht="13.19999999999999928946">
      <x:c r="A824" s="23"/>
      <x:c r="B824" s="23"/>
      <x:c r="C824" s="23"/>
      <x:c r="D824" s="23"/>
      <x:c r="E824" s="23"/>
      <x:c r="F824" s="23"/>
      <x:c r="G824" s="23"/>
    </x:row>
    <x:row r="825" spans="1:7" ht="13.19999999999999928946">
      <x:c r="A825" s="23"/>
      <x:c r="B825" s="23"/>
      <x:c r="C825" s="23"/>
      <x:c r="D825" s="23"/>
      <x:c r="E825" s="23"/>
      <x:c r="F825" s="23"/>
      <x:c r="G825" s="23"/>
    </x:row>
    <x:row r="826" spans="1:7" ht="13.19999999999999928946">
      <x:c r="A826" s="23"/>
      <x:c r="B826" s="23"/>
      <x:c r="C826" s="23"/>
      <x:c r="D826" s="23"/>
      <x:c r="E826" s="23"/>
      <x:c r="F826" s="23"/>
      <x:c r="G826" s="23"/>
    </x:row>
    <x:row r="827" spans="1:7" ht="13.19999999999999928946">
      <x:c r="A827" s="23"/>
      <x:c r="B827" s="23"/>
      <x:c r="C827" s="23"/>
      <x:c r="D827" s="23"/>
      <x:c r="E827" s="23"/>
      <x:c r="F827" s="23"/>
      <x:c r="G827" s="23"/>
    </x:row>
    <x:row r="828" spans="1:7" ht="13.19999999999999928946">
      <x:c r="A828" s="23"/>
      <x:c r="B828" s="23"/>
      <x:c r="C828" s="23"/>
      <x:c r="D828" s="23"/>
      <x:c r="E828" s="23"/>
      <x:c r="F828" s="23"/>
      <x:c r="G828" s="23"/>
    </x:row>
    <x:row r="829" spans="1:7" ht="13.19999999999999928946">
      <x:c r="A829" s="23"/>
      <x:c r="B829" s="23"/>
      <x:c r="C829" s="23"/>
      <x:c r="D829" s="23"/>
      <x:c r="E829" s="23"/>
      <x:c r="F829" s="23"/>
      <x:c r="G829" s="23"/>
    </x:row>
    <x:row r="830" spans="1:7" ht="13.19999999999999928946">
      <x:c r="A830" s="23"/>
      <x:c r="B830" s="23"/>
      <x:c r="C830" s="23"/>
      <x:c r="D830" s="23"/>
      <x:c r="E830" s="23"/>
      <x:c r="F830" s="23"/>
      <x:c r="G830" s="23"/>
    </x:row>
    <x:row r="831" spans="1:7" ht="13.19999999999999928946">
      <x:c r="A831" s="23"/>
      <x:c r="B831" s="23"/>
      <x:c r="C831" s="23"/>
      <x:c r="D831" s="23"/>
      <x:c r="E831" s="23"/>
      <x:c r="F831" s="23"/>
      <x:c r="G831" s="23"/>
    </x:row>
    <x:row r="832" spans="1:7" ht="13.19999999999999928946">
      <x:c r="A832" s="23"/>
      <x:c r="B832" s="23"/>
      <x:c r="C832" s="23"/>
      <x:c r="D832" s="23"/>
      <x:c r="E832" s="23"/>
      <x:c r="F832" s="23"/>
      <x:c r="G832" s="23"/>
    </x:row>
    <x:row r="833" spans="1:7" ht="13.19999999999999928946">
      <x:c r="A833" s="23"/>
      <x:c r="B833" s="23"/>
      <x:c r="C833" s="23"/>
      <x:c r="D833" s="23"/>
      <x:c r="E833" s="23"/>
      <x:c r="F833" s="23"/>
      <x:c r="G833" s="23"/>
    </x:row>
    <x:row r="834" spans="1:7" ht="13.19999999999999928946">
      <x:c r="A834" s="23"/>
      <x:c r="B834" s="23"/>
      <x:c r="C834" s="23"/>
      <x:c r="D834" s="23"/>
      <x:c r="E834" s="23"/>
      <x:c r="F834" s="23"/>
      <x:c r="G834" s="23"/>
    </x:row>
    <x:row r="835" spans="1:7" ht="13.19999999999999928946">
      <x:c r="A835" s="23"/>
      <x:c r="B835" s="23"/>
      <x:c r="C835" s="23"/>
      <x:c r="D835" s="23"/>
      <x:c r="E835" s="23"/>
      <x:c r="F835" s="23"/>
      <x:c r="G835" s="23"/>
    </x:row>
    <x:row r="836" spans="1:7" ht="13.19999999999999928946">
      <x:c r="A836" s="23"/>
      <x:c r="B836" s="23"/>
      <x:c r="C836" s="23"/>
      <x:c r="D836" s="23"/>
      <x:c r="E836" s="23"/>
      <x:c r="F836" s="23"/>
      <x:c r="G836" s="23"/>
    </x:row>
    <x:row r="837" spans="1:7" ht="13.19999999999999928946">
      <x:c r="A837" s="23"/>
      <x:c r="B837" s="23"/>
      <x:c r="C837" s="23"/>
      <x:c r="D837" s="23"/>
      <x:c r="E837" s="23"/>
      <x:c r="F837" s="23"/>
      <x:c r="G837" s="23"/>
    </x:row>
    <x:row r="838" spans="1:7" ht="13.19999999999999928946">
      <x:c r="A838" s="23"/>
      <x:c r="B838" s="23"/>
      <x:c r="C838" s="23"/>
      <x:c r="D838" s="23"/>
      <x:c r="E838" s="23"/>
      <x:c r="F838" s="23"/>
      <x:c r="G838" s="23"/>
    </x:row>
    <x:row r="839" spans="1:7" ht="13.19999999999999928946">
      <x:c r="A839" s="23"/>
      <x:c r="B839" s="23"/>
      <x:c r="C839" s="23"/>
      <x:c r="D839" s="23"/>
      <x:c r="E839" s="23"/>
      <x:c r="F839" s="23"/>
      <x:c r="G839" s="23"/>
    </x:row>
    <x:row r="840" spans="1:7" ht="13.19999999999999928946">
      <x:c r="A840" s="23"/>
      <x:c r="B840" s="23"/>
      <x:c r="C840" s="23"/>
      <x:c r="D840" s="23"/>
      <x:c r="E840" s="23"/>
      <x:c r="F840" s="23"/>
      <x:c r="G840" s="23"/>
    </x:row>
    <x:row r="841" spans="1:7" ht="13.19999999999999928946">
      <x:c r="A841" s="23"/>
      <x:c r="B841" s="23"/>
      <x:c r="C841" s="23"/>
      <x:c r="D841" s="23"/>
      <x:c r="E841" s="23"/>
      <x:c r="F841" s="23"/>
      <x:c r="G841" s="23"/>
    </x:row>
    <x:row r="842" spans="1:7" ht="13.19999999999999928946">
      <x:c r="A842" s="23"/>
      <x:c r="B842" s="23"/>
      <x:c r="C842" s="23"/>
      <x:c r="D842" s="23"/>
      <x:c r="E842" s="23"/>
      <x:c r="F842" s="23"/>
      <x:c r="G842" s="23"/>
    </x:row>
    <x:row r="843" spans="1:7" ht="13.19999999999999928946">
      <x:c r="A843" s="23"/>
      <x:c r="B843" s="23"/>
      <x:c r="C843" s="23"/>
      <x:c r="D843" s="23"/>
      <x:c r="E843" s="23"/>
      <x:c r="F843" s="23"/>
      <x:c r="G843" s="23"/>
    </x:row>
    <x:row r="844" spans="1:7" ht="13.19999999999999928946">
      <x:c r="A844" s="23"/>
      <x:c r="B844" s="23"/>
      <x:c r="C844" s="23"/>
      <x:c r="D844" s="23"/>
      <x:c r="E844" s="23"/>
      <x:c r="F844" s="23"/>
      <x:c r="G844" s="23"/>
    </x:row>
    <x:row r="845" spans="1:7" ht="13.19999999999999928946">
      <x:c r="A845" s="23"/>
      <x:c r="B845" s="23"/>
      <x:c r="C845" s="23"/>
      <x:c r="D845" s="23"/>
      <x:c r="E845" s="23"/>
      <x:c r="F845" s="23"/>
      <x:c r="G845" s="23"/>
    </x:row>
    <x:row r="846" spans="1:7" ht="13.19999999999999928946">
      <x:c r="A846" s="23"/>
      <x:c r="B846" s="23"/>
      <x:c r="C846" s="23"/>
      <x:c r="D846" s="23"/>
      <x:c r="E846" s="23"/>
      <x:c r="F846" s="23"/>
      <x:c r="G846" s="23"/>
    </x:row>
    <x:row r="847" spans="1:7" ht="13.19999999999999928946">
      <x:c r="A847" s="23"/>
      <x:c r="B847" s="23"/>
      <x:c r="C847" s="23"/>
      <x:c r="D847" s="23"/>
      <x:c r="E847" s="23"/>
      <x:c r="F847" s="23"/>
      <x:c r="G847" s="23"/>
    </x:row>
    <x:row r="848" spans="1:7" ht="13.19999999999999928946">
      <x:c r="A848" s="23"/>
      <x:c r="B848" s="23"/>
      <x:c r="C848" s="23"/>
      <x:c r="D848" s="23"/>
      <x:c r="E848" s="23"/>
      <x:c r="F848" s="23"/>
      <x:c r="G848" s="23"/>
    </x:row>
    <x:row r="849" spans="1:7" ht="13.19999999999999928946">
      <x:c r="A849" s="23"/>
      <x:c r="B849" s="23"/>
      <x:c r="C849" s="23"/>
      <x:c r="D849" s="23"/>
      <x:c r="E849" s="23"/>
      <x:c r="F849" s="23"/>
      <x:c r="G849" s="23"/>
    </x:row>
    <x:row r="850" spans="1:7" ht="13.19999999999999928946">
      <x:c r="A850" s="23"/>
      <x:c r="B850" s="23"/>
      <x:c r="C850" s="23"/>
      <x:c r="D850" s="23"/>
      <x:c r="E850" s="23"/>
      <x:c r="F850" s="23"/>
      <x:c r="G850" s="23"/>
    </x:row>
    <x:row r="851" spans="1:7" ht="13.19999999999999928946">
      <x:c r="A851" s="23"/>
      <x:c r="B851" s="23"/>
      <x:c r="C851" s="23"/>
      <x:c r="D851" s="23"/>
      <x:c r="E851" s="23"/>
      <x:c r="F851" s="23"/>
      <x:c r="G851" s="23"/>
    </x:row>
    <x:row r="852" spans="1:7" ht="13.19999999999999928946">
      <x:c r="A852" s="23"/>
      <x:c r="B852" s="23"/>
      <x:c r="C852" s="23"/>
      <x:c r="D852" s="23"/>
      <x:c r="E852" s="23"/>
      <x:c r="F852" s="23"/>
      <x:c r="G852" s="23"/>
    </x:row>
    <x:row r="853" spans="1:7" ht="13.19999999999999928946">
      <x:c r="A853" s="23"/>
      <x:c r="B853" s="23"/>
      <x:c r="C853" s="23"/>
      <x:c r="D853" s="23"/>
      <x:c r="E853" s="23"/>
      <x:c r="F853" s="23"/>
      <x:c r="G853" s="23"/>
    </x:row>
    <x:row r="854" spans="1:7" ht="13.19999999999999928946">
      <x:c r="A854" s="23"/>
      <x:c r="B854" s="23"/>
      <x:c r="C854" s="23"/>
      <x:c r="D854" s="23"/>
      <x:c r="E854" s="23"/>
      <x:c r="F854" s="23"/>
      <x:c r="G854" s="23"/>
    </x:row>
    <x:row r="855" spans="1:7" ht="13.19999999999999928946">
      <x:c r="A855" s="23"/>
      <x:c r="B855" s="23"/>
      <x:c r="C855" s="23"/>
      <x:c r="D855" s="23"/>
      <x:c r="E855" s="23"/>
      <x:c r="F855" s="23"/>
      <x:c r="G855" s="23"/>
    </x:row>
    <x:row r="856" spans="1:7" ht="13.19999999999999928946">
      <x:c r="A856" s="23"/>
      <x:c r="B856" s="23"/>
      <x:c r="C856" s="23"/>
      <x:c r="D856" s="23"/>
      <x:c r="E856" s="23"/>
      <x:c r="F856" s="23"/>
      <x:c r="G856" s="23"/>
    </x:row>
    <x:row r="857" spans="1:7" ht="13.19999999999999928946">
      <x:c r="A857" s="23"/>
      <x:c r="B857" s="23"/>
      <x:c r="C857" s="23"/>
      <x:c r="D857" s="23"/>
      <x:c r="E857" s="23"/>
      <x:c r="F857" s="23"/>
      <x:c r="G857" s="23"/>
    </x:row>
    <x:row r="858" spans="1:7" ht="13.19999999999999928946">
      <x:c r="A858" s="23"/>
      <x:c r="B858" s="23"/>
      <x:c r="C858" s="23"/>
      <x:c r="D858" s="23"/>
      <x:c r="E858" s="23"/>
      <x:c r="F858" s="23"/>
      <x:c r="G858" s="23"/>
    </x:row>
    <x:row r="859" spans="1:7" ht="13.19999999999999928946">
      <x:c r="A859" s="23"/>
      <x:c r="B859" s="23"/>
      <x:c r="C859" s="23"/>
      <x:c r="D859" s="23"/>
      <x:c r="E859" s="23"/>
      <x:c r="F859" s="23"/>
      <x:c r="G859" s="23"/>
    </x:row>
    <x:row r="860" spans="1:7" ht="13.19999999999999928946">
      <x:c r="A860" s="23"/>
      <x:c r="B860" s="23"/>
      <x:c r="C860" s="23"/>
      <x:c r="D860" s="23"/>
      <x:c r="E860" s="23"/>
      <x:c r="F860" s="23"/>
      <x:c r="G860" s="23"/>
    </x:row>
    <x:row r="861" spans="1:7" ht="13.19999999999999928946">
      <x:c r="A861" s="23"/>
      <x:c r="B861" s="23"/>
      <x:c r="C861" s="23"/>
      <x:c r="D861" s="23"/>
      <x:c r="E861" s="23"/>
      <x:c r="F861" s="23"/>
      <x:c r="G861" s="23"/>
    </x:row>
    <x:row r="862" spans="1:7" ht="13.19999999999999928946">
      <x:c r="A862" s="23"/>
      <x:c r="B862" s="23"/>
      <x:c r="C862" s="23"/>
      <x:c r="D862" s="23"/>
      <x:c r="E862" s="23"/>
      <x:c r="F862" s="23"/>
      <x:c r="G862" s="23"/>
    </x:row>
    <x:row r="863" spans="1:7" ht="13.19999999999999928946">
      <x:c r="A863" s="23"/>
      <x:c r="B863" s="23"/>
      <x:c r="C863" s="23"/>
      <x:c r="D863" s="23"/>
      <x:c r="E863" s="23"/>
      <x:c r="F863" s="23"/>
      <x:c r="G863" s="23"/>
    </x:row>
    <x:row r="864" spans="1:7" ht="13.19999999999999928946">
      <x:c r="A864" s="23"/>
      <x:c r="B864" s="23"/>
      <x:c r="C864" s="23"/>
      <x:c r="D864" s="23"/>
      <x:c r="E864" s="23"/>
      <x:c r="F864" s="23"/>
      <x:c r="G864" s="23"/>
    </x:row>
    <x:row r="865" spans="1:7" ht="13.19999999999999928946">
      <x:c r="A865" s="23"/>
      <x:c r="B865" s="23"/>
      <x:c r="C865" s="23"/>
      <x:c r="D865" s="23"/>
      <x:c r="E865" s="23"/>
      <x:c r="F865" s="23"/>
      <x:c r="G865" s="23"/>
    </x:row>
    <x:row r="866" spans="1:7" ht="13.19999999999999928946">
      <x:c r="A866" s="23"/>
      <x:c r="B866" s="23"/>
      <x:c r="C866" s="23"/>
      <x:c r="D866" s="23"/>
      <x:c r="E866" s="23"/>
      <x:c r="F866" s="23"/>
      <x:c r="G866" s="23"/>
    </x:row>
    <x:row r="867" spans="1:7" ht="13.19999999999999928946">
      <x:c r="A867" s="23"/>
      <x:c r="B867" s="23"/>
      <x:c r="C867" s="23"/>
      <x:c r="D867" s="23"/>
      <x:c r="E867" s="23"/>
      <x:c r="F867" s="23"/>
      <x:c r="G867" s="23"/>
    </x:row>
    <x:row r="868" spans="1:7" ht="13.19999999999999928946">
      <x:c r="A868" s="23"/>
      <x:c r="B868" s="23"/>
      <x:c r="C868" s="23"/>
      <x:c r="D868" s="23"/>
      <x:c r="E868" s="23"/>
      <x:c r="F868" s="23"/>
      <x:c r="G868" s="23"/>
    </x:row>
    <x:row r="869" spans="1:7" ht="13.19999999999999928946">
      <x:c r="A869" s="23"/>
      <x:c r="B869" s="23"/>
      <x:c r="C869" s="23"/>
      <x:c r="D869" s="23"/>
      <x:c r="E869" s="23"/>
      <x:c r="F869" s="23"/>
      <x:c r="G869" s="23"/>
    </x:row>
    <x:row r="870" spans="1:7" ht="13.19999999999999928946">
      <x:c r="A870" s="23"/>
      <x:c r="B870" s="23"/>
      <x:c r="C870" s="23"/>
      <x:c r="D870" s="23"/>
      <x:c r="E870" s="23"/>
      <x:c r="F870" s="23"/>
      <x:c r="G870" s="23"/>
    </x:row>
    <x:row r="871" spans="1:7" ht="13.19999999999999928946">
      <x:c r="A871" s="23"/>
      <x:c r="B871" s="23"/>
      <x:c r="C871" s="23"/>
      <x:c r="D871" s="23"/>
      <x:c r="E871" s="23"/>
      <x:c r="F871" s="23"/>
      <x:c r="G871" s="23"/>
    </x:row>
    <x:row r="872" spans="1:7" ht="13.19999999999999928946">
      <x:c r="A872" s="23"/>
      <x:c r="B872" s="23"/>
      <x:c r="C872" s="23"/>
      <x:c r="D872" s="23"/>
      <x:c r="E872" s="23"/>
      <x:c r="F872" s="23"/>
      <x:c r="G872" s="23"/>
    </x:row>
    <x:row r="873" spans="1:7" ht="13.19999999999999928946">
      <x:c r="A873" s="23"/>
      <x:c r="B873" s="23"/>
      <x:c r="C873" s="23"/>
      <x:c r="D873" s="23"/>
      <x:c r="E873" s="23"/>
      <x:c r="F873" s="23"/>
      <x:c r="G873" s="23"/>
    </x:row>
    <x:row r="874" spans="1:7" ht="13.19999999999999928946">
      <x:c r="A874" s="23"/>
      <x:c r="B874" s="23"/>
      <x:c r="C874" s="23"/>
      <x:c r="D874" s="23"/>
      <x:c r="E874" s="23"/>
      <x:c r="F874" s="23"/>
      <x:c r="G874" s="23"/>
    </x:row>
    <x:row r="875" spans="1:7" ht="13.19999999999999928946">
      <x:c r="A875" s="23"/>
      <x:c r="B875" s="23"/>
      <x:c r="C875" s="23"/>
      <x:c r="D875" s="23"/>
      <x:c r="E875" s="23"/>
      <x:c r="F875" s="23"/>
      <x:c r="G875" s="23"/>
    </x:row>
    <x:row r="876" spans="1:7" ht="13.19999999999999928946">
      <x:c r="A876" s="23"/>
      <x:c r="B876" s="23"/>
      <x:c r="C876" s="23"/>
      <x:c r="D876" s="23"/>
      <x:c r="E876" s="23"/>
      <x:c r="F876" s="23"/>
      <x:c r="G876" s="23"/>
    </x:row>
    <x:row r="877" spans="1:7" ht="13.19999999999999928946">
      <x:c r="A877" s="23"/>
      <x:c r="B877" s="23"/>
      <x:c r="C877" s="23"/>
      <x:c r="D877" s="23"/>
      <x:c r="E877" s="23"/>
      <x:c r="F877" s="23"/>
      <x:c r="G877" s="23"/>
    </x:row>
    <x:row r="878" spans="1:7" ht="13.19999999999999928946">
      <x:c r="A878" s="23"/>
      <x:c r="B878" s="23"/>
      <x:c r="C878" s="23"/>
      <x:c r="D878" s="23"/>
      <x:c r="E878" s="23"/>
      <x:c r="F878" s="23"/>
      <x:c r="G878" s="23"/>
    </x:row>
    <x:row r="879" spans="1:7" ht="13.19999999999999928946">
      <x:c r="A879" s="23"/>
      <x:c r="B879" s="23"/>
      <x:c r="C879" s="23"/>
      <x:c r="D879" s="23"/>
      <x:c r="E879" s="23"/>
      <x:c r="F879" s="23"/>
      <x:c r="G879" s="23"/>
    </x:row>
    <x:row r="880" spans="1:7" ht="13.19999999999999928946">
      <x:c r="A880" s="23"/>
      <x:c r="B880" s="23"/>
      <x:c r="C880" s="23"/>
      <x:c r="D880" s="23"/>
      <x:c r="E880" s="23"/>
      <x:c r="F880" s="23"/>
      <x:c r="G880" s="23"/>
    </x:row>
    <x:row r="881" spans="1:7" ht="13.19999999999999928946">
      <x:c r="A881" s="23"/>
      <x:c r="B881" s="23"/>
      <x:c r="C881" s="23"/>
      <x:c r="D881" s="23"/>
      <x:c r="E881" s="23"/>
      <x:c r="F881" s="23"/>
      <x:c r="G881" s="23"/>
    </x:row>
    <x:row r="882" spans="1:7" ht="13.19999999999999928946">
      <x:c r="A882" s="23"/>
      <x:c r="B882" s="23"/>
      <x:c r="C882" s="23"/>
      <x:c r="D882" s="23"/>
      <x:c r="E882" s="23"/>
      <x:c r="F882" s="23"/>
      <x:c r="G882" s="23"/>
    </x:row>
    <x:row r="883" spans="1:7" ht="13.19999999999999928946">
      <x:c r="A883" s="23"/>
      <x:c r="B883" s="23"/>
      <x:c r="C883" s="23"/>
      <x:c r="D883" s="23"/>
      <x:c r="E883" s="23"/>
      <x:c r="F883" s="23"/>
      <x:c r="G883" s="23"/>
    </x:row>
    <x:row r="884" spans="1:7" ht="13.19999999999999928946">
      <x:c r="A884" s="23"/>
      <x:c r="B884" s="23"/>
      <x:c r="C884" s="23"/>
      <x:c r="D884" s="23"/>
      <x:c r="E884" s="23"/>
      <x:c r="F884" s="23"/>
      <x:c r="G884" s="23"/>
    </x:row>
    <x:row r="885" spans="1:7" ht="13.19999999999999928946">
      <x:c r="A885" s="23"/>
      <x:c r="B885" s="23"/>
      <x:c r="C885" s="23"/>
      <x:c r="D885" s="23"/>
      <x:c r="E885" s="23"/>
      <x:c r="F885" s="23"/>
      <x:c r="G885" s="23"/>
    </x:row>
    <x:row r="886" spans="1:7" ht="13.19999999999999928946">
      <x:c r="A886" s="23"/>
      <x:c r="B886" s="23"/>
      <x:c r="C886" s="23"/>
      <x:c r="D886" s="23"/>
      <x:c r="E886" s="23"/>
      <x:c r="F886" s="23"/>
      <x:c r="G886" s="23"/>
    </x:row>
    <x:row r="887" spans="1:7" ht="13.19999999999999928946">
      <x:c r="A887" s="23"/>
      <x:c r="B887" s="23"/>
      <x:c r="C887" s="23"/>
      <x:c r="D887" s="23"/>
      <x:c r="E887" s="23"/>
      <x:c r="F887" s="23"/>
      <x:c r="G887" s="23"/>
    </x:row>
    <x:row r="888" spans="1:7" ht="13.19999999999999928946">
      <x:c r="A888" s="23"/>
      <x:c r="B888" s="23"/>
      <x:c r="C888" s="23"/>
      <x:c r="D888" s="23"/>
      <x:c r="E888" s="23"/>
      <x:c r="F888" s="23"/>
      <x:c r="G888" s="23"/>
    </x:row>
    <x:row r="889" spans="1:7" ht="13.19999999999999928946">
      <x:c r="A889" s="23"/>
      <x:c r="B889" s="23"/>
      <x:c r="C889" s="23"/>
      <x:c r="D889" s="23"/>
      <x:c r="E889" s="23"/>
      <x:c r="F889" s="23"/>
      <x:c r="G889" s="23"/>
    </x:row>
    <x:row r="890" spans="1:7" ht="13.19999999999999928946">
      <x:c r="A890" s="23"/>
      <x:c r="B890" s="23"/>
      <x:c r="C890" s="23"/>
      <x:c r="D890" s="23"/>
      <x:c r="E890" s="23"/>
      <x:c r="F890" s="23"/>
      <x:c r="G890" s="23"/>
    </x:row>
    <x:row r="891" spans="1:7" ht="13.19999999999999928946">
      <x:c r="A891" s="23"/>
      <x:c r="B891" s="23"/>
      <x:c r="C891" s="23"/>
      <x:c r="D891" s="23"/>
      <x:c r="E891" s="23"/>
      <x:c r="F891" s="23"/>
      <x:c r="G891" s="23"/>
    </x:row>
    <x:row r="892" spans="1:7" ht="13.19999999999999928946">
      <x:c r="A892" s="23"/>
      <x:c r="B892" s="23"/>
      <x:c r="C892" s="23"/>
      <x:c r="D892" s="23"/>
      <x:c r="E892" s="23"/>
      <x:c r="F892" s="23"/>
      <x:c r="G892" s="23"/>
    </x:row>
    <x:row r="893" spans="1:7" ht="13.19999999999999928946">
      <x:c r="A893" s="23"/>
      <x:c r="B893" s="23"/>
      <x:c r="C893" s="23"/>
      <x:c r="D893" s="23"/>
      <x:c r="E893" s="23"/>
      <x:c r="F893" s="23"/>
      <x:c r="G893" s="23"/>
    </x:row>
    <x:row r="894" spans="1:7" ht="13.19999999999999928946">
      <x:c r="A894" s="23"/>
      <x:c r="B894" s="23"/>
      <x:c r="C894" s="23"/>
      <x:c r="D894" s="23"/>
      <x:c r="E894" s="23"/>
      <x:c r="F894" s="23"/>
      <x:c r="G894" s="23"/>
    </x:row>
    <x:row r="895" spans="1:7" ht="13.19999999999999928946">
      <x:c r="A895" s="23"/>
      <x:c r="B895" s="23"/>
      <x:c r="C895" s="23"/>
      <x:c r="D895" s="23"/>
      <x:c r="E895" s="23"/>
      <x:c r="F895" s="23"/>
      <x:c r="G895" s="23"/>
    </x:row>
    <x:row r="896" spans="1:7" ht="13.19999999999999928946">
      <x:c r="A896" s="23"/>
      <x:c r="B896" s="23"/>
      <x:c r="C896" s="23"/>
      <x:c r="D896" s="23"/>
      <x:c r="E896" s="23"/>
      <x:c r="F896" s="23"/>
      <x:c r="G896" s="23"/>
    </x:row>
    <x:row r="897" spans="1:7" ht="13.19999999999999928946">
      <x:c r="A897" s="23"/>
      <x:c r="B897" s="23"/>
      <x:c r="C897" s="23"/>
      <x:c r="D897" s="23"/>
      <x:c r="E897" s="23"/>
      <x:c r="F897" s="23"/>
      <x:c r="G897" s="23"/>
    </x:row>
    <x:row r="898" spans="1:7" ht="13.19999999999999928946">
      <x:c r="A898" s="23"/>
      <x:c r="B898" s="23"/>
      <x:c r="C898" s="23"/>
      <x:c r="D898" s="23"/>
      <x:c r="E898" s="23"/>
      <x:c r="F898" s="23"/>
      <x:c r="G898" s="23"/>
    </x:row>
    <x:row r="899" spans="1:7" ht="13.19999999999999928946">
      <x:c r="A899" s="23"/>
      <x:c r="B899" s="23"/>
      <x:c r="C899" s="23"/>
      <x:c r="D899" s="23"/>
      <x:c r="E899" s="23"/>
      <x:c r="F899" s="23"/>
      <x:c r="G899" s="23"/>
    </x:row>
    <x:row r="900" spans="1:7" ht="13.19999999999999928946">
      <x:c r="A900" s="23"/>
      <x:c r="B900" s="23"/>
      <x:c r="C900" s="23"/>
      <x:c r="D900" s="23"/>
      <x:c r="E900" s="23"/>
      <x:c r="F900" s="23"/>
      <x:c r="G900" s="23"/>
    </x:row>
    <x:row r="901" spans="1:7" ht="13.19999999999999928946">
      <x:c r="A901" s="23"/>
      <x:c r="B901" s="23"/>
      <x:c r="C901" s="23"/>
      <x:c r="D901" s="23"/>
      <x:c r="E901" s="23"/>
      <x:c r="F901" s="23"/>
      <x:c r="G901" s="23"/>
    </x:row>
    <x:row r="902" spans="1:7" ht="13.19999999999999928946">
      <x:c r="A902" s="23"/>
      <x:c r="B902" s="23"/>
      <x:c r="C902" s="23"/>
      <x:c r="D902" s="23"/>
      <x:c r="E902" s="23"/>
      <x:c r="F902" s="23"/>
      <x:c r="G902" s="23"/>
    </x:row>
    <x:row r="903" spans="1:7" ht="13.19999999999999928946">
      <x:c r="A903" s="23"/>
      <x:c r="B903" s="23"/>
      <x:c r="C903" s="23"/>
      <x:c r="D903" s="23"/>
      <x:c r="E903" s="23"/>
      <x:c r="F903" s="23"/>
      <x:c r="G903" s="23"/>
    </x:row>
    <x:row r="904" spans="1:7" ht="13.19999999999999928946">
      <x:c r="A904" s="23"/>
      <x:c r="B904" s="23"/>
      <x:c r="C904" s="23"/>
      <x:c r="D904" s="23"/>
      <x:c r="E904" s="23"/>
      <x:c r="F904" s="23"/>
      <x:c r="G904" s="23"/>
    </x:row>
    <x:row r="905" spans="1:7" ht="13.19999999999999928946">
      <x:c r="A905" s="23"/>
      <x:c r="B905" s="23"/>
      <x:c r="C905" s="23"/>
      <x:c r="D905" s="23"/>
      <x:c r="E905" s="23"/>
      <x:c r="F905" s="23"/>
      <x:c r="G905" s="23"/>
    </x:row>
    <x:row r="906" spans="1:7" ht="13.19999999999999928946">
      <x:c r="A906" s="23"/>
      <x:c r="B906" s="23"/>
      <x:c r="C906" s="23"/>
      <x:c r="D906" s="23"/>
      <x:c r="E906" s="23"/>
      <x:c r="F906" s="23"/>
      <x:c r="G906" s="23"/>
    </x:row>
    <x:row r="907" spans="1:7" ht="13.19999999999999928946">
      <x:c r="A907" s="23"/>
      <x:c r="B907" s="23"/>
      <x:c r="C907" s="23"/>
      <x:c r="D907" s="23"/>
      <x:c r="E907" s="23"/>
      <x:c r="F907" s="23"/>
      <x:c r="G907" s="23"/>
    </x:row>
    <x:row r="908" spans="1:7" ht="13.19999999999999928946">
      <x:c r="A908" s="23"/>
      <x:c r="B908" s="23"/>
      <x:c r="C908" s="23"/>
      <x:c r="D908" s="23"/>
      <x:c r="E908" s="23"/>
      <x:c r="F908" s="23"/>
      <x:c r="G908" s="23"/>
    </x:row>
    <x:row r="909" spans="1:7" ht="13.19999999999999928946">
      <x:c r="A909" s="23"/>
      <x:c r="B909" s="23"/>
      <x:c r="C909" s="23"/>
      <x:c r="D909" s="23"/>
      <x:c r="E909" s="23"/>
      <x:c r="F909" s="23"/>
      <x:c r="G909" s="23"/>
    </x:row>
    <x:row r="910" spans="1:7" ht="13.19999999999999928946">
      <x:c r="A910" s="23"/>
      <x:c r="B910" s="23"/>
      <x:c r="C910" s="23"/>
      <x:c r="D910" s="23"/>
      <x:c r="E910" s="23"/>
      <x:c r="F910" s="23"/>
      <x:c r="G910" s="23"/>
    </x:row>
    <x:row r="911" spans="1:7" ht="13.19999999999999928946">
      <x:c r="A911" s="23"/>
      <x:c r="B911" s="23"/>
      <x:c r="C911" s="23"/>
      <x:c r="D911" s="23"/>
      <x:c r="E911" s="23"/>
      <x:c r="F911" s="23"/>
      <x:c r="G911" s="23"/>
    </x:row>
    <x:row r="912" spans="1:7" ht="13.19999999999999928946">
      <x:c r="A912" s="23"/>
      <x:c r="B912" s="23"/>
      <x:c r="C912" s="23"/>
      <x:c r="D912" s="23"/>
      <x:c r="E912" s="23"/>
      <x:c r="F912" s="23"/>
      <x:c r="G912" s="23"/>
    </x:row>
    <x:row r="913" spans="1:7" ht="13.19999999999999928946">
      <x:c r="A913" s="23"/>
      <x:c r="B913" s="23"/>
      <x:c r="C913" s="23"/>
      <x:c r="D913" s="23"/>
      <x:c r="E913" s="23"/>
      <x:c r="F913" s="23"/>
      <x:c r="G913" s="23"/>
    </x:row>
    <x:row r="914" spans="1:7" ht="13.19999999999999928946">
      <x:c r="A914" s="23"/>
      <x:c r="B914" s="23"/>
      <x:c r="C914" s="23"/>
      <x:c r="D914" s="23"/>
      <x:c r="E914" s="23"/>
      <x:c r="F914" s="23"/>
      <x:c r="G914" s="23"/>
    </x:row>
    <x:row r="915" spans="1:7" ht="13.19999999999999928946">
      <x:c r="A915" s="23"/>
      <x:c r="B915" s="23"/>
      <x:c r="C915" s="23"/>
      <x:c r="D915" s="23"/>
      <x:c r="E915" s="23"/>
      <x:c r="F915" s="23"/>
      <x:c r="G915" s="23"/>
    </x:row>
    <x:row r="916" spans="1:7" ht="13.19999999999999928946">
      <x:c r="A916" s="23"/>
      <x:c r="B916" s="23"/>
      <x:c r="C916" s="23"/>
      <x:c r="D916" s="23"/>
      <x:c r="E916" s="23"/>
      <x:c r="F916" s="23"/>
      <x:c r="G916" s="23"/>
    </x:row>
    <x:row r="917" spans="1:7" ht="13.19999999999999928946">
      <x:c r="A917" s="23"/>
      <x:c r="B917" s="23"/>
      <x:c r="C917" s="23"/>
      <x:c r="D917" s="23"/>
      <x:c r="E917" s="23"/>
      <x:c r="F917" s="23"/>
      <x:c r="G917" s="23"/>
    </x:row>
    <x:row r="918" spans="1:7" ht="13.19999999999999928946">
      <x:c r="A918" s="23"/>
      <x:c r="B918" s="23"/>
      <x:c r="C918" s="23"/>
      <x:c r="D918" s="23"/>
      <x:c r="E918" s="23"/>
      <x:c r="F918" s="23"/>
      <x:c r="G918" s="23"/>
    </x:row>
    <x:row r="919" spans="1:7" ht="13.19999999999999928946">
      <x:c r="A919" s="23"/>
      <x:c r="B919" s="23"/>
      <x:c r="C919" s="23"/>
      <x:c r="D919" s="23"/>
      <x:c r="E919" s="23"/>
      <x:c r="F919" s="23"/>
      <x:c r="G919" s="23"/>
    </x:row>
    <x:row r="920" spans="1:7" ht="13.19999999999999928946">
      <x:c r="A920" s="23"/>
      <x:c r="B920" s="23"/>
      <x:c r="C920" s="23"/>
      <x:c r="D920" s="23"/>
      <x:c r="E920" s="23"/>
      <x:c r="F920" s="23"/>
      <x:c r="G920" s="23"/>
    </x:row>
    <x:row r="921" spans="1:7" ht="13.19999999999999928946">
      <x:c r="A921" s="23"/>
      <x:c r="B921" s="23"/>
      <x:c r="C921" s="23"/>
      <x:c r="D921" s="23"/>
      <x:c r="E921" s="23"/>
      <x:c r="F921" s="23"/>
      <x:c r="G921" s="23"/>
    </x:row>
    <x:row r="922" spans="1:7" ht="13.19999999999999928946">
      <x:c r="A922" s="23"/>
      <x:c r="B922" s="23"/>
      <x:c r="C922" s="23"/>
      <x:c r="D922" s="23"/>
      <x:c r="E922" s="23"/>
      <x:c r="F922" s="23"/>
      <x:c r="G922" s="23"/>
    </x:row>
    <x:row r="923" spans="1:7" ht="13.19999999999999928946">
      <x:c r="A923" s="23"/>
      <x:c r="B923" s="23"/>
      <x:c r="C923" s="23"/>
      <x:c r="D923" s="23"/>
      <x:c r="E923" s="23"/>
      <x:c r="F923" s="23"/>
      <x:c r="G923" s="23"/>
    </x:row>
    <x:row r="924" spans="1:7" ht="13.19999999999999928946">
      <x:c r="A924" s="23"/>
      <x:c r="B924" s="23"/>
      <x:c r="C924" s="23"/>
      <x:c r="D924" s="23"/>
      <x:c r="E924" s="23"/>
      <x:c r="F924" s="23"/>
      <x:c r="G924" s="23"/>
    </x:row>
    <x:row r="925" spans="1:7" ht="13.19999999999999928946">
      <x:c r="A925" s="23"/>
      <x:c r="B925" s="23"/>
      <x:c r="C925" s="23"/>
      <x:c r="D925" s="23"/>
      <x:c r="E925" s="23"/>
      <x:c r="F925" s="23"/>
      <x:c r="G925" s="23"/>
    </x:row>
    <x:row r="926" spans="1:7" ht="13.19999999999999928946">
      <x:c r="A926" s="23"/>
      <x:c r="B926" s="23"/>
      <x:c r="C926" s="23"/>
      <x:c r="D926" s="23"/>
      <x:c r="E926" s="23"/>
      <x:c r="F926" s="23"/>
      <x:c r="G926" s="23"/>
    </x:row>
    <x:row r="927" spans="1:7" ht="13.19999999999999928946">
      <x:c r="A927" s="23"/>
      <x:c r="B927" s="23"/>
      <x:c r="C927" s="23"/>
      <x:c r="D927" s="23"/>
      <x:c r="E927" s="23"/>
      <x:c r="F927" s="23"/>
      <x:c r="G927" s="23"/>
    </x:row>
    <x:row r="928" spans="1:7" ht="13.19999999999999928946">
      <x:c r="A928" s="23"/>
      <x:c r="B928" s="23"/>
      <x:c r="C928" s="23"/>
      <x:c r="D928" s="23"/>
      <x:c r="E928" s="23"/>
      <x:c r="F928" s="23"/>
      <x:c r="G928" s="23"/>
    </x:row>
    <x:row r="929" spans="1:7" ht="13.19999999999999928946">
      <x:c r="A929" s="23"/>
      <x:c r="B929" s="23"/>
      <x:c r="C929" s="23"/>
      <x:c r="D929" s="23"/>
      <x:c r="E929" s="23"/>
      <x:c r="F929" s="23"/>
      <x:c r="G929" s="23"/>
    </x:row>
    <x:row r="930" spans="1:7" ht="13.19999999999999928946">
      <x:c r="A930" s="23"/>
      <x:c r="B930" s="23"/>
      <x:c r="C930" s="23"/>
      <x:c r="D930" s="23"/>
      <x:c r="E930" s="23"/>
      <x:c r="F930" s="23"/>
      <x:c r="G930" s="23"/>
    </x:row>
    <x:row r="931" spans="1:7" ht="13.19999999999999928946">
      <x:c r="A931" s="23"/>
      <x:c r="B931" s="23"/>
      <x:c r="C931" s="23"/>
      <x:c r="D931" s="23"/>
      <x:c r="E931" s="23"/>
      <x:c r="F931" s="23"/>
      <x:c r="G931" s="23"/>
    </x:row>
    <x:row r="932" spans="1:7" ht="13.19999999999999928946">
      <x:c r="A932" s="23"/>
      <x:c r="B932" s="23"/>
      <x:c r="C932" s="23"/>
      <x:c r="D932" s="23"/>
      <x:c r="E932" s="23"/>
      <x:c r="F932" s="23"/>
      <x:c r="G932" s="23"/>
    </x:row>
    <x:row r="933" spans="1:7" ht="13.19999999999999928946">
      <x:c r="A933" s="23"/>
      <x:c r="B933" s="23"/>
      <x:c r="C933" s="23"/>
      <x:c r="D933" s="23"/>
      <x:c r="E933" s="23"/>
      <x:c r="F933" s="23"/>
      <x:c r="G933" s="23"/>
    </x:row>
    <x:row r="934" spans="1:7" ht="13.19999999999999928946">
      <x:c r="A934" s="23"/>
      <x:c r="B934" s="23"/>
      <x:c r="C934" s="23"/>
      <x:c r="D934" s="23"/>
      <x:c r="E934" s="23"/>
      <x:c r="F934" s="23"/>
      <x:c r="G934" s="23"/>
    </x:row>
    <x:row r="935" spans="1:7" ht="13.19999999999999928946">
      <x:c r="A935" s="23"/>
      <x:c r="B935" s="23"/>
      <x:c r="C935" s="23"/>
      <x:c r="D935" s="23"/>
      <x:c r="E935" s="23"/>
      <x:c r="F935" s="23"/>
      <x:c r="G935" s="23"/>
    </x:row>
    <x:row r="936" spans="1:7" ht="13.19999999999999928946">
      <x:c r="A936" s="23"/>
      <x:c r="B936" s="23"/>
      <x:c r="C936" s="23"/>
      <x:c r="D936" s="23"/>
      <x:c r="E936" s="23"/>
      <x:c r="F936" s="23"/>
      <x:c r="G936" s="23"/>
    </x:row>
    <x:row r="937" spans="1:7" ht="13.19999999999999928946">
      <x:c r="A937" s="23"/>
      <x:c r="B937" s="23"/>
      <x:c r="C937" s="23"/>
      <x:c r="D937" s="23"/>
      <x:c r="E937" s="23"/>
      <x:c r="F937" s="23"/>
      <x:c r="G937" s="23"/>
    </x:row>
    <x:row r="938" spans="1:7" ht="13.19999999999999928946">
      <x:c r="A938" s="23"/>
      <x:c r="B938" s="23"/>
      <x:c r="C938" s="23"/>
      <x:c r="D938" s="23"/>
      <x:c r="E938" s="23"/>
      <x:c r="F938" s="23"/>
      <x:c r="G938" s="23"/>
    </x:row>
    <x:row r="939" spans="1:7" ht="13.19999999999999928946">
      <x:c r="A939" s="23"/>
      <x:c r="B939" s="23"/>
      <x:c r="C939" s="23"/>
      <x:c r="D939" s="23"/>
      <x:c r="E939" s="23"/>
      <x:c r="F939" s="23"/>
      <x:c r="G939" s="23"/>
    </x:row>
    <x:row r="940" spans="1:7" ht="13.19999999999999928946">
      <x:c r="A940" s="23"/>
      <x:c r="B940" s="23"/>
      <x:c r="C940" s="23"/>
      <x:c r="D940" s="23"/>
      <x:c r="E940" s="23"/>
      <x:c r="F940" s="23"/>
      <x:c r="G940" s="23"/>
    </x:row>
    <x:row r="941" spans="1:7" ht="13.19999999999999928946">
      <x:c r="A941" s="23"/>
      <x:c r="B941" s="23"/>
      <x:c r="C941" s="23"/>
      <x:c r="D941" s="23"/>
      <x:c r="E941" s="23"/>
      <x:c r="F941" s="23"/>
      <x:c r="G941" s="23"/>
    </x:row>
    <x:row r="942" spans="1:7" ht="13.19999999999999928946">
      <x:c r="A942" s="23"/>
      <x:c r="B942" s="23"/>
      <x:c r="C942" s="23"/>
      <x:c r="D942" s="23"/>
      <x:c r="E942" s="23"/>
      <x:c r="F942" s="23"/>
      <x:c r="G942" s="23"/>
    </x:row>
    <x:row r="943" spans="1:7" ht="13.19999999999999928946">
      <x:c r="A943" s="23"/>
      <x:c r="B943" s="23"/>
      <x:c r="C943" s="23"/>
      <x:c r="D943" s="23"/>
      <x:c r="E943" s="23"/>
      <x:c r="F943" s="23"/>
      <x:c r="G943" s="23"/>
    </x:row>
    <x:row r="944" spans="1:7" ht="13.19999999999999928946">
      <x:c r="A944" s="23"/>
      <x:c r="B944" s="23"/>
      <x:c r="C944" s="23"/>
      <x:c r="D944" s="23"/>
      <x:c r="E944" s="23"/>
      <x:c r="F944" s="23"/>
      <x:c r="G944" s="23"/>
    </x:row>
    <x:row r="945" spans="1:7" ht="13.19999999999999928946">
      <x:c r="A945" s="23"/>
      <x:c r="B945" s="23"/>
      <x:c r="C945" s="23"/>
      <x:c r="D945" s="23"/>
      <x:c r="E945" s="23"/>
      <x:c r="F945" s="23"/>
      <x:c r="G945" s="23"/>
    </x:row>
    <x:row r="946" spans="1:7" ht="13.19999999999999928946">
      <x:c r="A946" s="23"/>
      <x:c r="B946" s="23"/>
      <x:c r="C946" s="23"/>
      <x:c r="D946" s="23"/>
      <x:c r="E946" s="23"/>
      <x:c r="F946" s="23"/>
      <x:c r="G946" s="23"/>
    </x:row>
    <x:row r="947" spans="1:7" ht="13.19999999999999928946">
      <x:c r="A947" s="23"/>
      <x:c r="B947" s="23"/>
      <x:c r="C947" s="23"/>
      <x:c r="D947" s="23"/>
      <x:c r="E947" s="23"/>
      <x:c r="F947" s="23"/>
      <x:c r="G947" s="23"/>
    </x:row>
    <x:row r="948" spans="1:7" ht="13.19999999999999928946">
      <x:c r="A948" s="23"/>
      <x:c r="B948" s="23"/>
      <x:c r="C948" s="23"/>
      <x:c r="D948" s="23"/>
      <x:c r="E948" s="23"/>
      <x:c r="F948" s="23"/>
      <x:c r="G948" s="23"/>
    </x:row>
    <x:row r="949" spans="1:7" ht="13.19999999999999928946">
      <x:c r="A949" s="23"/>
      <x:c r="B949" s="23"/>
      <x:c r="C949" s="23"/>
      <x:c r="D949" s="23"/>
      <x:c r="E949" s="23"/>
      <x:c r="F949" s="23"/>
      <x:c r="G949" s="23"/>
    </x:row>
    <x:row r="950" spans="1:7" ht="13.19999999999999928946">
      <x:c r="A950" s="23"/>
      <x:c r="B950" s="23"/>
      <x:c r="C950" s="23"/>
      <x:c r="D950" s="23"/>
      <x:c r="E950" s="23"/>
      <x:c r="F950" s="23"/>
      <x:c r="G950" s="23"/>
    </x:row>
    <x:row r="951" spans="1:7" ht="13.19999999999999928946">
      <x:c r="A951" s="23"/>
      <x:c r="B951" s="23"/>
      <x:c r="C951" s="23"/>
      <x:c r="D951" s="23"/>
      <x:c r="E951" s="23"/>
      <x:c r="F951" s="23"/>
      <x:c r="G951" s="23"/>
    </x:row>
    <x:row r="952" spans="1:7" ht="13.19999999999999928946">
      <x:c r="A952" s="23"/>
      <x:c r="B952" s="23"/>
      <x:c r="C952" s="23"/>
      <x:c r="D952" s="23"/>
      <x:c r="E952" s="23"/>
      <x:c r="F952" s="23"/>
      <x:c r="G952" s="23"/>
    </x:row>
    <x:row r="953" spans="1:7" ht="13.19999999999999928946">
      <x:c r="A953" s="23"/>
      <x:c r="B953" s="23"/>
      <x:c r="C953" s="23"/>
      <x:c r="D953" s="23"/>
      <x:c r="E953" s="23"/>
      <x:c r="F953" s="23"/>
      <x:c r="G953" s="23"/>
    </x:row>
    <x:row r="954" spans="1:7" ht="13.19999999999999928946">
      <x:c r="A954" s="23"/>
      <x:c r="B954" s="23"/>
      <x:c r="C954" s="23"/>
      <x:c r="D954" s="23"/>
      <x:c r="E954" s="23"/>
      <x:c r="F954" s="23"/>
      <x:c r="G954" s="23"/>
    </x:row>
    <x:row r="955" spans="1:7" ht="13.19999999999999928946">
      <x:c r="A955" s="23"/>
      <x:c r="B955" s="23"/>
      <x:c r="C955" s="23"/>
      <x:c r="D955" s="23"/>
      <x:c r="E955" s="23"/>
      <x:c r="F955" s="23"/>
      <x:c r="G955" s="23"/>
    </x:row>
    <x:row r="956" spans="1:7" ht="13.19999999999999928946">
      <x:c r="A956" s="23"/>
      <x:c r="B956" s="23"/>
      <x:c r="C956" s="23"/>
      <x:c r="D956" s="23"/>
      <x:c r="E956" s="23"/>
      <x:c r="F956" s="23"/>
      <x:c r="G956" s="23"/>
    </x:row>
    <x:row r="957" spans="1:7" ht="13.19999999999999928946">
      <x:c r="A957" s="23"/>
      <x:c r="B957" s="23"/>
      <x:c r="C957" s="23"/>
      <x:c r="D957" s="23"/>
      <x:c r="E957" s="23"/>
      <x:c r="F957" s="23"/>
      <x:c r="G957" s="23"/>
    </x:row>
    <x:row r="958" spans="1:7" ht="13.19999999999999928946">
      <x:c r="A958" s="23"/>
      <x:c r="B958" s="23"/>
      <x:c r="C958" s="23"/>
      <x:c r="D958" s="23"/>
      <x:c r="E958" s="23"/>
      <x:c r="F958" s="23"/>
      <x:c r="G958" s="23"/>
    </x:row>
    <x:row r="959" spans="1:7" ht="13.19999999999999928946">
      <x:c r="A959" s="23"/>
      <x:c r="B959" s="23"/>
      <x:c r="C959" s="23"/>
      <x:c r="D959" s="23"/>
      <x:c r="E959" s="23"/>
      <x:c r="F959" s="23"/>
      <x:c r="G959" s="23"/>
    </x:row>
    <x:row r="960" spans="1:7" ht="13.19999999999999928946">
      <x:c r="A960" s="23"/>
      <x:c r="B960" s="23"/>
      <x:c r="C960" s="23"/>
      <x:c r="D960" s="23"/>
      <x:c r="E960" s="23"/>
      <x:c r="F960" s="23"/>
      <x:c r="G960" s="23"/>
    </x:row>
    <x:row r="961" spans="1:7" ht="13.19999999999999928946">
      <x:c r="A961" s="23"/>
      <x:c r="B961" s="23"/>
      <x:c r="C961" s="23"/>
      <x:c r="D961" s="23"/>
      <x:c r="E961" s="23"/>
      <x:c r="F961" s="23"/>
      <x:c r="G961" s="23"/>
    </x:row>
    <x:row r="962" spans="1:7" ht="13.19999999999999928946">
      <x:c r="A962" s="23"/>
      <x:c r="B962" s="23"/>
      <x:c r="C962" s="23"/>
      <x:c r="D962" s="23"/>
      <x:c r="E962" s="23"/>
      <x:c r="F962" s="23"/>
      <x:c r="G962" s="23"/>
    </x:row>
    <x:row r="963" spans="1:7" ht="13.19999999999999928946">
      <x:c r="A963" s="23"/>
      <x:c r="B963" s="23"/>
      <x:c r="C963" s="23"/>
      <x:c r="D963" s="23"/>
      <x:c r="E963" s="23"/>
      <x:c r="F963" s="23"/>
      <x:c r="G963" s="23"/>
    </x:row>
    <x:row r="964" spans="1:7" ht="13.19999999999999928946">
      <x:c r="A964" s="23"/>
      <x:c r="B964" s="23"/>
      <x:c r="C964" s="23"/>
      <x:c r="D964" s="23"/>
      <x:c r="E964" s="23"/>
      <x:c r="F964" s="23"/>
      <x:c r="G964" s="23"/>
    </x:row>
    <x:row r="965" spans="1:7" ht="13.19999999999999928946">
      <x:c r="A965" s="23"/>
      <x:c r="B965" s="23"/>
      <x:c r="C965" s="23"/>
      <x:c r="D965" s="23"/>
      <x:c r="E965" s="23"/>
      <x:c r="F965" s="23"/>
      <x:c r="G965" s="23"/>
    </x:row>
    <x:row r="966" spans="1:7" ht="13.19999999999999928946">
      <x:c r="A966" s="23"/>
      <x:c r="B966" s="23"/>
      <x:c r="C966" s="23"/>
      <x:c r="D966" s="23"/>
      <x:c r="E966" s="23"/>
      <x:c r="F966" s="23"/>
      <x:c r="G966" s="23"/>
    </x:row>
    <x:row r="967" spans="1:7" ht="13.19999999999999928946">
      <x:c r="A967" s="23"/>
      <x:c r="B967" s="23"/>
      <x:c r="C967" s="23"/>
      <x:c r="D967" s="23"/>
      <x:c r="E967" s="23"/>
      <x:c r="F967" s="23"/>
      <x:c r="G967" s="23"/>
    </x:row>
    <x:row r="968" spans="1:7" ht="13.19999999999999928946">
      <x:c r="A968" s="23"/>
      <x:c r="B968" s="23"/>
      <x:c r="C968" s="23"/>
      <x:c r="D968" s="23"/>
      <x:c r="E968" s="23"/>
      <x:c r="F968" s="23"/>
      <x:c r="G968" s="23"/>
    </x:row>
    <x:row r="969" spans="1:7" ht="13.19999999999999928946">
      <x:c r="A969" s="23"/>
      <x:c r="B969" s="23"/>
      <x:c r="C969" s="23"/>
      <x:c r="D969" s="23"/>
      <x:c r="E969" s="23"/>
      <x:c r="F969" s="23"/>
      <x:c r="G969" s="23"/>
    </x:row>
    <x:row r="970" spans="1:7" ht="13.19999999999999928946">
      <x:c r="A970" s="23"/>
      <x:c r="B970" s="23"/>
      <x:c r="C970" s="23"/>
      <x:c r="D970" s="23"/>
      <x:c r="E970" s="23"/>
      <x:c r="F970" s="23"/>
      <x:c r="G970" s="23"/>
    </x:row>
    <x:row r="971" spans="1:7" ht="13.19999999999999928946">
      <x:c r="A971" s="23"/>
      <x:c r="B971" s="23"/>
      <x:c r="C971" s="23"/>
      <x:c r="D971" s="23"/>
      <x:c r="E971" s="23"/>
      <x:c r="F971" s="23"/>
      <x:c r="G971" s="23"/>
    </x:row>
    <x:row r="972" spans="1:7" ht="13.19999999999999928946">
      <x:c r="A972" s="23"/>
      <x:c r="B972" s="23"/>
      <x:c r="C972" s="23"/>
      <x:c r="D972" s="23"/>
      <x:c r="E972" s="23"/>
      <x:c r="F972" s="23"/>
      <x:c r="G972" s="23"/>
    </x:row>
    <x:row r="973" spans="1:7" ht="13.19999999999999928946">
      <x:c r="A973" s="23"/>
      <x:c r="B973" s="23"/>
      <x:c r="C973" s="23"/>
      <x:c r="D973" s="23"/>
      <x:c r="E973" s="23"/>
      <x:c r="F973" s="23"/>
      <x:c r="G973" s="23"/>
    </x:row>
    <x:row r="974" spans="1:7" ht="13.19999999999999928946">
      <x:c r="A974" s="23"/>
      <x:c r="B974" s="23"/>
      <x:c r="C974" s="23"/>
      <x:c r="D974" s="23"/>
      <x:c r="E974" s="23"/>
      <x:c r="F974" s="23"/>
      <x:c r="G974" s="23"/>
    </x:row>
    <x:row r="975" spans="1:7" ht="13.19999999999999928946">
      <x:c r="A975" s="23"/>
      <x:c r="B975" s="23"/>
      <x:c r="C975" s="23"/>
      <x:c r="D975" s="23"/>
      <x:c r="E975" s="23"/>
      <x:c r="F975" s="23"/>
      <x:c r="G975" s="23"/>
    </x:row>
    <x:row r="976" spans="1:7" ht="13.19999999999999928946">
      <x:c r="A976" s="23"/>
      <x:c r="B976" s="23"/>
      <x:c r="C976" s="23"/>
      <x:c r="D976" s="23"/>
      <x:c r="E976" s="23"/>
      <x:c r="F976" s="23"/>
      <x:c r="G976" s="23"/>
    </x:row>
    <x:row r="977" spans="1:7" ht="13.19999999999999928946">
      <x:c r="A977" s="23"/>
      <x:c r="B977" s="23"/>
      <x:c r="C977" s="23"/>
      <x:c r="D977" s="23"/>
      <x:c r="E977" s="23"/>
      <x:c r="F977" s="23"/>
      <x:c r="G977" s="23"/>
    </x:row>
    <x:row r="978" spans="1:7" ht="13.19999999999999928946">
      <x:c r="A978" s="23"/>
      <x:c r="B978" s="23"/>
      <x:c r="C978" s="23"/>
      <x:c r="D978" s="23"/>
      <x:c r="E978" s="23"/>
      <x:c r="F978" s="23"/>
      <x:c r="G978" s="23"/>
    </x:row>
    <x:row r="979" spans="1:7" ht="13.19999999999999928946">
      <x:c r="A979" s="23"/>
      <x:c r="B979" s="23"/>
      <x:c r="C979" s="23"/>
      <x:c r="D979" s="23"/>
      <x:c r="E979" s="23"/>
      <x:c r="F979" s="23"/>
      <x:c r="G979" s="23"/>
    </x:row>
    <x:row r="980" spans="1:7" ht="13.19999999999999928946">
      <x:c r="A980" s="23"/>
      <x:c r="B980" s="23"/>
      <x:c r="C980" s="23"/>
      <x:c r="D980" s="23"/>
      <x:c r="E980" s="23"/>
      <x:c r="F980" s="23"/>
      <x:c r="G980" s="23"/>
    </x:row>
    <x:row r="981" spans="1:7" ht="13.19999999999999928946">
      <x:c r="A981" s="23"/>
      <x:c r="B981" s="23"/>
      <x:c r="C981" s="23"/>
      <x:c r="D981" s="23"/>
      <x:c r="E981" s="23"/>
      <x:c r="F981" s="23"/>
      <x:c r="G981" s="23"/>
    </x:row>
    <x:row r="982" spans="1:7" ht="13.19999999999999928946">
      <x:c r="A982" s="23"/>
      <x:c r="B982" s="23"/>
      <x:c r="C982" s="23"/>
      <x:c r="D982" s="23"/>
      <x:c r="E982" s="23"/>
      <x:c r="F982" s="23"/>
      <x:c r="G982" s="23"/>
    </x:row>
    <x:row r="983" spans="1:7" ht="13.19999999999999928946">
      <x:c r="A983" s="23"/>
      <x:c r="B983" s="23"/>
      <x:c r="C983" s="23"/>
      <x:c r="D983" s="23"/>
      <x:c r="E983" s="23"/>
      <x:c r="F983" s="23"/>
      <x:c r="G983" s="23"/>
    </x:row>
    <x:row r="984" spans="1:7" ht="13.19999999999999928946">
      <x:c r="A984" s="23"/>
      <x:c r="B984" s="23"/>
      <x:c r="C984" s="23"/>
      <x:c r="D984" s="23"/>
      <x:c r="E984" s="23"/>
      <x:c r="F984" s="23"/>
      <x:c r="G984" s="23"/>
    </x:row>
    <x:row r="985" spans="1:7" ht="13.19999999999999928946">
      <x:c r="A985" s="23"/>
      <x:c r="B985" s="23"/>
      <x:c r="C985" s="23"/>
      <x:c r="D985" s="23"/>
      <x:c r="E985" s="23"/>
      <x:c r="F985" s="23"/>
      <x:c r="G985" s="23"/>
    </x:row>
    <x:row r="986" spans="1:7" ht="13.19999999999999928946">
      <x:c r="A986" s="23"/>
      <x:c r="B986" s="23"/>
      <x:c r="C986" s="23"/>
      <x:c r="D986" s="23"/>
      <x:c r="E986" s="23"/>
      <x:c r="F986" s="23"/>
      <x:c r="G986" s="23"/>
    </x:row>
    <x:row r="987" spans="1:7" ht="13.19999999999999928946">
      <x:c r="A987" s="23"/>
      <x:c r="B987" s="23"/>
      <x:c r="C987" s="23"/>
      <x:c r="D987" s="23"/>
      <x:c r="E987" s="23"/>
      <x:c r="F987" s="23"/>
      <x:c r="G987" s="23"/>
    </x:row>
    <x:row r="988" spans="1:7" ht="13.19999999999999928946">
      <x:c r="A988" s="23"/>
      <x:c r="B988" s="23"/>
      <x:c r="C988" s="23"/>
      <x:c r="D988" s="23"/>
      <x:c r="E988" s="23"/>
      <x:c r="F988" s="23"/>
      <x:c r="G988" s="23"/>
    </x:row>
    <x:row r="989" spans="1:7" ht="13.19999999999999928946">
      <x:c r="A989" s="23"/>
      <x:c r="B989" s="23"/>
      <x:c r="C989" s="23"/>
      <x:c r="D989" s="23"/>
      <x:c r="E989" s="23"/>
      <x:c r="F989" s="23"/>
      <x:c r="G989" s="23"/>
    </x:row>
    <x:row r="990" spans="1:7" ht="13.19999999999999928946">
      <x:c r="A990" s="23"/>
      <x:c r="B990" s="23"/>
      <x:c r="C990" s="23"/>
      <x:c r="D990" s="23"/>
      <x:c r="E990" s="23"/>
      <x:c r="F990" s="23"/>
      <x:c r="G990" s="23"/>
    </x:row>
    <x:row r="991" spans="1:7" ht="13.19999999999999928946">
      <x:c r="A991" s="23"/>
      <x:c r="B991" s="23"/>
      <x:c r="C991" s="23"/>
      <x:c r="D991" s="23"/>
      <x:c r="E991" s="23"/>
      <x:c r="F991" s="23"/>
      <x:c r="G991" s="23"/>
    </x:row>
    <x:row r="992" spans="1:7" ht="13.19999999999999928946">
      <x:c r="A992" s="23"/>
      <x:c r="B992" s="23"/>
      <x:c r="C992" s="23"/>
      <x:c r="D992" s="23"/>
      <x:c r="E992" s="23"/>
      <x:c r="F992" s="23"/>
      <x:c r="G992" s="23"/>
    </x:row>
    <x:row r="993" spans="1:7" ht="13.19999999999999928946">
      <x:c r="A993" s="23"/>
      <x:c r="B993" s="23"/>
      <x:c r="C993" s="23"/>
      <x:c r="D993" s="23"/>
      <x:c r="E993" s="23"/>
      <x:c r="F993" s="23"/>
      <x:c r="G993" s="23"/>
    </x:row>
    <x:row r="994" spans="1:7" ht="13.19999999999999928946">
      <x:c r="A994" s="23"/>
      <x:c r="B994" s="23"/>
      <x:c r="C994" s="23"/>
      <x:c r="D994" s="23"/>
      <x:c r="E994" s="23"/>
      <x:c r="F994" s="23"/>
      <x:c r="G994" s="23"/>
    </x:row>
    <x:row r="995" spans="1:7" ht="13.19999999999999928946">
      <x:c r="A995" s="23"/>
      <x:c r="B995" s="23"/>
      <x:c r="C995" s="23"/>
      <x:c r="D995" s="23"/>
      <x:c r="E995" s="23"/>
      <x:c r="F995" s="23"/>
      <x:c r="G995" s="23"/>
    </x:row>
    <x:row r="996" spans="1:7" ht="13.19999999999999928946">
      <x:c r="A996" s="23"/>
      <x:c r="B996" s="23"/>
      <x:c r="C996" s="23"/>
      <x:c r="D996" s="23"/>
      <x:c r="E996" s="23"/>
      <x:c r="F996" s="23"/>
      <x:c r="G996" s="23"/>
    </x:row>
    <x:row r="997" spans="1:7" ht="13.19999999999999928946">
      <x:c r="A997" s="23"/>
      <x:c r="B997" s="23"/>
      <x:c r="C997" s="23"/>
      <x:c r="D997" s="23"/>
      <x:c r="E997" s="23"/>
      <x:c r="F997" s="23"/>
      <x:c r="G997" s="23"/>
    </x:row>
    <x:row r="998" spans="1:7" ht="13.19999999999999928946">
      <x:c r="A998" s="23"/>
      <x:c r="B998" s="23"/>
      <x:c r="C998" s="23"/>
      <x:c r="D998" s="23"/>
      <x:c r="E998" s="23"/>
      <x:c r="F998" s="23"/>
      <x:c r="G998" s="23"/>
    </x:row>
    <x:row r="999" spans="1:7" ht="13.19999999999999928946">
      <x:c r="A999" s="23"/>
      <x:c r="B999" s="23"/>
      <x:c r="C999" s="23"/>
      <x:c r="D999" s="23"/>
      <x:c r="E999" s="23"/>
      <x:c r="F999" s="23"/>
      <x:c r="G999" s="23"/>
    </x:row>
    <x:row r="1000" spans="1:7" ht="13.19999999999999928946">
      <x:c r="A1000" s="23"/>
      <x:c r="B1000" s="23"/>
      <x:c r="C1000" s="23"/>
      <x:c r="D1000" s="23"/>
      <x:c r="E1000" s="23"/>
      <x:c r="F1000" s="23"/>
      <x:c r="G1000" s="23"/>
    </x:row>
  </x:sheetData>
  <x:mergeCells count="2">
    <x:mergeCell ref="A1:G1"/>
    <x:mergeCell ref="A9:G9"/>
  </x:mergeCells>
  <x:printOptions horizontalCentered="1" verticalCentered="0" headings="0" gridLines="1" gridLinesSet="1"/>
  <x:pageMargins left="0.69972223043441772461" right="0.69972223043441772461" top="0.75" bottom="0.75" header="0" footer="0"/>
  <x:pageSetup paperSize="9" scale="100" firstPageNumber="1" fitToWidth="0" fitToHeight="1" pageOrder="overThenDown" orientation="landscape" usePrinterDefaults="1" blackAndWhite="0" draft="0" cellComments="atEnd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outlinePr applyStyles="0" summaryBelow="0" summaryRight="1" showOutlineSymbols="1"/>
  </x:sheetPr>
  <x:dimension ref="A1:AQ953"/>
  <x:sheetViews>
    <x:sheetView topLeftCell="A1" zoomScaleNormal="100" zoomScaleSheetLayoutView="100" workbookViewId="0">
      <x:pane xSplit="10" ySplit="3" topLeftCell="K4" activePane="bottomRight" state="frozen"/>
      <x:selection pane="bottomRight" activeCell="K4" activeCellId="0" sqref="K4:K4"/>
    </x:sheetView>
  </x:sheetViews>
  <x:sheetFormatPr defaultColWidth="12.62890625" defaultRowHeight="15.75" customHeight="1"/>
  <x:cols>
    <x:col min="1" max="1" width="7" customWidth="1"/>
    <x:col min="2" max="2" width="23.87890625" customWidth="1"/>
    <x:col min="3" max="3" width="13.37890625" customWidth="1"/>
    <x:col min="4" max="4" width="5.5" customWidth="1"/>
    <x:col min="5" max="5" width="8.12890625" customWidth="1"/>
    <x:col min="6" max="6" width="5.12890625" customWidth="1"/>
    <x:col min="7" max="7" width="11.25" customWidth="1"/>
    <x:col min="8" max="8" width="12.12890625" customWidth="1"/>
    <x:col min="10" max="10" width="7.37890625" customWidth="1"/>
    <x:col min="11" max="11" width="50.75" customWidth="1"/>
    <x:col min="12" max="12" width="15.62890625" customWidth="1"/>
    <x:col min="15" max="15" width="15.12890625" customWidth="1"/>
    <x:col min="18" max="18" width="15.12890625" customWidth="1"/>
    <x:col min="21" max="21" width="15.12890625" customWidth="1"/>
    <x:col min="27" max="27" width="15.12890625" customWidth="1"/>
    <x:col min="30" max="30" width="15.12890625" customWidth="1"/>
    <x:col min="33" max="33" width="15.12890625" customWidth="1"/>
    <x:col min="35" max="35" width="41.5" customWidth="1"/>
  </x:cols>
  <x:sheetData>
    <x:row r="1" spans="1:36" ht="16.39999999999999857891">
      <x:c r="A1" s="51" t="s">
        <x:v>101</x:v>
      </x:c>
      <x:c r="B1" s="51" t="s">
        <x:v>39</x:v>
      </x:c>
      <x:c r="C1" s="51" t="s">
        <x:v>665</x:v>
      </x:c>
      <x:c r="D1" s="51" t="s">
        <x:v>34</x:v>
      </x:c>
      <x:c r="E1" s="51" t="s">
        <x:v>35</x:v>
      </x:c>
      <x:c r="F1" s="51" t="s">
        <x:v>29</x:v>
      </x:c>
      <x:c r="G1" s="51" t="s">
        <x:v>667</x:v>
      </x:c>
      <x:c r="H1" s="56" t="s">
        <x:v>682</x:v>
      </x:c>
      <x:c r="I1" s="57"/>
      <x:c r="J1" s="55"/>
      <x:c r="K1" s="51" t="s">
        <x:v>45</x:v>
      </x:c>
      <x:c r="L1" s="54" t="s">
        <x:v>659</x:v>
      </x:c>
      <x:c r="M1" s="57"/>
      <x:c r="N1" s="55"/>
      <x:c r="O1" s="58" t="s">
        <x:v>38</x:v>
      </x:c>
      <x:c r="P1" s="57"/>
      <x:c r="Q1" s="57"/>
      <x:c r="R1" s="57"/>
      <x:c r="S1" s="57"/>
      <x:c r="T1" s="57"/>
      <x:c r="U1" s="57"/>
      <x:c r="V1" s="57"/>
      <x:c r="W1" s="55"/>
      <x:c r="X1" s="59" t="s">
        <x:v>33</x:v>
      </x:c>
      <x:c r="Y1" s="60"/>
      <x:c r="Z1" s="56" t="s">
        <x:v>688</x:v>
      </x:c>
      <x:c r="AA1" s="57"/>
      <x:c r="AB1" s="57"/>
      <x:c r="AC1" s="57"/>
      <x:c r="AD1" s="57"/>
      <x:c r="AE1" s="57"/>
      <x:c r="AF1" s="57"/>
      <x:c r="AG1" s="57"/>
      <x:c r="AH1" s="55"/>
      <x:c r="AI1" s="64" t="s">
        <x:v>673</x:v>
      </x:c>
      <x:c r="AJ1" s="64" t="s">
        <x:v>731</x:v>
      </x:c>
    </x:row>
    <x:row r="2" spans="1:36" ht="16.39999999999999857891">
      <x:c r="A2" s="52"/>
      <x:c r="B2" s="52"/>
      <x:c r="C2" s="52"/>
      <x:c r="D2" s="52"/>
      <x:c r="E2" s="52"/>
      <x:c r="F2" s="52"/>
      <x:c r="G2" s="52"/>
      <x:c r="H2" s="1" t="s">
        <x:v>661</x:v>
      </x:c>
      <x:c r="I2" s="56" t="s">
        <x:v>660</x:v>
      </x:c>
      <x:c r="J2" s="55"/>
      <x:c r="K2" s="52"/>
      <x:c r="L2" s="51" t="s">
        <x:v>37</x:v>
      </x:c>
      <x:c r="M2" s="51" t="s">
        <x:v>680</x:v>
      </x:c>
      <x:c r="N2" s="51" t="s">
        <x:v>675</x:v>
      </x:c>
      <x:c r="O2" s="58" t="s">
        <x:v>683</x:v>
      </x:c>
      <x:c r="P2" s="57"/>
      <x:c r="Q2" s="55"/>
      <x:c r="R2" s="58" t="s">
        <x:v>662</x:v>
      </x:c>
      <x:c r="S2" s="57"/>
      <x:c r="T2" s="55"/>
      <x:c r="U2" s="58" t="s">
        <x:v>672</x:v>
      </x:c>
      <x:c r="V2" s="57"/>
      <x:c r="W2" s="55"/>
      <x:c r="X2" s="61"/>
      <x:c r="Y2" s="62"/>
      <x:c r="Z2" s="56" t="s">
        <x:v>43</x:v>
      </x:c>
      <x:c r="AA2" s="57"/>
      <x:c r="AB2" s="55"/>
      <x:c r="AC2" s="56" t="s">
        <x:v>30</x:v>
      </x:c>
      <x:c r="AD2" s="57"/>
      <x:c r="AE2" s="55"/>
      <x:c r="AF2" s="56" t="s">
        <x:v>40</x:v>
      </x:c>
      <x:c r="AG2" s="57"/>
      <x:c r="AH2" s="55"/>
      <x:c r="AI2" s="52"/>
      <x:c r="AJ2" s="52"/>
    </x:row>
    <x:row r="3" spans="1:36" ht="16.39999999999999857891">
      <x:c r="A3" s="53"/>
      <x:c r="B3" s="53"/>
      <x:c r="C3" s="53"/>
      <x:c r="D3" s="53"/>
      <x:c r="E3" s="53"/>
      <x:c r="F3" s="53"/>
      <x:c r="G3" s="53"/>
      <x:c r="H3" s="1" t="s">
        <x:v>31</x:v>
      </x:c>
      <x:c r="I3" s="1" t="s">
        <x:v>31</x:v>
      </x:c>
      <x:c r="J3" s="1" t="s">
        <x:v>71</x:v>
      </x:c>
      <x:c r="K3" s="53"/>
      <x:c r="L3" s="53"/>
      <x:c r="M3" s="53"/>
      <x:c r="N3" s="53"/>
      <x:c r="O3" s="2" t="s">
        <x:v>37</x:v>
      </x:c>
      <x:c r="P3" s="2" t="s">
        <x:v>680</x:v>
      </x:c>
      <x:c r="Q3" s="2" t="s">
        <x:v>675</x:v>
      </x:c>
      <x:c r="R3" s="2" t="s">
        <x:v>37</x:v>
      </x:c>
      <x:c r="S3" s="2" t="s">
        <x:v>680</x:v>
      </x:c>
      <x:c r="T3" s="2" t="s">
        <x:v>675</x:v>
      </x:c>
      <x:c r="U3" s="2" t="s">
        <x:v>37</x:v>
      </x:c>
      <x:c r="V3" s="2" t="s">
        <x:v>680</x:v>
      </x:c>
      <x:c r="W3" s="2" t="s">
        <x:v>675</x:v>
      </x:c>
      <x:c r="X3" s="1" t="s">
        <x:v>67</x:v>
      </x:c>
      <x:c r="Y3" s="1" t="s">
        <x:v>679</x:v>
      </x:c>
      <x:c r="Z3" s="1" t="s">
        <x:v>49</x:v>
      </x:c>
      <x:c r="AA3" s="1" t="s">
        <x:v>37</x:v>
      </x:c>
      <x:c r="AB3" s="1" t="s">
        <x:v>665</x:v>
      </x:c>
      <x:c r="AC3" s="1" t="s">
        <x:v>49</x:v>
      </x:c>
      <x:c r="AD3" s="1" t="s">
        <x:v>37</x:v>
      </x:c>
      <x:c r="AE3" s="1" t="s">
        <x:v>665</x:v>
      </x:c>
      <x:c r="AF3" s="1" t="s">
        <x:v>49</x:v>
      </x:c>
      <x:c r="AG3" s="1" t="s">
        <x:v>37</x:v>
      </x:c>
      <x:c r="AH3" s="1" t="s">
        <x:v>665</x:v>
      </x:c>
      <x:c r="AI3" s="53"/>
      <x:c r="AJ3" s="53"/>
    </x:row>
    <x:row r="4" spans="1:43" ht="26.35000000000000142109">
      <x:c r="A4" s="3">
        <x:v>1</x:v>
      </x:c>
      <x:c r="B4" s="3" t="s">
        <x:v>684</x:v>
      </x:c>
      <x:c r="C4" s="3" t="s">
        <x:v>677</x:v>
      </x:c>
      <x:c r="D4" s="3">
        <x:v>1</x:v>
      </x:c>
      <x:c r="E4" s="3" t="s">
        <x:v>105</x:v>
      </x:c>
      <x:c r="F4" s="3" t="s">
        <x:v>69</x:v>
      </x:c>
      <x:c r="G4" s="3" t="s">
        <x:v>568</x:v>
      </x:c>
      <x:c r="H4" s="3" t="s">
        <x:v>663</x:v>
      </x:c>
      <x:c r="I4" s="3" t="s">
        <x:v>663</x:v>
      </x:c>
      <x:c r="J4" s="3" t="s">
        <x:v>55</x:v>
      </x:c>
      <x:c r="K4" s="5" t="s">
        <x:v>233</x:v>
      </x:c>
      <x:c r="L4" s="3" t="s">
        <x:v>749</x:v>
      </x:c>
      <x:c r="M4" s="3" t="s">
        <x:v>677</x:v>
      </x:c>
      <x:c r="N4" s="3">
        <x:v>1.1000000000000001</x:v>
      </x:c>
      <x:c r="O4" s="3" t="s">
        <x:v>749</x:v>
      </x:c>
      <x:c r="P4" s="3" t="s">
        <x:v>677</x:v>
      </x:c>
      <x:c r="Q4" s="3">
        <x:v>0.84499999999999997</x:v>
      </x:c>
      <x:c r="R4" s="3" t="s">
        <x:v>747</x:v>
      </x:c>
      <x:c r="S4" s="3" t="s">
        <x:v>677</x:v>
      </x:c>
      <x:c r="T4" s="3">
        <x:v>2.2000000000000002</x:v>
      </x:c>
      <x:c r="U4" s="3"/>
      <x:c r="V4" s="3"/>
      <x:c r="W4" s="3"/>
      <x:c r="X4" s="3" t="s">
        <x:v>968</x:v>
      </x:c>
      <x:c r="Y4" s="3" t="s">
        <x:v>95</x:v>
      </x:c>
      <x:c r="Z4" s="4"/>
      <x:c r="AA4" s="4"/>
      <x:c r="AB4" s="4"/>
      <x:c r="AC4" s="4"/>
      <x:c r="AD4" s="4"/>
      <x:c r="AE4" s="4"/>
      <x:c r="AF4" s="4"/>
      <x:c r="AG4" s="4"/>
      <x:c r="AH4" s="4"/>
      <x:c r="AI4" s="3" t="s">
        <x:v>504</x:v>
      </x:c>
      <x:c r="AJ4" s="6" t="s">
        <x:v>124</x:v>
      </x:c>
      <x:c r="AK4" s="7"/>
      <x:c r="AL4" s="7"/>
      <x:c r="AM4" s="7"/>
      <x:c r="AN4" s="7"/>
      <x:c r="AO4" s="7"/>
      <x:c r="AP4" s="7"/>
      <x:c r="AQ4" s="7"/>
    </x:row>
    <x:row r="5" spans="1:43" ht="13.19999999999999928946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6"/>
      <x:c r="AK5" s="7"/>
      <x:c r="AL5" s="7"/>
      <x:c r="AM5" s="7"/>
      <x:c r="AN5" s="7"/>
      <x:c r="AO5" s="7"/>
      <x:c r="AP5" s="7"/>
      <x:c r="AQ5" s="7"/>
    </x:row>
    <x:row r="6" spans="1:43" ht="13.1999999999999992894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6"/>
      <x:c r="AK6" s="7"/>
      <x:c r="AL6" s="7"/>
      <x:c r="AM6" s="7"/>
      <x:c r="AN6" s="7"/>
      <x:c r="AO6" s="7"/>
      <x:c r="AP6" s="7"/>
      <x:c r="AQ6" s="7"/>
    </x:row>
    <x:row r="7" spans="1:43" ht="13.19999999999999928946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6"/>
      <x:c r="AK7" s="7"/>
      <x:c r="AL7" s="7"/>
      <x:c r="AM7" s="7"/>
      <x:c r="AN7" s="7"/>
      <x:c r="AO7" s="7"/>
      <x:c r="AP7" s="7"/>
      <x:c r="AQ7" s="7"/>
    </x:row>
    <x:row r="8" spans="1:43" ht="13.19999999999999928946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6"/>
      <x:c r="AK8" s="7"/>
      <x:c r="AL8" s="7"/>
      <x:c r="AM8" s="7"/>
      <x:c r="AN8" s="7"/>
      <x:c r="AO8" s="7"/>
      <x:c r="AP8" s="7"/>
      <x:c r="AQ8" s="7"/>
    </x:row>
    <x:row r="9" spans="1:43" ht="13.19999999999999928946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6"/>
      <x:c r="AK9" s="7"/>
      <x:c r="AL9" s="7"/>
      <x:c r="AM9" s="7"/>
      <x:c r="AN9" s="7"/>
      <x:c r="AO9" s="7"/>
      <x:c r="AP9" s="7"/>
      <x:c r="AQ9" s="7"/>
    </x:row>
    <x:row r="10" spans="1:43" ht="13.19999999999999928946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6"/>
      <x:c r="AK10" s="7"/>
      <x:c r="AL10" s="7"/>
      <x:c r="AM10" s="7"/>
      <x:c r="AN10" s="7"/>
      <x:c r="AO10" s="7"/>
      <x:c r="AP10" s="7"/>
      <x:c r="AQ10" s="7"/>
    </x:row>
    <x:row r="11" spans="1:43" ht="13.19999999999999928946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6"/>
      <x:c r="AK11" s="7"/>
      <x:c r="AL11" s="7"/>
      <x:c r="AM11" s="7"/>
      <x:c r="AN11" s="7"/>
      <x:c r="AO11" s="7"/>
      <x:c r="AP11" s="7"/>
      <x:c r="AQ11" s="7"/>
    </x:row>
    <x:row r="12" spans="1:43" ht="13.19999999999999928946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6"/>
      <x:c r="AK12" s="7"/>
      <x:c r="AL12" s="7"/>
      <x:c r="AM12" s="7"/>
      <x:c r="AN12" s="7"/>
      <x:c r="AO12" s="7"/>
      <x:c r="AP12" s="7"/>
      <x:c r="AQ12" s="7"/>
    </x:row>
    <x:row r="13" spans="1:43" ht="13.19999999999999928946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6"/>
      <x:c r="AK13" s="7"/>
      <x:c r="AL13" s="7"/>
      <x:c r="AM13" s="7"/>
      <x:c r="AN13" s="7"/>
      <x:c r="AO13" s="7"/>
      <x:c r="AP13" s="7"/>
      <x:c r="AQ13" s="7"/>
    </x:row>
    <x:row r="14" spans="1:43" ht="13.19999999999999928946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6"/>
      <x:c r="AK14" s="7"/>
      <x:c r="AL14" s="7"/>
      <x:c r="AM14" s="7"/>
      <x:c r="AN14" s="7"/>
      <x:c r="AO14" s="7"/>
      <x:c r="AP14" s="7"/>
      <x:c r="AQ14" s="7"/>
    </x:row>
    <x:row r="15" spans="1:43" ht="13.19999999999999928946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6"/>
      <x:c r="AK15" s="7"/>
      <x:c r="AL15" s="7"/>
      <x:c r="AM15" s="7"/>
      <x:c r="AN15" s="7"/>
      <x:c r="AO15" s="7"/>
      <x:c r="AP15" s="7"/>
      <x:c r="AQ15" s="7"/>
    </x:row>
    <x:row r="16" spans="1:43" ht="13.1999999999999992894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6"/>
      <x:c r="AK16" s="7"/>
      <x:c r="AL16" s="7"/>
      <x:c r="AM16" s="7"/>
      <x:c r="AN16" s="7"/>
      <x:c r="AO16" s="7"/>
      <x:c r="AP16" s="7"/>
      <x:c r="AQ16" s="7"/>
    </x:row>
    <x:row r="17" spans="1:43" ht="13.19999999999999928946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6"/>
      <x:c r="AK17" s="7"/>
      <x:c r="AL17" s="7"/>
      <x:c r="AM17" s="7"/>
      <x:c r="AN17" s="7"/>
      <x:c r="AO17" s="7"/>
      <x:c r="AP17" s="7"/>
      <x:c r="AQ17" s="7"/>
    </x:row>
    <x:row r="18" spans="1:43" ht="13.19999999999999928946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6"/>
      <x:c r="AK18" s="7"/>
      <x:c r="AL18" s="7"/>
      <x:c r="AM18" s="7"/>
      <x:c r="AN18" s="7"/>
      <x:c r="AO18" s="7"/>
      <x:c r="AP18" s="7"/>
      <x:c r="AQ18" s="7"/>
    </x:row>
    <x:row r="19" spans="1:43" ht="13.19999999999999928946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6"/>
      <x:c r="AK19" s="7"/>
      <x:c r="AL19" s="7"/>
      <x:c r="AM19" s="7"/>
      <x:c r="AN19" s="7"/>
      <x:c r="AO19" s="7"/>
      <x:c r="AP19" s="7"/>
      <x:c r="AQ19" s="7"/>
    </x:row>
    <x:row r="20" spans="1:43" ht="13.19999999999999928946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6"/>
      <x:c r="AK20" s="7"/>
      <x:c r="AL20" s="7"/>
      <x:c r="AM20" s="7"/>
      <x:c r="AN20" s="7"/>
      <x:c r="AO20" s="7"/>
      <x:c r="AP20" s="7"/>
      <x:c r="AQ20" s="7"/>
    </x:row>
    <x:row r="21" spans="1:43" ht="13.19999999999999928946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6"/>
      <x:c r="AK21" s="7"/>
      <x:c r="AL21" s="7"/>
      <x:c r="AM21" s="7"/>
      <x:c r="AN21" s="7"/>
      <x:c r="AO21" s="7"/>
      <x:c r="AP21" s="7"/>
      <x:c r="AQ21" s="7"/>
    </x:row>
    <x:row r="22" spans="1:43" ht="13.19999999999999928946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6"/>
      <x:c r="AK22" s="7"/>
      <x:c r="AL22" s="7"/>
      <x:c r="AM22" s="7"/>
      <x:c r="AN22" s="7"/>
      <x:c r="AO22" s="7"/>
      <x:c r="AP22" s="7"/>
      <x:c r="AQ22" s="7"/>
    </x:row>
    <x:row r="23" spans="1:43" ht="13.19999999999999928946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6"/>
      <x:c r="AK23" s="7"/>
      <x:c r="AL23" s="7"/>
      <x:c r="AM23" s="7"/>
      <x:c r="AN23" s="7"/>
      <x:c r="AO23" s="7"/>
      <x:c r="AP23" s="7"/>
      <x:c r="AQ23" s="7"/>
    </x:row>
    <x:row r="24" spans="1:43" ht="13.19999999999999928946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6"/>
      <x:c r="AK24" s="7"/>
      <x:c r="AL24" s="7"/>
      <x:c r="AM24" s="7"/>
      <x:c r="AN24" s="7"/>
      <x:c r="AO24" s="7"/>
      <x:c r="AP24" s="7"/>
      <x:c r="AQ24" s="7"/>
    </x:row>
    <x:row r="25" spans="1:43" ht="13.19999999999999928946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6"/>
      <x:c r="AK25" s="7"/>
      <x:c r="AL25" s="7"/>
      <x:c r="AM25" s="7"/>
      <x:c r="AN25" s="7"/>
      <x:c r="AO25" s="7"/>
      <x:c r="AP25" s="7"/>
      <x:c r="AQ25" s="7"/>
    </x:row>
    <x:row r="26" spans="1:43" ht="13.1999999999999992894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6"/>
      <x:c r="AK26" s="7"/>
      <x:c r="AL26" s="7"/>
      <x:c r="AM26" s="7"/>
      <x:c r="AN26" s="7"/>
      <x:c r="AO26" s="7"/>
      <x:c r="AP26" s="7"/>
      <x:c r="AQ26" s="7"/>
    </x:row>
    <x:row r="27" spans="1:43" ht="13.19999999999999928946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6"/>
      <x:c r="AK27" s="7"/>
      <x:c r="AL27" s="7"/>
      <x:c r="AM27" s="7"/>
      <x:c r="AN27" s="7"/>
      <x:c r="AO27" s="7"/>
      <x:c r="AP27" s="7"/>
      <x:c r="AQ27" s="7"/>
    </x:row>
    <x:row r="28" spans="1:43" ht="13.19999999999999928946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6"/>
      <x:c r="AK28" s="7"/>
      <x:c r="AL28" s="7"/>
      <x:c r="AM28" s="7"/>
      <x:c r="AN28" s="7"/>
      <x:c r="AO28" s="7"/>
      <x:c r="AP28" s="7"/>
      <x:c r="AQ28" s="7"/>
    </x:row>
    <x:row r="29" spans="1:43" ht="13.19999999999999928946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6"/>
      <x:c r="AK29" s="7"/>
      <x:c r="AL29" s="7"/>
      <x:c r="AM29" s="7"/>
      <x:c r="AN29" s="7"/>
      <x:c r="AO29" s="7"/>
      <x:c r="AP29" s="7"/>
      <x:c r="AQ29" s="7"/>
    </x:row>
    <x:row r="30" spans="1:43" ht="13.19999999999999928946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6"/>
      <x:c r="AK30" s="7"/>
      <x:c r="AL30" s="7"/>
      <x:c r="AM30" s="7"/>
      <x:c r="AN30" s="7"/>
      <x:c r="AO30" s="7"/>
      <x:c r="AP30" s="7"/>
      <x:c r="AQ30" s="7"/>
    </x:row>
    <x:row r="31" spans="1:43" ht="13.19999999999999928946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6"/>
      <x:c r="AK31" s="7"/>
      <x:c r="AL31" s="7"/>
      <x:c r="AM31" s="7"/>
      <x:c r="AN31" s="7"/>
      <x:c r="AO31" s="7"/>
      <x:c r="AP31" s="7"/>
      <x:c r="AQ31" s="7"/>
    </x:row>
    <x:row r="32" spans="1:43" ht="13.19999999999999928946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6"/>
      <x:c r="AK32" s="7"/>
      <x:c r="AL32" s="7"/>
      <x:c r="AM32" s="7"/>
      <x:c r="AN32" s="7"/>
      <x:c r="AO32" s="7"/>
      <x:c r="AP32" s="7"/>
      <x:c r="AQ32" s="7"/>
    </x:row>
    <x:row r="33" spans="1:43" ht="13.19999999999999928946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6"/>
      <x:c r="AK33" s="7"/>
      <x:c r="AL33" s="7"/>
      <x:c r="AM33" s="7"/>
      <x:c r="AN33" s="7"/>
      <x:c r="AO33" s="7"/>
      <x:c r="AP33" s="7"/>
      <x:c r="AQ33" s="7"/>
    </x:row>
    <x:row r="34" spans="1:43" ht="13.19999999999999928946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6"/>
      <x:c r="AK34" s="7"/>
      <x:c r="AL34" s="7"/>
      <x:c r="AM34" s="7"/>
      <x:c r="AN34" s="7"/>
      <x:c r="AO34" s="7"/>
      <x:c r="AP34" s="7"/>
      <x:c r="AQ34" s="7"/>
    </x:row>
    <x:row r="35" spans="1:43" ht="13.19999999999999928946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6"/>
      <x:c r="AK35" s="7"/>
      <x:c r="AL35" s="7"/>
      <x:c r="AM35" s="7"/>
      <x:c r="AN35" s="7"/>
      <x:c r="AO35" s="7"/>
      <x:c r="AP35" s="7"/>
      <x:c r="AQ35" s="7"/>
    </x:row>
    <x:row r="36" spans="1:43" ht="13.1999999999999992894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6"/>
      <x:c r="AK36" s="7"/>
      <x:c r="AL36" s="7"/>
      <x:c r="AM36" s="7"/>
      <x:c r="AN36" s="7"/>
      <x:c r="AO36" s="7"/>
      <x:c r="AP36" s="7"/>
      <x:c r="AQ36" s="7"/>
    </x:row>
    <x:row r="37" spans="1:43" ht="13.19999999999999928946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6"/>
      <x:c r="AK37" s="7"/>
      <x:c r="AL37" s="7"/>
      <x:c r="AM37" s="7"/>
      <x:c r="AN37" s="7"/>
      <x:c r="AO37" s="7"/>
      <x:c r="AP37" s="7"/>
      <x:c r="AQ37" s="7"/>
    </x:row>
    <x:row r="38" spans="1:43" ht="13.19999999999999928946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6"/>
      <x:c r="AK38" s="7"/>
      <x:c r="AL38" s="7"/>
      <x:c r="AM38" s="7"/>
      <x:c r="AN38" s="7"/>
      <x:c r="AO38" s="7"/>
      <x:c r="AP38" s="7"/>
      <x:c r="AQ38" s="7"/>
    </x:row>
    <x:row r="39" spans="1:43" ht="13.19999999999999928946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6"/>
      <x:c r="AK39" s="7"/>
      <x:c r="AL39" s="7"/>
      <x:c r="AM39" s="7"/>
      <x:c r="AN39" s="7"/>
      <x:c r="AO39" s="7"/>
      <x:c r="AP39" s="7"/>
      <x:c r="AQ39" s="7"/>
    </x:row>
    <x:row r="40" spans="1:43" ht="13.19999999999999928946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6"/>
      <x:c r="AK40" s="7"/>
      <x:c r="AL40" s="7"/>
      <x:c r="AM40" s="7"/>
      <x:c r="AN40" s="7"/>
      <x:c r="AO40" s="7"/>
      <x:c r="AP40" s="7"/>
      <x:c r="AQ40" s="7"/>
    </x:row>
    <x:row r="41" spans="1:43" ht="13.19999999999999928946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6"/>
      <x:c r="AK41" s="7"/>
      <x:c r="AL41" s="7"/>
      <x:c r="AM41" s="7"/>
      <x:c r="AN41" s="7"/>
      <x:c r="AO41" s="7"/>
      <x:c r="AP41" s="7"/>
      <x:c r="AQ41" s="7"/>
    </x:row>
    <x:row r="42" spans="1:43" ht="13.19999999999999928946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6"/>
      <x:c r="AK42" s="7"/>
      <x:c r="AL42" s="7"/>
      <x:c r="AM42" s="7"/>
      <x:c r="AN42" s="7"/>
      <x:c r="AO42" s="7"/>
      <x:c r="AP42" s="7"/>
      <x:c r="AQ42" s="7"/>
    </x:row>
    <x:row r="43" spans="1:43" ht="13.19999999999999928946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6"/>
      <x:c r="AK43" s="7"/>
      <x:c r="AL43" s="7"/>
      <x:c r="AM43" s="7"/>
      <x:c r="AN43" s="7"/>
      <x:c r="AO43" s="7"/>
      <x:c r="AP43" s="7"/>
      <x:c r="AQ43" s="7"/>
    </x:row>
    <x:row r="44" spans="1:43" ht="13.19999999999999928946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6"/>
      <x:c r="AK44" s="7"/>
      <x:c r="AL44" s="7"/>
      <x:c r="AM44" s="7"/>
      <x:c r="AN44" s="7"/>
      <x:c r="AO44" s="7"/>
      <x:c r="AP44" s="7"/>
      <x:c r="AQ44" s="7"/>
    </x:row>
    <x:row r="45" spans="1:43" ht="13.19999999999999928946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6"/>
      <x:c r="AK45" s="7"/>
      <x:c r="AL45" s="7"/>
      <x:c r="AM45" s="7"/>
      <x:c r="AN45" s="7"/>
      <x:c r="AO45" s="7"/>
      <x:c r="AP45" s="7"/>
      <x:c r="AQ45" s="7"/>
    </x:row>
    <x:row r="46" spans="1:43" ht="13.199999999999999289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6"/>
      <x:c r="AK46" s="7"/>
      <x:c r="AL46" s="7"/>
      <x:c r="AM46" s="7"/>
      <x:c r="AN46" s="7"/>
      <x:c r="AO46" s="7"/>
      <x:c r="AP46" s="7"/>
      <x:c r="AQ46" s="7"/>
    </x:row>
    <x:row r="47" spans="1:43" ht="13.19999999999999928946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6"/>
      <x:c r="AK47" s="7"/>
      <x:c r="AL47" s="7"/>
      <x:c r="AM47" s="7"/>
      <x:c r="AN47" s="7"/>
      <x:c r="AO47" s="7"/>
      <x:c r="AP47" s="7"/>
      <x:c r="AQ47" s="7"/>
    </x:row>
    <x:row r="48" spans="1:43" ht="13.19999999999999928946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6"/>
      <x:c r="AK48" s="7"/>
      <x:c r="AL48" s="7"/>
      <x:c r="AM48" s="7"/>
      <x:c r="AN48" s="7"/>
      <x:c r="AO48" s="7"/>
      <x:c r="AP48" s="7"/>
      <x:c r="AQ48" s="7"/>
    </x:row>
    <x:row r="49" spans="1:43" ht="13.19999999999999928946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6"/>
      <x:c r="AK49" s="7"/>
      <x:c r="AL49" s="7"/>
      <x:c r="AM49" s="7"/>
      <x:c r="AN49" s="7"/>
      <x:c r="AO49" s="7"/>
      <x:c r="AP49" s="7"/>
      <x:c r="AQ49" s="7"/>
    </x:row>
    <x:row r="50" spans="1:43" ht="13.19999999999999928946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6"/>
      <x:c r="AK50" s="7"/>
      <x:c r="AL50" s="7"/>
      <x:c r="AM50" s="7"/>
      <x:c r="AN50" s="7"/>
      <x:c r="AO50" s="7"/>
      <x:c r="AP50" s="7"/>
      <x:c r="AQ50" s="7"/>
    </x:row>
    <x:row r="51" spans="1:43" ht="13.19999999999999928946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6"/>
      <x:c r="AK51" s="7"/>
      <x:c r="AL51" s="7"/>
      <x:c r="AM51" s="7"/>
      <x:c r="AN51" s="7"/>
      <x:c r="AO51" s="7"/>
      <x:c r="AP51" s="7"/>
      <x:c r="AQ51" s="7"/>
    </x:row>
    <x:row r="52" spans="1:43" ht="13.19999999999999928946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6"/>
      <x:c r="AK52" s="7"/>
      <x:c r="AL52" s="7"/>
      <x:c r="AM52" s="7"/>
      <x:c r="AN52" s="7"/>
      <x:c r="AO52" s="7"/>
      <x:c r="AP52" s="7"/>
      <x:c r="AQ52" s="7"/>
    </x:row>
    <x:row r="53" spans="1:43" ht="13.19999999999999928946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6"/>
      <x:c r="AK53" s="7"/>
      <x:c r="AL53" s="7"/>
      <x:c r="AM53" s="7"/>
      <x:c r="AN53" s="7"/>
      <x:c r="AO53" s="7"/>
      <x:c r="AP53" s="7"/>
      <x:c r="AQ53" s="7"/>
    </x:row>
    <x:row r="54" spans="1:43" ht="13.19999999999999928946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6"/>
      <x:c r="AK54" s="7"/>
      <x:c r="AL54" s="7"/>
      <x:c r="AM54" s="7"/>
      <x:c r="AN54" s="7"/>
      <x:c r="AO54" s="7"/>
      <x:c r="AP54" s="7"/>
      <x:c r="AQ54" s="7"/>
    </x:row>
    <x:row r="55" spans="1:43" ht="13.19999999999999928946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6"/>
      <x:c r="AK55" s="7"/>
      <x:c r="AL55" s="7"/>
      <x:c r="AM55" s="7"/>
      <x:c r="AN55" s="7"/>
      <x:c r="AO55" s="7"/>
      <x:c r="AP55" s="7"/>
      <x:c r="AQ55" s="7"/>
    </x:row>
    <x:row r="56" spans="1:43" ht="13.1999999999999992894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6"/>
      <x:c r="AK56" s="7"/>
      <x:c r="AL56" s="7"/>
      <x:c r="AM56" s="7"/>
      <x:c r="AN56" s="7"/>
      <x:c r="AO56" s="7"/>
      <x:c r="AP56" s="7"/>
      <x:c r="AQ56" s="7"/>
    </x:row>
    <x:row r="57" spans="1:43" ht="13.19999999999999928946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6"/>
      <x:c r="AK57" s="7"/>
      <x:c r="AL57" s="7"/>
      <x:c r="AM57" s="7"/>
      <x:c r="AN57" s="7"/>
      <x:c r="AO57" s="7"/>
      <x:c r="AP57" s="7"/>
      <x:c r="AQ57" s="7"/>
    </x:row>
    <x:row r="58" spans="1:43" ht="13.19999999999999928946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6"/>
      <x:c r="AK58" s="7"/>
      <x:c r="AL58" s="7"/>
      <x:c r="AM58" s="7"/>
      <x:c r="AN58" s="7"/>
      <x:c r="AO58" s="7"/>
      <x:c r="AP58" s="7"/>
      <x:c r="AQ58" s="7"/>
    </x:row>
    <x:row r="59" spans="1:43" ht="13.19999999999999928946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6"/>
      <x:c r="AK59" s="7"/>
      <x:c r="AL59" s="7"/>
      <x:c r="AM59" s="7"/>
      <x:c r="AN59" s="7"/>
      <x:c r="AO59" s="7"/>
      <x:c r="AP59" s="7"/>
      <x:c r="AQ59" s="7"/>
    </x:row>
    <x:row r="60" spans="1:43" ht="13.19999999999999928946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6"/>
      <x:c r="AK60" s="7"/>
      <x:c r="AL60" s="7"/>
      <x:c r="AM60" s="7"/>
      <x:c r="AN60" s="7"/>
      <x:c r="AO60" s="7"/>
      <x:c r="AP60" s="7"/>
      <x:c r="AQ60" s="7"/>
    </x:row>
    <x:row r="61" spans="1:43" ht="13.19999999999999928946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6"/>
      <x:c r="AK61" s="7"/>
      <x:c r="AL61" s="7"/>
      <x:c r="AM61" s="7"/>
      <x:c r="AN61" s="7"/>
      <x:c r="AO61" s="7"/>
      <x:c r="AP61" s="7"/>
      <x:c r="AQ61" s="7"/>
    </x:row>
    <x:row r="62" spans="1:43" ht="13.19999999999999928946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6"/>
      <x:c r="AK62" s="7"/>
      <x:c r="AL62" s="7"/>
      <x:c r="AM62" s="7"/>
      <x:c r="AN62" s="7"/>
      <x:c r="AO62" s="7"/>
      <x:c r="AP62" s="7"/>
      <x:c r="AQ62" s="7"/>
    </x:row>
    <x:row r="63" spans="1:43" ht="13.19999999999999928946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6"/>
      <x:c r="AK63" s="7"/>
      <x:c r="AL63" s="7"/>
      <x:c r="AM63" s="7"/>
      <x:c r="AN63" s="7"/>
      <x:c r="AO63" s="7"/>
      <x:c r="AP63" s="7"/>
      <x:c r="AQ63" s="7"/>
    </x:row>
    <x:row r="64" spans="1:43" ht="13.19999999999999928946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6"/>
      <x:c r="AK64" s="7"/>
      <x:c r="AL64" s="7"/>
      <x:c r="AM64" s="7"/>
      <x:c r="AN64" s="7"/>
      <x:c r="AO64" s="7"/>
      <x:c r="AP64" s="7"/>
      <x:c r="AQ64" s="7"/>
    </x:row>
    <x:row r="65" spans="1:43" ht="13.19999999999999928946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6"/>
      <x:c r="AK65" s="7"/>
      <x:c r="AL65" s="7"/>
      <x:c r="AM65" s="7"/>
      <x:c r="AN65" s="7"/>
      <x:c r="AO65" s="7"/>
      <x:c r="AP65" s="7"/>
      <x:c r="AQ65" s="7"/>
    </x:row>
    <x:row r="66" spans="1:43" ht="13.1999999999999992894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6"/>
      <x:c r="AK66" s="7"/>
      <x:c r="AL66" s="7"/>
      <x:c r="AM66" s="7"/>
      <x:c r="AN66" s="7"/>
      <x:c r="AO66" s="7"/>
      <x:c r="AP66" s="7"/>
      <x:c r="AQ66" s="7"/>
    </x:row>
    <x:row r="67" spans="1:43" ht="13.19999999999999928946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6"/>
      <x:c r="AK67" s="7"/>
      <x:c r="AL67" s="7"/>
      <x:c r="AM67" s="7"/>
      <x:c r="AN67" s="7"/>
      <x:c r="AO67" s="7"/>
      <x:c r="AP67" s="7"/>
      <x:c r="AQ67" s="7"/>
    </x:row>
    <x:row r="68" spans="1:43" ht="13.19999999999999928946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6"/>
      <x:c r="AK68" s="7"/>
      <x:c r="AL68" s="7"/>
      <x:c r="AM68" s="7"/>
      <x:c r="AN68" s="7"/>
      <x:c r="AO68" s="7"/>
      <x:c r="AP68" s="7"/>
      <x:c r="AQ68" s="7"/>
    </x:row>
    <x:row r="69" spans="1:43" ht="13.19999999999999928946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6"/>
      <x:c r="AK69" s="7"/>
      <x:c r="AL69" s="7"/>
      <x:c r="AM69" s="7"/>
      <x:c r="AN69" s="7"/>
      <x:c r="AO69" s="7"/>
      <x:c r="AP69" s="7"/>
      <x:c r="AQ69" s="7"/>
    </x:row>
    <x:row r="70" spans="1:43" ht="13.19999999999999928946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6"/>
      <x:c r="AK70" s="7"/>
      <x:c r="AL70" s="7"/>
      <x:c r="AM70" s="7"/>
      <x:c r="AN70" s="7"/>
      <x:c r="AO70" s="7"/>
      <x:c r="AP70" s="7"/>
      <x:c r="AQ70" s="7"/>
    </x:row>
    <x:row r="71" spans="1:43" ht="13.19999999999999928946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6"/>
      <x:c r="AK71" s="7"/>
      <x:c r="AL71" s="7"/>
      <x:c r="AM71" s="7"/>
      <x:c r="AN71" s="7"/>
      <x:c r="AO71" s="7"/>
      <x:c r="AP71" s="7"/>
      <x:c r="AQ71" s="7"/>
    </x:row>
    <x:row r="72" spans="1:43" ht="13.19999999999999928946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6"/>
      <x:c r="AK72" s="7"/>
      <x:c r="AL72" s="7"/>
      <x:c r="AM72" s="7"/>
      <x:c r="AN72" s="7"/>
      <x:c r="AO72" s="7"/>
      <x:c r="AP72" s="7"/>
      <x:c r="AQ72" s="7"/>
    </x:row>
    <x:row r="73" spans="1:43" ht="13.19999999999999928946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6"/>
      <x:c r="AK73" s="7"/>
      <x:c r="AL73" s="7"/>
      <x:c r="AM73" s="7"/>
      <x:c r="AN73" s="7"/>
      <x:c r="AO73" s="7"/>
      <x:c r="AP73" s="7"/>
      <x:c r="AQ73" s="7"/>
    </x:row>
    <x:row r="74" spans="1:43" ht="13.19999999999999928946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6"/>
      <x:c r="AK74" s="7"/>
      <x:c r="AL74" s="7"/>
      <x:c r="AM74" s="7"/>
      <x:c r="AN74" s="7"/>
      <x:c r="AO74" s="7"/>
      <x:c r="AP74" s="7"/>
      <x:c r="AQ74" s="7"/>
    </x:row>
    <x:row r="75" spans="1:43" ht="13.19999999999999928946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6"/>
      <x:c r="AK75" s="7"/>
      <x:c r="AL75" s="7"/>
      <x:c r="AM75" s="7"/>
      <x:c r="AN75" s="7"/>
      <x:c r="AO75" s="7"/>
      <x:c r="AP75" s="7"/>
      <x:c r="AQ75" s="7"/>
    </x:row>
    <x:row r="76" spans="1:43" ht="13.1999999999999992894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6"/>
      <x:c r="AK76" s="7"/>
      <x:c r="AL76" s="7"/>
      <x:c r="AM76" s="7"/>
      <x:c r="AN76" s="7"/>
      <x:c r="AO76" s="7"/>
      <x:c r="AP76" s="7"/>
      <x:c r="AQ76" s="7"/>
    </x:row>
    <x:row r="77" spans="1:43" ht="13.19999999999999928946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6"/>
      <x:c r="AK77" s="7"/>
      <x:c r="AL77" s="7"/>
      <x:c r="AM77" s="7"/>
      <x:c r="AN77" s="7"/>
      <x:c r="AO77" s="7"/>
      <x:c r="AP77" s="7"/>
      <x:c r="AQ77" s="7"/>
    </x:row>
    <x:row r="78" spans="1:43" ht="13.19999999999999928946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6"/>
      <x:c r="AK78" s="7"/>
      <x:c r="AL78" s="7"/>
      <x:c r="AM78" s="7"/>
      <x:c r="AN78" s="7"/>
      <x:c r="AO78" s="7"/>
      <x:c r="AP78" s="7"/>
      <x:c r="AQ78" s="7"/>
    </x:row>
    <x:row r="79" spans="1:43" ht="13.19999999999999928946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6"/>
      <x:c r="AK79" s="7"/>
      <x:c r="AL79" s="7"/>
      <x:c r="AM79" s="7"/>
      <x:c r="AN79" s="7"/>
      <x:c r="AO79" s="7"/>
      <x:c r="AP79" s="7"/>
      <x:c r="AQ79" s="7"/>
    </x:row>
    <x:row r="80" spans="1:43" ht="13.19999999999999928946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  <x:c r="AH80" s="4"/>
      <x:c r="AI80" s="4"/>
      <x:c r="AJ80" s="6"/>
      <x:c r="AK80" s="7"/>
      <x:c r="AL80" s="7"/>
      <x:c r="AM80" s="7"/>
      <x:c r="AN80" s="7"/>
      <x:c r="AO80" s="7"/>
      <x:c r="AP80" s="7"/>
      <x:c r="AQ80" s="7"/>
    </x:row>
    <x:row r="81" spans="1:43" ht="13.19999999999999928946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  <x:c r="AH81" s="4"/>
      <x:c r="AI81" s="4"/>
      <x:c r="AJ81" s="6"/>
      <x:c r="AK81" s="7"/>
      <x:c r="AL81" s="7"/>
      <x:c r="AM81" s="7"/>
      <x:c r="AN81" s="7"/>
      <x:c r="AO81" s="7"/>
      <x:c r="AP81" s="7"/>
      <x:c r="AQ81" s="7"/>
    </x:row>
    <x:row r="82" spans="1:43" ht="13.19999999999999928946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6"/>
      <x:c r="AK82" s="7"/>
      <x:c r="AL82" s="7"/>
      <x:c r="AM82" s="7"/>
      <x:c r="AN82" s="7"/>
      <x:c r="AO82" s="7"/>
      <x:c r="AP82" s="7"/>
      <x:c r="AQ82" s="7"/>
    </x:row>
    <x:row r="83" spans="1:43" ht="13.19999999999999928946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6"/>
      <x:c r="AK83" s="7"/>
      <x:c r="AL83" s="7"/>
      <x:c r="AM83" s="7"/>
      <x:c r="AN83" s="7"/>
      <x:c r="AO83" s="7"/>
      <x:c r="AP83" s="7"/>
      <x:c r="AQ83" s="7"/>
    </x:row>
    <x:row r="84" spans="1:43" ht="13.19999999999999928946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6"/>
      <x:c r="AK84" s="7"/>
      <x:c r="AL84" s="7"/>
      <x:c r="AM84" s="7"/>
      <x:c r="AN84" s="7"/>
      <x:c r="AO84" s="7"/>
      <x:c r="AP84" s="7"/>
      <x:c r="AQ84" s="7"/>
    </x:row>
    <x:row r="85" spans="1:43" ht="13.19999999999999928946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6"/>
      <x:c r="AK85" s="7"/>
      <x:c r="AL85" s="7"/>
      <x:c r="AM85" s="7"/>
      <x:c r="AN85" s="7"/>
      <x:c r="AO85" s="7"/>
      <x:c r="AP85" s="7"/>
      <x:c r="AQ85" s="7"/>
    </x:row>
    <x:row r="86" spans="1:43" ht="13.1999999999999992894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6"/>
      <x:c r="AK86" s="7"/>
      <x:c r="AL86" s="7"/>
      <x:c r="AM86" s="7"/>
      <x:c r="AN86" s="7"/>
      <x:c r="AO86" s="7"/>
      <x:c r="AP86" s="7"/>
      <x:c r="AQ86" s="7"/>
    </x:row>
    <x:row r="87" spans="1:43" ht="13.19999999999999928946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6"/>
      <x:c r="AK87" s="7"/>
      <x:c r="AL87" s="7"/>
      <x:c r="AM87" s="7"/>
      <x:c r="AN87" s="7"/>
      <x:c r="AO87" s="7"/>
      <x:c r="AP87" s="7"/>
      <x:c r="AQ87" s="7"/>
    </x:row>
    <x:row r="88" spans="1:43" ht="13.19999999999999928946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6"/>
      <x:c r="AK88" s="7"/>
      <x:c r="AL88" s="7"/>
      <x:c r="AM88" s="7"/>
      <x:c r="AN88" s="7"/>
      <x:c r="AO88" s="7"/>
      <x:c r="AP88" s="7"/>
      <x:c r="AQ88" s="7"/>
    </x:row>
    <x:row r="89" spans="1:43" ht="13.19999999999999928946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6"/>
      <x:c r="AK89" s="7"/>
      <x:c r="AL89" s="7"/>
      <x:c r="AM89" s="7"/>
      <x:c r="AN89" s="7"/>
      <x:c r="AO89" s="7"/>
      <x:c r="AP89" s="7"/>
      <x:c r="AQ89" s="7"/>
    </x:row>
    <x:row r="90" spans="1:43" ht="13.19999999999999928946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6"/>
      <x:c r="AK90" s="7"/>
      <x:c r="AL90" s="7"/>
      <x:c r="AM90" s="7"/>
      <x:c r="AN90" s="7"/>
      <x:c r="AO90" s="7"/>
      <x:c r="AP90" s="7"/>
      <x:c r="AQ90" s="7"/>
    </x:row>
    <x:row r="91" spans="1:43" ht="13.19999999999999928946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6"/>
      <x:c r="AK91" s="7"/>
      <x:c r="AL91" s="7"/>
      <x:c r="AM91" s="7"/>
      <x:c r="AN91" s="7"/>
      <x:c r="AO91" s="7"/>
      <x:c r="AP91" s="7"/>
      <x:c r="AQ91" s="7"/>
    </x:row>
    <x:row r="92" spans="1:43" ht="13.19999999999999928946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6"/>
      <x:c r="AK92" s="7"/>
      <x:c r="AL92" s="7"/>
      <x:c r="AM92" s="7"/>
      <x:c r="AN92" s="7"/>
      <x:c r="AO92" s="7"/>
      <x:c r="AP92" s="7"/>
      <x:c r="AQ92" s="7"/>
    </x:row>
    <x:row r="93" spans="1:43" ht="13.19999999999999928946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6"/>
      <x:c r="AK93" s="7"/>
      <x:c r="AL93" s="7"/>
      <x:c r="AM93" s="7"/>
      <x:c r="AN93" s="7"/>
      <x:c r="AO93" s="7"/>
      <x:c r="AP93" s="7"/>
      <x:c r="AQ93" s="7"/>
    </x:row>
    <x:row r="94" spans="1:43" ht="13.19999999999999928946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6"/>
      <x:c r="AK94" s="7"/>
      <x:c r="AL94" s="7"/>
      <x:c r="AM94" s="7"/>
      <x:c r="AN94" s="7"/>
      <x:c r="AO94" s="7"/>
      <x:c r="AP94" s="7"/>
      <x:c r="AQ94" s="7"/>
    </x:row>
    <x:row r="95" spans="1:43" ht="13.19999999999999928946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6"/>
      <x:c r="AK95" s="7"/>
      <x:c r="AL95" s="7"/>
      <x:c r="AM95" s="7"/>
      <x:c r="AN95" s="7"/>
      <x:c r="AO95" s="7"/>
      <x:c r="AP95" s="7"/>
      <x:c r="AQ95" s="7"/>
    </x:row>
    <x:row r="96" spans="1:43" ht="13.1999999999999992894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  <x:c r="AH96" s="4"/>
      <x:c r="AI96" s="4"/>
      <x:c r="AJ96" s="6"/>
      <x:c r="AK96" s="7"/>
      <x:c r="AL96" s="7"/>
      <x:c r="AM96" s="7"/>
      <x:c r="AN96" s="7"/>
      <x:c r="AO96" s="7"/>
      <x:c r="AP96" s="7"/>
      <x:c r="AQ96" s="7"/>
    </x:row>
    <x:row r="97" spans="1:43" ht="13.19999999999999928946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6"/>
      <x:c r="AK97" s="7"/>
      <x:c r="AL97" s="7"/>
      <x:c r="AM97" s="7"/>
      <x:c r="AN97" s="7"/>
      <x:c r="AO97" s="7"/>
      <x:c r="AP97" s="7"/>
      <x:c r="AQ97" s="7"/>
    </x:row>
    <x:row r="98" spans="1:43" ht="13.19999999999999928946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6"/>
      <x:c r="AK98" s="7"/>
      <x:c r="AL98" s="7"/>
      <x:c r="AM98" s="7"/>
      <x:c r="AN98" s="7"/>
      <x:c r="AO98" s="7"/>
      <x:c r="AP98" s="7"/>
      <x:c r="AQ98" s="7"/>
    </x:row>
    <x:row r="99" spans="1:43" ht="13.19999999999999928946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6"/>
      <x:c r="AK99" s="7"/>
      <x:c r="AL99" s="7"/>
      <x:c r="AM99" s="7"/>
      <x:c r="AN99" s="7"/>
      <x:c r="AO99" s="7"/>
      <x:c r="AP99" s="7"/>
      <x:c r="AQ99" s="7"/>
    </x:row>
    <x:row r="100" spans="1:43" ht="13.19999999999999928946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6"/>
      <x:c r="AK100" s="7"/>
      <x:c r="AL100" s="7"/>
      <x:c r="AM100" s="7"/>
      <x:c r="AN100" s="7"/>
      <x:c r="AO100" s="7"/>
      <x:c r="AP100" s="7"/>
      <x:c r="AQ100" s="7"/>
    </x:row>
    <x:row r="101" spans="1:43" ht="13.19999999999999928946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6"/>
      <x:c r="AK101" s="7"/>
      <x:c r="AL101" s="7"/>
      <x:c r="AM101" s="7"/>
      <x:c r="AN101" s="7"/>
      <x:c r="AO101" s="7"/>
      <x:c r="AP101" s="7"/>
      <x:c r="AQ101" s="7"/>
    </x:row>
    <x:row r="102" spans="1:43" ht="13.19999999999999928946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6"/>
      <x:c r="AK102" s="7"/>
      <x:c r="AL102" s="7"/>
      <x:c r="AM102" s="7"/>
      <x:c r="AN102" s="7"/>
      <x:c r="AO102" s="7"/>
      <x:c r="AP102" s="7"/>
      <x:c r="AQ102" s="7"/>
    </x:row>
    <x:row r="103" spans="1:43" ht="13.19999999999999928946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6"/>
      <x:c r="AK103" s="7"/>
      <x:c r="AL103" s="7"/>
      <x:c r="AM103" s="7"/>
      <x:c r="AN103" s="7"/>
      <x:c r="AO103" s="7"/>
      <x:c r="AP103" s="7"/>
      <x:c r="AQ103" s="7"/>
    </x:row>
    <x:row r="104" spans="1:43" ht="13.19999999999999928946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7"/>
      <x:c r="AG104" s="7"/>
      <x:c r="AH104" s="7"/>
      <x:c r="AI104" s="4"/>
      <x:c r="AJ104" s="4"/>
      <x:c r="AK104" s="7"/>
      <x:c r="AL104" s="7"/>
      <x:c r="AM104" s="7"/>
      <x:c r="AN104" s="7"/>
      <x:c r="AO104" s="7"/>
      <x:c r="AP104" s="7"/>
      <x:c r="AQ104" s="7"/>
    </x:row>
    <x:row r="105" spans="1:43" ht="13.19999999999999928946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7"/>
      <x:c r="AG105" s="7"/>
      <x:c r="AH105" s="7"/>
      <x:c r="AI105" s="4"/>
      <x:c r="AJ105" s="4"/>
      <x:c r="AK105" s="7"/>
      <x:c r="AL105" s="7"/>
      <x:c r="AM105" s="7"/>
      <x:c r="AN105" s="7"/>
      <x:c r="AO105" s="7"/>
      <x:c r="AP105" s="7"/>
      <x:c r="AQ105" s="7"/>
    </x:row>
    <x:row r="106" spans="1:43" ht="13.1999999999999992894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7"/>
      <x:c r="AG106" s="7"/>
      <x:c r="AH106" s="7"/>
      <x:c r="AI106" s="4"/>
      <x:c r="AJ106" s="4"/>
      <x:c r="AK106" s="7"/>
      <x:c r="AL106" s="7"/>
      <x:c r="AM106" s="7"/>
      <x:c r="AN106" s="7"/>
      <x:c r="AO106" s="7"/>
      <x:c r="AP106" s="7"/>
      <x:c r="AQ106" s="7"/>
    </x:row>
    <x:row r="107" spans="1:43" ht="13.19999999999999928946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7"/>
      <x:c r="AG107" s="7"/>
      <x:c r="AH107" s="7"/>
      <x:c r="AI107" s="4"/>
      <x:c r="AJ107" s="4"/>
      <x:c r="AK107" s="7"/>
      <x:c r="AL107" s="7"/>
      <x:c r="AM107" s="7"/>
      <x:c r="AN107" s="7"/>
      <x:c r="AO107" s="7"/>
      <x:c r="AP107" s="7"/>
      <x:c r="AQ107" s="7"/>
    </x:row>
    <x:row r="108" spans="1:43" ht="13.19999999999999928946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7"/>
      <x:c r="AG108" s="7"/>
      <x:c r="AH108" s="7"/>
      <x:c r="AI108" s="4"/>
      <x:c r="AJ108" s="4"/>
      <x:c r="AK108" s="7"/>
      <x:c r="AL108" s="7"/>
      <x:c r="AM108" s="7"/>
      <x:c r="AN108" s="7"/>
      <x:c r="AO108" s="7"/>
      <x:c r="AP108" s="7"/>
      <x:c r="AQ108" s="7"/>
    </x:row>
    <x:row r="109" spans="1:43" ht="13.19999999999999928946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7"/>
      <x:c r="AG109" s="7"/>
      <x:c r="AH109" s="7"/>
      <x:c r="AI109" s="4"/>
      <x:c r="AJ109" s="4"/>
      <x:c r="AK109" s="7"/>
      <x:c r="AL109" s="7"/>
      <x:c r="AM109" s="7"/>
      <x:c r="AN109" s="7"/>
      <x:c r="AO109" s="7"/>
      <x:c r="AP109" s="7"/>
      <x:c r="AQ109" s="7"/>
    </x:row>
    <x:row r="110" spans="1:43" ht="13.19999999999999928946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7"/>
      <x:c r="AG110" s="7"/>
      <x:c r="AH110" s="7"/>
      <x:c r="AI110" s="4"/>
      <x:c r="AJ110" s="4"/>
      <x:c r="AK110" s="7"/>
      <x:c r="AL110" s="7"/>
      <x:c r="AM110" s="7"/>
      <x:c r="AN110" s="7"/>
      <x:c r="AO110" s="7"/>
      <x:c r="AP110" s="7"/>
      <x:c r="AQ110" s="7"/>
    </x:row>
    <x:row r="111" spans="1:43" ht="13.19999999999999928946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7"/>
      <x:c r="AG111" s="7"/>
      <x:c r="AH111" s="7"/>
      <x:c r="AI111" s="4"/>
      <x:c r="AJ111" s="4"/>
      <x:c r="AK111" s="7"/>
      <x:c r="AL111" s="7"/>
      <x:c r="AM111" s="7"/>
      <x:c r="AN111" s="7"/>
      <x:c r="AO111" s="7"/>
      <x:c r="AP111" s="7"/>
      <x:c r="AQ111" s="7"/>
    </x:row>
    <x:row r="112" spans="1:43" ht="13.19999999999999928946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7"/>
      <x:c r="AG112" s="7"/>
      <x:c r="AH112" s="7"/>
      <x:c r="AI112" s="4"/>
      <x:c r="AJ112" s="4"/>
      <x:c r="AK112" s="7"/>
      <x:c r="AL112" s="7"/>
      <x:c r="AM112" s="7"/>
      <x:c r="AN112" s="7"/>
      <x:c r="AO112" s="7"/>
      <x:c r="AP112" s="7"/>
      <x:c r="AQ112" s="7"/>
    </x:row>
    <x:row r="113" spans="1:43" ht="13.19999999999999928946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7"/>
      <x:c r="AF113" s="7"/>
      <x:c r="AG113" s="7"/>
      <x:c r="AH113" s="7"/>
      <x:c r="AI113" s="4"/>
      <x:c r="AJ113" s="4"/>
      <x:c r="AK113" s="7"/>
      <x:c r="AL113" s="7"/>
      <x:c r="AM113" s="7"/>
      <x:c r="AN113" s="7"/>
      <x:c r="AO113" s="7"/>
      <x:c r="AP113" s="7"/>
      <x:c r="AQ113" s="7"/>
    </x:row>
    <x:row r="114" spans="1:43" ht="13.19999999999999928946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7"/>
      <x:c r="AF114" s="7"/>
      <x:c r="AG114" s="7"/>
      <x:c r="AH114" s="7"/>
      <x:c r="AI114" s="4"/>
      <x:c r="AJ114" s="4"/>
      <x:c r="AK114" s="7"/>
      <x:c r="AL114" s="7"/>
      <x:c r="AM114" s="7"/>
      <x:c r="AN114" s="7"/>
      <x:c r="AO114" s="7"/>
      <x:c r="AP114" s="7"/>
      <x:c r="AQ114" s="7"/>
    </x:row>
    <x:row r="115" spans="1:43" ht="13.19999999999999928946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7"/>
      <x:c r="AF115" s="7"/>
      <x:c r="AG115" s="7"/>
      <x:c r="AH115" s="7"/>
      <x:c r="AI115" s="4"/>
      <x:c r="AJ115" s="4"/>
      <x:c r="AK115" s="7"/>
      <x:c r="AL115" s="7"/>
      <x:c r="AM115" s="7"/>
      <x:c r="AN115" s="7"/>
      <x:c r="AO115" s="7"/>
      <x:c r="AP115" s="7"/>
      <x:c r="AQ115" s="7"/>
    </x:row>
    <x:row r="116" spans="1:43" ht="13.1999999999999992894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7"/>
      <x:c r="AG116" s="7"/>
      <x:c r="AH116" s="7"/>
      <x:c r="AI116" s="4"/>
      <x:c r="AJ116" s="4"/>
      <x:c r="AK116" s="7"/>
      <x:c r="AL116" s="7"/>
      <x:c r="AM116" s="7"/>
      <x:c r="AN116" s="7"/>
      <x:c r="AO116" s="7"/>
      <x:c r="AP116" s="7"/>
      <x:c r="AQ116" s="7"/>
    </x:row>
    <x:row r="117" spans="1:43" ht="13.19999999999999928946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7"/>
      <x:c r="AG117" s="7"/>
      <x:c r="AH117" s="7"/>
      <x:c r="AI117" s="4"/>
      <x:c r="AJ117" s="4"/>
      <x:c r="AK117" s="7"/>
      <x:c r="AL117" s="7"/>
      <x:c r="AM117" s="7"/>
      <x:c r="AN117" s="7"/>
      <x:c r="AO117" s="7"/>
      <x:c r="AP117" s="7"/>
      <x:c r="AQ117" s="7"/>
    </x:row>
    <x:row r="118" spans="1:43" ht="13.19999999999999928946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7"/>
      <x:c r="AG118" s="7"/>
      <x:c r="AH118" s="7"/>
      <x:c r="AI118" s="4"/>
      <x:c r="AJ118" s="4"/>
      <x:c r="AK118" s="7"/>
      <x:c r="AL118" s="7"/>
      <x:c r="AM118" s="7"/>
      <x:c r="AN118" s="7"/>
      <x:c r="AO118" s="7"/>
      <x:c r="AP118" s="7"/>
      <x:c r="AQ118" s="7"/>
    </x:row>
    <x:row r="119" spans="1:43" ht="13.19999999999999928946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7"/>
      <x:c r="AF119" s="7"/>
      <x:c r="AG119" s="7"/>
      <x:c r="AH119" s="7"/>
      <x:c r="AI119" s="4"/>
      <x:c r="AJ119" s="4"/>
      <x:c r="AK119" s="7"/>
      <x:c r="AL119" s="7"/>
      <x:c r="AM119" s="7"/>
      <x:c r="AN119" s="7"/>
      <x:c r="AO119" s="7"/>
      <x:c r="AP119" s="7"/>
      <x:c r="AQ119" s="7"/>
    </x:row>
    <x:row r="120" spans="1:43" ht="13.19999999999999928946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7"/>
      <x:c r="AF120" s="7"/>
      <x:c r="AG120" s="7"/>
      <x:c r="AH120" s="7"/>
      <x:c r="AI120" s="4"/>
      <x:c r="AJ120" s="4"/>
      <x:c r="AK120" s="7"/>
      <x:c r="AL120" s="7"/>
      <x:c r="AM120" s="7"/>
      <x:c r="AN120" s="7"/>
      <x:c r="AO120" s="7"/>
      <x:c r="AP120" s="7"/>
      <x:c r="AQ120" s="7"/>
    </x:row>
    <x:row r="121" spans="1:43" ht="13.19999999999999928946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  <x:c r="AA121" s="7"/>
      <x:c r="AB121" s="7"/>
      <x:c r="AC121" s="7"/>
      <x:c r="AD121" s="7"/>
      <x:c r="AE121" s="7"/>
      <x:c r="AF121" s="7"/>
      <x:c r="AG121" s="7"/>
      <x:c r="AH121" s="7"/>
      <x:c r="AI121" s="4"/>
      <x:c r="AJ121" s="4"/>
      <x:c r="AK121" s="7"/>
      <x:c r="AL121" s="7"/>
      <x:c r="AM121" s="7"/>
      <x:c r="AN121" s="7"/>
      <x:c r="AO121" s="7"/>
      <x:c r="AP121" s="7"/>
      <x:c r="AQ121" s="7"/>
    </x:row>
    <x:row r="122" spans="1:43" ht="13.19999999999999928946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  <x:c r="AA122" s="7"/>
      <x:c r="AB122" s="7"/>
      <x:c r="AC122" s="7"/>
      <x:c r="AD122" s="7"/>
      <x:c r="AE122" s="7"/>
      <x:c r="AF122" s="7"/>
      <x:c r="AG122" s="7"/>
      <x:c r="AH122" s="7"/>
      <x:c r="AI122" s="4"/>
      <x:c r="AJ122" s="4"/>
      <x:c r="AK122" s="7"/>
      <x:c r="AL122" s="7"/>
      <x:c r="AM122" s="7"/>
      <x:c r="AN122" s="7"/>
      <x:c r="AO122" s="7"/>
      <x:c r="AP122" s="7"/>
      <x:c r="AQ122" s="7"/>
    </x:row>
    <x:row r="123" spans="1:43" ht="13.19999999999999928946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  <x:c r="AA123" s="7"/>
      <x:c r="AB123" s="7"/>
      <x:c r="AC123" s="7"/>
      <x:c r="AD123" s="7"/>
      <x:c r="AE123" s="7"/>
      <x:c r="AF123" s="7"/>
      <x:c r="AG123" s="7"/>
      <x:c r="AH123" s="7"/>
      <x:c r="AI123" s="4"/>
      <x:c r="AJ123" s="4"/>
      <x:c r="AK123" s="7"/>
      <x:c r="AL123" s="7"/>
      <x:c r="AM123" s="7"/>
      <x:c r="AN123" s="7"/>
      <x:c r="AO123" s="7"/>
      <x:c r="AP123" s="7"/>
      <x:c r="AQ123" s="7"/>
    </x:row>
    <x:row r="124" spans="1:43" ht="13.19999999999999928946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  <x:c r="AA124" s="7"/>
      <x:c r="AB124" s="7"/>
      <x:c r="AC124" s="7"/>
      <x:c r="AD124" s="7"/>
      <x:c r="AE124" s="7"/>
      <x:c r="AF124" s="7"/>
      <x:c r="AG124" s="7"/>
      <x:c r="AH124" s="7"/>
      <x:c r="AI124" s="4"/>
      <x:c r="AJ124" s="4"/>
      <x:c r="AK124" s="7"/>
      <x:c r="AL124" s="7"/>
      <x:c r="AM124" s="7"/>
      <x:c r="AN124" s="7"/>
      <x:c r="AO124" s="7"/>
      <x:c r="AP124" s="7"/>
      <x:c r="AQ124" s="7"/>
    </x:row>
    <x:row r="125" spans="35:36" ht="13.19999999999999928946">
      <x:c r="AI125" s="24"/>
      <x:c r="AJ125" s="24"/>
    </x:row>
    <x:row r="126" spans="35:36" ht="13.19999999999999928946">
      <x:c r="AI126" s="24"/>
      <x:c r="AJ126" s="24"/>
    </x:row>
    <x:row r="127" spans="35:36" ht="13.19999999999999928946">
      <x:c r="AI127" s="24"/>
      <x:c r="AJ127" s="24"/>
    </x:row>
    <x:row r="128" spans="35:36" ht="13.19999999999999928946">
      <x:c r="AI128" s="24"/>
      <x:c r="AJ128" s="24"/>
    </x:row>
    <x:row r="129" spans="35:36" ht="13.19999999999999928946">
      <x:c r="AI129" s="24"/>
      <x:c r="AJ129" s="24"/>
    </x:row>
    <x:row r="130" spans="35:36" ht="13.19999999999999928946">
      <x:c r="AI130" s="24"/>
      <x:c r="AJ130" s="24"/>
    </x:row>
    <x:row r="131" spans="35:36" ht="13.19999999999999928946">
      <x:c r="AI131" s="24"/>
      <x:c r="AJ131" s="24"/>
    </x:row>
    <x:row r="132" spans="35:36" ht="13.19999999999999928946">
      <x:c r="AI132" s="24"/>
      <x:c r="AJ132" s="24"/>
    </x:row>
    <x:row r="133" spans="35:36" ht="13.19999999999999928946">
      <x:c r="AI133" s="24"/>
      <x:c r="AJ133" s="24"/>
    </x:row>
    <x:row r="134" spans="35:36" ht="13.19999999999999928946">
      <x:c r="AI134" s="24"/>
      <x:c r="AJ134" s="24"/>
    </x:row>
    <x:row r="135" spans="35:36" ht="13.19999999999999928946">
      <x:c r="AI135" s="24"/>
      <x:c r="AJ135" s="24"/>
    </x:row>
    <x:row r="136" spans="35:36" ht="13.19999999999999928946">
      <x:c r="AI136" s="24"/>
      <x:c r="AJ136" s="24"/>
    </x:row>
    <x:row r="137" spans="35:36" ht="13.19999999999999928946">
      <x:c r="AI137" s="24"/>
      <x:c r="AJ137" s="24"/>
    </x:row>
    <x:row r="138" spans="35:36" ht="13.19999999999999928946">
      <x:c r="AI138" s="24"/>
      <x:c r="AJ138" s="24"/>
    </x:row>
    <x:row r="139" spans="35:36" ht="13.19999999999999928946">
      <x:c r="AI139" s="24"/>
      <x:c r="AJ139" s="24"/>
    </x:row>
    <x:row r="140" spans="35:36" ht="13.19999999999999928946">
      <x:c r="AI140" s="24"/>
      <x:c r="AJ140" s="24"/>
    </x:row>
    <x:row r="141" spans="35:36" ht="13.19999999999999928946">
      <x:c r="AI141" s="24"/>
      <x:c r="AJ141" s="24"/>
    </x:row>
    <x:row r="142" spans="35:36" ht="13.19999999999999928946">
      <x:c r="AI142" s="24"/>
      <x:c r="AJ142" s="24"/>
    </x:row>
    <x:row r="143" spans="35:36" ht="13.19999999999999928946">
      <x:c r="AI143" s="24"/>
      <x:c r="AJ143" s="24"/>
    </x:row>
    <x:row r="144" spans="35:36" ht="13.19999999999999928946">
      <x:c r="AI144" s="24"/>
      <x:c r="AJ144" s="24"/>
    </x:row>
    <x:row r="145" spans="35:36" ht="13.19999999999999928946">
      <x:c r="AI145" s="24"/>
      <x:c r="AJ145" s="24"/>
    </x:row>
    <x:row r="146" spans="35:36" ht="13.19999999999999928946">
      <x:c r="AI146" s="24"/>
      <x:c r="AJ146" s="24"/>
    </x:row>
    <x:row r="147" spans="35:36" ht="13.19999999999999928946">
      <x:c r="AI147" s="24"/>
      <x:c r="AJ147" s="24"/>
    </x:row>
    <x:row r="148" spans="35:36" ht="13.19999999999999928946">
      <x:c r="AI148" s="24"/>
      <x:c r="AJ148" s="24"/>
    </x:row>
    <x:row r="149" spans="35:36" ht="13.19999999999999928946">
      <x:c r="AI149" s="24"/>
      <x:c r="AJ149" s="24"/>
    </x:row>
    <x:row r="150" spans="35:36" ht="13.19999999999999928946">
      <x:c r="AI150" s="24"/>
      <x:c r="AJ150" s="24"/>
    </x:row>
    <x:row r="151" spans="35:36" ht="13.19999999999999928946">
      <x:c r="AI151" s="24"/>
      <x:c r="AJ151" s="24"/>
    </x:row>
    <x:row r="152" spans="35:36" ht="13.19999999999999928946">
      <x:c r="AI152" s="24"/>
      <x:c r="AJ152" s="24"/>
    </x:row>
    <x:row r="153" spans="35:36" ht="13.19999999999999928946">
      <x:c r="AI153" s="24"/>
      <x:c r="AJ153" s="24"/>
    </x:row>
    <x:row r="154" spans="35:36" ht="13.19999999999999928946">
      <x:c r="AI154" s="24"/>
      <x:c r="AJ154" s="24"/>
    </x:row>
    <x:row r="155" spans="35:36" ht="13.19999999999999928946">
      <x:c r="AI155" s="24"/>
      <x:c r="AJ155" s="24"/>
    </x:row>
    <x:row r="156" spans="35:36" ht="13.19999999999999928946">
      <x:c r="AI156" s="24"/>
      <x:c r="AJ156" s="24"/>
    </x:row>
    <x:row r="157" spans="35:36" ht="13.19999999999999928946">
      <x:c r="AI157" s="24"/>
      <x:c r="AJ157" s="24"/>
    </x:row>
    <x:row r="158" spans="35:36" ht="13.19999999999999928946">
      <x:c r="AI158" s="24"/>
      <x:c r="AJ158" s="24"/>
    </x:row>
    <x:row r="159" spans="35:36" ht="13.19999999999999928946">
      <x:c r="AI159" s="24"/>
      <x:c r="AJ159" s="24"/>
    </x:row>
    <x:row r="160" spans="35:36" ht="13.19999999999999928946">
      <x:c r="AI160" s="24"/>
      <x:c r="AJ160" s="24"/>
    </x:row>
    <x:row r="161" spans="35:36" ht="13.19999999999999928946">
      <x:c r="AI161" s="24"/>
      <x:c r="AJ161" s="24"/>
    </x:row>
    <x:row r="162" spans="35:36" ht="13.19999999999999928946">
      <x:c r="AI162" s="24"/>
      <x:c r="AJ162" s="24"/>
    </x:row>
    <x:row r="163" spans="35:36" ht="13.19999999999999928946">
      <x:c r="AI163" s="24"/>
      <x:c r="AJ163" s="24"/>
    </x:row>
    <x:row r="164" spans="35:36" ht="13.19999999999999928946">
      <x:c r="AI164" s="24"/>
      <x:c r="AJ164" s="24"/>
    </x:row>
    <x:row r="165" spans="35:36" ht="13.19999999999999928946">
      <x:c r="AI165" s="24"/>
      <x:c r="AJ165" s="24"/>
    </x:row>
    <x:row r="166" spans="35:36" ht="13.19999999999999928946">
      <x:c r="AI166" s="24"/>
      <x:c r="AJ166" s="24"/>
    </x:row>
    <x:row r="167" spans="35:36" ht="13.19999999999999928946">
      <x:c r="AI167" s="24"/>
      <x:c r="AJ167" s="24"/>
    </x:row>
    <x:row r="168" spans="35:36" ht="13.19999999999999928946">
      <x:c r="AI168" s="24"/>
      <x:c r="AJ168" s="24"/>
    </x:row>
    <x:row r="169" spans="35:36" ht="13.19999999999999928946">
      <x:c r="AI169" s="24"/>
      <x:c r="AJ169" s="24"/>
    </x:row>
    <x:row r="170" spans="35:36" ht="13.19999999999999928946">
      <x:c r="AI170" s="24"/>
      <x:c r="AJ170" s="24"/>
    </x:row>
    <x:row r="171" spans="35:36" ht="13.19999999999999928946">
      <x:c r="AI171" s="24"/>
      <x:c r="AJ171" s="24"/>
    </x:row>
    <x:row r="172" spans="35:36" ht="13.19999999999999928946">
      <x:c r="AI172" s="24"/>
      <x:c r="AJ172" s="24"/>
    </x:row>
    <x:row r="173" spans="35:36" ht="13.19999999999999928946">
      <x:c r="AI173" s="24"/>
      <x:c r="AJ173" s="24"/>
    </x:row>
    <x:row r="174" spans="35:36" ht="13.19999999999999928946">
      <x:c r="AI174" s="24"/>
      <x:c r="AJ174" s="24"/>
    </x:row>
    <x:row r="175" spans="35:36" ht="13.19999999999999928946">
      <x:c r="AI175" s="24"/>
      <x:c r="AJ175" s="24"/>
    </x:row>
    <x:row r="176" spans="35:36" ht="13.19999999999999928946">
      <x:c r="AI176" s="24"/>
      <x:c r="AJ176" s="24"/>
    </x:row>
    <x:row r="177" spans="35:36" ht="13.19999999999999928946">
      <x:c r="AI177" s="24"/>
      <x:c r="AJ177" s="24"/>
    </x:row>
    <x:row r="178" spans="35:36" ht="13.19999999999999928946">
      <x:c r="AI178" s="24"/>
      <x:c r="AJ178" s="24"/>
    </x:row>
    <x:row r="179" spans="35:36" ht="13.19999999999999928946">
      <x:c r="AI179" s="24"/>
      <x:c r="AJ179" s="24"/>
    </x:row>
    <x:row r="180" spans="35:36" ht="13.19999999999999928946">
      <x:c r="AI180" s="24"/>
      <x:c r="AJ180" s="24"/>
    </x:row>
    <x:row r="181" spans="35:36" ht="13.19999999999999928946">
      <x:c r="AI181" s="24"/>
      <x:c r="AJ181" s="24"/>
    </x:row>
    <x:row r="182" spans="35:36" ht="13.19999999999999928946">
      <x:c r="AI182" s="24"/>
      <x:c r="AJ182" s="24"/>
    </x:row>
    <x:row r="183" spans="35:36" ht="13.19999999999999928946">
      <x:c r="AI183" s="24"/>
      <x:c r="AJ183" s="24"/>
    </x:row>
    <x:row r="184" spans="35:36" ht="13.19999999999999928946">
      <x:c r="AI184" s="24"/>
      <x:c r="AJ184" s="24"/>
    </x:row>
    <x:row r="185" spans="35:36" ht="13.19999999999999928946">
      <x:c r="AI185" s="24"/>
      <x:c r="AJ185" s="24"/>
    </x:row>
    <x:row r="186" spans="35:36" ht="13.19999999999999928946">
      <x:c r="AI186" s="24"/>
      <x:c r="AJ186" s="24"/>
    </x:row>
    <x:row r="187" spans="35:36" ht="13.19999999999999928946">
      <x:c r="AI187" s="24"/>
      <x:c r="AJ187" s="24"/>
    </x:row>
    <x:row r="188" spans="35:36" ht="13.19999999999999928946">
      <x:c r="AI188" s="24"/>
      <x:c r="AJ188" s="24"/>
    </x:row>
    <x:row r="189" spans="35:36" ht="13.19999999999999928946">
      <x:c r="AI189" s="24"/>
      <x:c r="AJ189" s="24"/>
    </x:row>
    <x:row r="190" spans="35:36" ht="13.19999999999999928946">
      <x:c r="AI190" s="24"/>
      <x:c r="AJ190" s="24"/>
    </x:row>
    <x:row r="191" spans="35:36" ht="13.19999999999999928946">
      <x:c r="AI191" s="24"/>
      <x:c r="AJ191" s="24"/>
    </x:row>
    <x:row r="192" spans="35:36" ht="13.19999999999999928946">
      <x:c r="AI192" s="24"/>
      <x:c r="AJ192" s="24"/>
    </x:row>
    <x:row r="193" spans="35:36" ht="13.19999999999999928946">
      <x:c r="AI193" s="24"/>
      <x:c r="AJ193" s="24"/>
    </x:row>
    <x:row r="194" spans="35:36" ht="13.19999999999999928946">
      <x:c r="AI194" s="24"/>
      <x:c r="AJ194" s="24"/>
    </x:row>
    <x:row r="195" spans="35:36" ht="13.19999999999999928946">
      <x:c r="AI195" s="24"/>
      <x:c r="AJ195" s="24"/>
    </x:row>
    <x:row r="196" spans="35:36" ht="13.19999999999999928946">
      <x:c r="AI196" s="24"/>
      <x:c r="AJ196" s="24"/>
    </x:row>
    <x:row r="197" spans="35:36" ht="13.19999999999999928946">
      <x:c r="AI197" s="24"/>
      <x:c r="AJ197" s="24"/>
    </x:row>
    <x:row r="198" spans="35:36" ht="13.19999999999999928946">
      <x:c r="AI198" s="24"/>
      <x:c r="AJ198" s="24"/>
    </x:row>
    <x:row r="199" spans="35:36" ht="13.19999999999999928946">
      <x:c r="AI199" s="24"/>
      <x:c r="AJ199" s="24"/>
    </x:row>
    <x:row r="200" spans="35:36" ht="13.19999999999999928946">
      <x:c r="AI200" s="24"/>
      <x:c r="AJ200" s="24"/>
    </x:row>
    <x:row r="201" spans="35:36" ht="13.19999999999999928946">
      <x:c r="AI201" s="24"/>
      <x:c r="AJ201" s="24"/>
    </x:row>
    <x:row r="202" spans="35:36" ht="13.19999999999999928946">
      <x:c r="AI202" s="24"/>
      <x:c r="AJ202" s="24"/>
    </x:row>
    <x:row r="203" spans="35:36" ht="13.19999999999999928946">
      <x:c r="AI203" s="24"/>
      <x:c r="AJ203" s="24"/>
    </x:row>
    <x:row r="204" spans="35:36" ht="13.19999999999999928946">
      <x:c r="AI204" s="24"/>
      <x:c r="AJ204" s="24"/>
    </x:row>
    <x:row r="205" spans="35:36" ht="13.19999999999999928946">
      <x:c r="AI205" s="24"/>
      <x:c r="AJ205" s="24"/>
    </x:row>
    <x:row r="206" spans="35:36" ht="13.19999999999999928946">
      <x:c r="AI206" s="24"/>
      <x:c r="AJ206" s="24"/>
    </x:row>
    <x:row r="207" spans="35:36" ht="13.19999999999999928946">
      <x:c r="AI207" s="24"/>
      <x:c r="AJ207" s="24"/>
    </x:row>
    <x:row r="208" spans="35:36" ht="13.19999999999999928946">
      <x:c r="AI208" s="24"/>
      <x:c r="AJ208" s="24"/>
    </x:row>
    <x:row r="209" spans="35:36" ht="13.19999999999999928946">
      <x:c r="AI209" s="24"/>
      <x:c r="AJ209" s="24"/>
    </x:row>
    <x:row r="210" spans="35:36" ht="13.19999999999999928946">
      <x:c r="AI210" s="24"/>
      <x:c r="AJ210" s="24"/>
    </x:row>
    <x:row r="211" spans="35:36" ht="13.19999999999999928946">
      <x:c r="AI211" s="24"/>
      <x:c r="AJ211" s="24"/>
    </x:row>
    <x:row r="212" spans="35:36" ht="13.19999999999999928946">
      <x:c r="AI212" s="24"/>
      <x:c r="AJ212" s="24"/>
    </x:row>
    <x:row r="213" spans="35:36" ht="13.19999999999999928946">
      <x:c r="AI213" s="24"/>
      <x:c r="AJ213" s="24"/>
    </x:row>
    <x:row r="214" spans="35:36" ht="13.19999999999999928946">
      <x:c r="AI214" s="24"/>
      <x:c r="AJ214" s="24"/>
    </x:row>
    <x:row r="215" spans="35:36" ht="13.19999999999999928946">
      <x:c r="AI215" s="24"/>
      <x:c r="AJ215" s="24"/>
    </x:row>
    <x:row r="216" spans="35:36" ht="13.19999999999999928946">
      <x:c r="AI216" s="24"/>
      <x:c r="AJ216" s="24"/>
    </x:row>
    <x:row r="217" spans="35:36" ht="13.19999999999999928946">
      <x:c r="AI217" s="24"/>
      <x:c r="AJ217" s="24"/>
    </x:row>
    <x:row r="218" spans="35:36" ht="13.19999999999999928946">
      <x:c r="AI218" s="24"/>
      <x:c r="AJ218" s="24"/>
    </x:row>
    <x:row r="219" spans="35:36" ht="13.19999999999999928946">
      <x:c r="AI219" s="24"/>
      <x:c r="AJ219" s="24"/>
    </x:row>
    <x:row r="220" spans="35:36" ht="13.19999999999999928946">
      <x:c r="AI220" s="24"/>
      <x:c r="AJ220" s="24"/>
    </x:row>
    <x:row r="221" spans="35:36" ht="13.19999999999999928946">
      <x:c r="AI221" s="24"/>
      <x:c r="AJ221" s="24"/>
    </x:row>
    <x:row r="222" spans="35:36" ht="13.19999999999999928946">
      <x:c r="AI222" s="24"/>
      <x:c r="AJ222" s="24"/>
    </x:row>
    <x:row r="223" spans="35:36" ht="13.19999999999999928946">
      <x:c r="AI223" s="24"/>
      <x:c r="AJ223" s="24"/>
    </x:row>
    <x:row r="224" spans="35:36" ht="13.19999999999999928946">
      <x:c r="AI224" s="24"/>
      <x:c r="AJ224" s="24"/>
    </x:row>
    <x:row r="225" spans="35:36" ht="13.19999999999999928946">
      <x:c r="AI225" s="24"/>
      <x:c r="AJ225" s="24"/>
    </x:row>
    <x:row r="226" spans="35:36" ht="13.19999999999999928946">
      <x:c r="AI226" s="24"/>
      <x:c r="AJ226" s="24"/>
    </x:row>
    <x:row r="227" spans="35:36" ht="13.19999999999999928946">
      <x:c r="AI227" s="24"/>
      <x:c r="AJ227" s="24"/>
    </x:row>
    <x:row r="228" spans="35:36" ht="13.19999999999999928946">
      <x:c r="AI228" s="24"/>
      <x:c r="AJ228" s="24"/>
    </x:row>
    <x:row r="229" spans="35:36" ht="13.19999999999999928946">
      <x:c r="AI229" s="24"/>
      <x:c r="AJ229" s="24"/>
    </x:row>
    <x:row r="230" spans="35:36" ht="13.19999999999999928946">
      <x:c r="AI230" s="24"/>
      <x:c r="AJ230" s="24"/>
    </x:row>
    <x:row r="231" spans="35:36" ht="13.19999999999999928946">
      <x:c r="AI231" s="24"/>
      <x:c r="AJ231" s="24"/>
    </x:row>
    <x:row r="232" spans="35:36" ht="13.19999999999999928946">
      <x:c r="AI232" s="24"/>
      <x:c r="AJ232" s="24"/>
    </x:row>
    <x:row r="233" spans="35:36" ht="13.19999999999999928946">
      <x:c r="AI233" s="24"/>
      <x:c r="AJ233" s="24"/>
    </x:row>
    <x:row r="234" spans="35:36" ht="13.19999999999999928946">
      <x:c r="AI234" s="24"/>
      <x:c r="AJ234" s="24"/>
    </x:row>
    <x:row r="235" spans="35:36" ht="13.19999999999999928946">
      <x:c r="AI235" s="24"/>
      <x:c r="AJ235" s="24"/>
    </x:row>
    <x:row r="236" spans="35:36" ht="13.19999999999999928946">
      <x:c r="AI236" s="24"/>
      <x:c r="AJ236" s="24"/>
    </x:row>
    <x:row r="237" spans="35:36" ht="13.19999999999999928946">
      <x:c r="AI237" s="24"/>
      <x:c r="AJ237" s="24"/>
    </x:row>
    <x:row r="238" spans="35:36" ht="13.19999999999999928946">
      <x:c r="AI238" s="24"/>
      <x:c r="AJ238" s="24"/>
    </x:row>
    <x:row r="239" spans="35:36" ht="13.19999999999999928946">
      <x:c r="AI239" s="24"/>
      <x:c r="AJ239" s="24"/>
    </x:row>
    <x:row r="240" spans="35:36" ht="13.19999999999999928946">
      <x:c r="AI240" s="24"/>
      <x:c r="AJ240" s="24"/>
    </x:row>
    <x:row r="241" spans="35:36" ht="13.19999999999999928946">
      <x:c r="AI241" s="24"/>
      <x:c r="AJ241" s="24"/>
    </x:row>
    <x:row r="242" spans="35:36" ht="13.19999999999999928946">
      <x:c r="AI242" s="24"/>
      <x:c r="AJ242" s="24"/>
    </x:row>
    <x:row r="243" spans="35:36" ht="13.19999999999999928946">
      <x:c r="AI243" s="24"/>
      <x:c r="AJ243" s="24"/>
    </x:row>
    <x:row r="244" spans="35:36" ht="13.19999999999999928946">
      <x:c r="AI244" s="24"/>
      <x:c r="AJ244" s="24"/>
    </x:row>
    <x:row r="245" spans="35:36" ht="13.19999999999999928946">
      <x:c r="AI245" s="24"/>
      <x:c r="AJ245" s="24"/>
    </x:row>
    <x:row r="246" spans="35:36" ht="13.19999999999999928946">
      <x:c r="AI246" s="24"/>
      <x:c r="AJ246" s="24"/>
    </x:row>
    <x:row r="247" spans="35:36" ht="13.19999999999999928946">
      <x:c r="AI247" s="24"/>
      <x:c r="AJ247" s="24"/>
    </x:row>
    <x:row r="248" spans="35:36" ht="13.19999999999999928946">
      <x:c r="AI248" s="24"/>
      <x:c r="AJ248" s="24"/>
    </x:row>
    <x:row r="249" spans="35:36" ht="13.19999999999999928946">
      <x:c r="AI249" s="24"/>
      <x:c r="AJ249" s="24"/>
    </x:row>
    <x:row r="250" spans="35:36" ht="13.19999999999999928946">
      <x:c r="AI250" s="24"/>
      <x:c r="AJ250" s="24"/>
    </x:row>
    <x:row r="251" spans="35:36" ht="13.19999999999999928946">
      <x:c r="AI251" s="24"/>
      <x:c r="AJ251" s="24"/>
    </x:row>
    <x:row r="252" spans="35:36" ht="13.19999999999999928946">
      <x:c r="AI252" s="24"/>
      <x:c r="AJ252" s="24"/>
    </x:row>
    <x:row r="253" spans="35:36" ht="13.19999999999999928946">
      <x:c r="AI253" s="24"/>
      <x:c r="AJ253" s="24"/>
    </x:row>
    <x:row r="254" spans="35:36" ht="13.19999999999999928946">
      <x:c r="AI254" s="24"/>
      <x:c r="AJ254" s="24"/>
    </x:row>
    <x:row r="255" spans="35:36" ht="13.19999999999999928946">
      <x:c r="AI255" s="24"/>
      <x:c r="AJ255" s="24"/>
    </x:row>
    <x:row r="256" spans="35:36" ht="13.19999999999999928946">
      <x:c r="AI256" s="24"/>
      <x:c r="AJ256" s="24"/>
    </x:row>
    <x:row r="257" spans="35:36" ht="13.19999999999999928946">
      <x:c r="AI257" s="24"/>
      <x:c r="AJ257" s="24"/>
    </x:row>
    <x:row r="258" spans="35:36" ht="13.19999999999999928946">
      <x:c r="AI258" s="24"/>
      <x:c r="AJ258" s="24"/>
    </x:row>
    <x:row r="259" spans="35:36" ht="13.19999999999999928946">
      <x:c r="AI259" s="24"/>
      <x:c r="AJ259" s="24"/>
    </x:row>
    <x:row r="260" spans="35:36" ht="13.19999999999999928946">
      <x:c r="AI260" s="24"/>
      <x:c r="AJ260" s="24"/>
    </x:row>
    <x:row r="261" spans="35:36" ht="13.19999999999999928946">
      <x:c r="AI261" s="24"/>
      <x:c r="AJ261" s="24"/>
    </x:row>
    <x:row r="262" spans="35:36" ht="13.19999999999999928946">
      <x:c r="AI262" s="24"/>
      <x:c r="AJ262" s="24"/>
    </x:row>
    <x:row r="263" spans="35:36" ht="13.19999999999999928946">
      <x:c r="AI263" s="24"/>
      <x:c r="AJ263" s="24"/>
    </x:row>
    <x:row r="264" spans="35:36" ht="13.19999999999999928946">
      <x:c r="AI264" s="24"/>
      <x:c r="AJ264" s="24"/>
    </x:row>
    <x:row r="265" spans="35:36" ht="13.19999999999999928946">
      <x:c r="AI265" s="24"/>
      <x:c r="AJ265" s="24"/>
    </x:row>
    <x:row r="266" spans="35:36" ht="13.19999999999999928946">
      <x:c r="AI266" s="24"/>
      <x:c r="AJ266" s="24"/>
    </x:row>
    <x:row r="267" spans="35:36" ht="13.19999999999999928946">
      <x:c r="AI267" s="24"/>
      <x:c r="AJ267" s="24"/>
    </x:row>
    <x:row r="268" spans="35:36" ht="13.19999999999999928946">
      <x:c r="AI268" s="24"/>
      <x:c r="AJ268" s="24"/>
    </x:row>
    <x:row r="269" spans="35:36" ht="13.19999999999999928946">
      <x:c r="AI269" s="24"/>
      <x:c r="AJ269" s="24"/>
    </x:row>
    <x:row r="270" spans="35:36" ht="13.19999999999999928946">
      <x:c r="AI270" s="24"/>
      <x:c r="AJ270" s="24"/>
    </x:row>
    <x:row r="271" spans="35:36" ht="13.19999999999999928946">
      <x:c r="AI271" s="24"/>
      <x:c r="AJ271" s="24"/>
    </x:row>
    <x:row r="272" spans="35:36" ht="13.19999999999999928946">
      <x:c r="AI272" s="24"/>
      <x:c r="AJ272" s="24"/>
    </x:row>
    <x:row r="273" spans="35:36" ht="13.19999999999999928946">
      <x:c r="AI273" s="24"/>
      <x:c r="AJ273" s="24"/>
    </x:row>
    <x:row r="274" spans="35:36" ht="13.19999999999999928946">
      <x:c r="AI274" s="24"/>
      <x:c r="AJ274" s="24"/>
    </x:row>
    <x:row r="275" spans="35:36" ht="13.19999999999999928946">
      <x:c r="AI275" s="24"/>
      <x:c r="AJ275" s="24"/>
    </x:row>
    <x:row r="276" spans="35:36" ht="13.19999999999999928946">
      <x:c r="AI276" s="24"/>
      <x:c r="AJ276" s="24"/>
    </x:row>
    <x:row r="277" spans="35:36" ht="13.19999999999999928946">
      <x:c r="AI277" s="24"/>
      <x:c r="AJ277" s="24"/>
    </x:row>
    <x:row r="278" spans="35:36" ht="13.19999999999999928946">
      <x:c r="AI278" s="24"/>
      <x:c r="AJ278" s="24"/>
    </x:row>
    <x:row r="279" spans="35:36" ht="13.19999999999999928946">
      <x:c r="AI279" s="24"/>
      <x:c r="AJ279" s="24"/>
    </x:row>
    <x:row r="280" spans="35:36" ht="13.19999999999999928946">
      <x:c r="AI280" s="24"/>
      <x:c r="AJ280" s="24"/>
    </x:row>
    <x:row r="281" spans="35:36" ht="13.19999999999999928946">
      <x:c r="AI281" s="24"/>
      <x:c r="AJ281" s="24"/>
    </x:row>
    <x:row r="282" spans="35:36" ht="13.19999999999999928946">
      <x:c r="AI282" s="24"/>
      <x:c r="AJ282" s="24"/>
    </x:row>
    <x:row r="283" spans="35:36" ht="13.19999999999999928946">
      <x:c r="AI283" s="24"/>
      <x:c r="AJ283" s="24"/>
    </x:row>
    <x:row r="284" spans="35:36" ht="13.19999999999999928946">
      <x:c r="AI284" s="24"/>
      <x:c r="AJ284" s="24"/>
    </x:row>
    <x:row r="285" spans="35:36" ht="13.19999999999999928946">
      <x:c r="AI285" s="24"/>
      <x:c r="AJ285" s="24"/>
    </x:row>
    <x:row r="286" spans="35:36" ht="13.19999999999999928946">
      <x:c r="AI286" s="24"/>
      <x:c r="AJ286" s="24"/>
    </x:row>
    <x:row r="287" spans="35:36" ht="13.19999999999999928946">
      <x:c r="AI287" s="24"/>
      <x:c r="AJ287" s="24"/>
    </x:row>
    <x:row r="288" spans="35:36" ht="13.19999999999999928946">
      <x:c r="AI288" s="24"/>
      <x:c r="AJ288" s="24"/>
    </x:row>
    <x:row r="289" spans="35:36" ht="13.19999999999999928946">
      <x:c r="AI289" s="24"/>
      <x:c r="AJ289" s="24"/>
    </x:row>
    <x:row r="290" spans="35:36" ht="13.19999999999999928946">
      <x:c r="AI290" s="24"/>
      <x:c r="AJ290" s="24"/>
    </x:row>
    <x:row r="291" spans="35:36" ht="13.19999999999999928946">
      <x:c r="AI291" s="24"/>
      <x:c r="AJ291" s="24"/>
    </x:row>
    <x:row r="292" spans="35:36" ht="13.19999999999999928946">
      <x:c r="AI292" s="24"/>
      <x:c r="AJ292" s="24"/>
    </x:row>
    <x:row r="293" spans="35:36" ht="13.19999999999999928946">
      <x:c r="AI293" s="24"/>
      <x:c r="AJ293" s="24"/>
    </x:row>
    <x:row r="294" spans="35:36" ht="13.19999999999999928946">
      <x:c r="AI294" s="24"/>
      <x:c r="AJ294" s="24"/>
    </x:row>
    <x:row r="295" spans="35:36" ht="13.19999999999999928946">
      <x:c r="AI295" s="24"/>
      <x:c r="AJ295" s="24"/>
    </x:row>
    <x:row r="296" spans="35:36" ht="13.19999999999999928946">
      <x:c r="AI296" s="24"/>
      <x:c r="AJ296" s="24"/>
    </x:row>
    <x:row r="297" spans="35:36" ht="13.19999999999999928946">
      <x:c r="AI297" s="24"/>
      <x:c r="AJ297" s="24"/>
    </x:row>
    <x:row r="298" spans="35:36" ht="13.19999999999999928946">
      <x:c r="AI298" s="24"/>
      <x:c r="AJ298" s="24"/>
    </x:row>
    <x:row r="299" spans="35:36" ht="13.19999999999999928946">
      <x:c r="AI299" s="24"/>
      <x:c r="AJ299" s="24"/>
    </x:row>
    <x:row r="300" spans="35:36" ht="13.19999999999999928946">
      <x:c r="AI300" s="24"/>
      <x:c r="AJ300" s="24"/>
    </x:row>
    <x:row r="301" spans="35:36" ht="13.19999999999999928946">
      <x:c r="AI301" s="24"/>
      <x:c r="AJ301" s="24"/>
    </x:row>
    <x:row r="302" spans="35:36" ht="13.19999999999999928946">
      <x:c r="AI302" s="24"/>
      <x:c r="AJ302" s="24"/>
    </x:row>
    <x:row r="303" spans="35:36" ht="13.19999999999999928946">
      <x:c r="AI303" s="24"/>
      <x:c r="AJ303" s="24"/>
    </x:row>
    <x:row r="304" spans="35:36" ht="13.19999999999999928946">
      <x:c r="AI304" s="24"/>
      <x:c r="AJ304" s="24"/>
    </x:row>
    <x:row r="305" spans="35:36" ht="13.19999999999999928946">
      <x:c r="AI305" s="24"/>
      <x:c r="AJ305" s="24"/>
    </x:row>
    <x:row r="306" spans="35:36" ht="13.19999999999999928946">
      <x:c r="AI306" s="24"/>
      <x:c r="AJ306" s="24"/>
    </x:row>
    <x:row r="307" spans="35:36" ht="13.19999999999999928946">
      <x:c r="AI307" s="24"/>
      <x:c r="AJ307" s="24"/>
    </x:row>
    <x:row r="308" spans="35:36" ht="13.19999999999999928946">
      <x:c r="AI308" s="24"/>
      <x:c r="AJ308" s="24"/>
    </x:row>
    <x:row r="309" spans="35:36" ht="13.19999999999999928946">
      <x:c r="AI309" s="24"/>
      <x:c r="AJ309" s="24"/>
    </x:row>
    <x:row r="310" spans="35:36" ht="13.19999999999999928946">
      <x:c r="AI310" s="24"/>
      <x:c r="AJ310" s="24"/>
    </x:row>
    <x:row r="311" spans="35:36" ht="13.19999999999999928946">
      <x:c r="AI311" s="24"/>
      <x:c r="AJ311" s="24"/>
    </x:row>
    <x:row r="312" spans="35:36" ht="13.19999999999999928946">
      <x:c r="AI312" s="24"/>
      <x:c r="AJ312" s="24"/>
    </x:row>
    <x:row r="313" spans="35:36" ht="13.19999999999999928946">
      <x:c r="AI313" s="24"/>
      <x:c r="AJ313" s="24"/>
    </x:row>
    <x:row r="314" spans="35:36" ht="13.19999999999999928946">
      <x:c r="AI314" s="24"/>
      <x:c r="AJ314" s="24"/>
    </x:row>
    <x:row r="315" spans="35:36" ht="13.19999999999999928946">
      <x:c r="AI315" s="24"/>
      <x:c r="AJ315" s="24"/>
    </x:row>
    <x:row r="316" spans="35:36" ht="13.19999999999999928946">
      <x:c r="AI316" s="24"/>
      <x:c r="AJ316" s="24"/>
    </x:row>
    <x:row r="317" spans="35:36" ht="13.19999999999999928946">
      <x:c r="AI317" s="24"/>
      <x:c r="AJ317" s="24"/>
    </x:row>
    <x:row r="318" spans="35:36" ht="13.19999999999999928946">
      <x:c r="AI318" s="24"/>
      <x:c r="AJ318" s="24"/>
    </x:row>
    <x:row r="319" spans="35:36" ht="13.19999999999999928946">
      <x:c r="AI319" s="24"/>
      <x:c r="AJ319" s="24"/>
    </x:row>
    <x:row r="320" spans="35:36" ht="13.19999999999999928946">
      <x:c r="AI320" s="24"/>
      <x:c r="AJ320" s="24"/>
    </x:row>
    <x:row r="321" spans="35:36" ht="13.19999999999999928946">
      <x:c r="AI321" s="24"/>
      <x:c r="AJ321" s="24"/>
    </x:row>
    <x:row r="322" spans="35:36" ht="13.19999999999999928946">
      <x:c r="AI322" s="24"/>
      <x:c r="AJ322" s="24"/>
    </x:row>
    <x:row r="323" spans="35:36" ht="13.19999999999999928946">
      <x:c r="AI323" s="24"/>
      <x:c r="AJ323" s="24"/>
    </x:row>
    <x:row r="324" spans="35:36" ht="13.19999999999999928946">
      <x:c r="AI324" s="24"/>
      <x:c r="AJ324" s="24"/>
    </x:row>
    <x:row r="325" spans="35:36" ht="13.19999999999999928946">
      <x:c r="AI325" s="24"/>
      <x:c r="AJ325" s="24"/>
    </x:row>
    <x:row r="326" spans="35:36" ht="13.19999999999999928946">
      <x:c r="AI326" s="24"/>
      <x:c r="AJ326" s="24"/>
    </x:row>
    <x:row r="327" spans="35:36" ht="13.19999999999999928946">
      <x:c r="AI327" s="24"/>
      <x:c r="AJ327" s="24"/>
    </x:row>
    <x:row r="328" spans="35:36" ht="13.19999999999999928946">
      <x:c r="AI328" s="24"/>
      <x:c r="AJ328" s="24"/>
    </x:row>
    <x:row r="329" spans="35:36" ht="13.19999999999999928946">
      <x:c r="AI329" s="24"/>
      <x:c r="AJ329" s="24"/>
    </x:row>
    <x:row r="330" spans="35:36" ht="13.19999999999999928946">
      <x:c r="AI330" s="24"/>
      <x:c r="AJ330" s="24"/>
    </x:row>
    <x:row r="331" spans="35:36" ht="13.19999999999999928946">
      <x:c r="AI331" s="24"/>
      <x:c r="AJ331" s="24"/>
    </x:row>
    <x:row r="332" spans="35:36" ht="13.19999999999999928946">
      <x:c r="AI332" s="24"/>
      <x:c r="AJ332" s="24"/>
    </x:row>
    <x:row r="333" spans="35:36" ht="13.19999999999999928946">
      <x:c r="AI333" s="24"/>
      <x:c r="AJ333" s="24"/>
    </x:row>
    <x:row r="334" spans="35:36" ht="13.19999999999999928946">
      <x:c r="AI334" s="24"/>
      <x:c r="AJ334" s="24"/>
    </x:row>
    <x:row r="335" spans="35:36" ht="13.19999999999999928946">
      <x:c r="AI335" s="24"/>
      <x:c r="AJ335" s="24"/>
    </x:row>
    <x:row r="336" spans="35:36" ht="13.19999999999999928946">
      <x:c r="AI336" s="24"/>
      <x:c r="AJ336" s="24"/>
    </x:row>
    <x:row r="337" spans="35:36" ht="13.19999999999999928946">
      <x:c r="AI337" s="24"/>
      <x:c r="AJ337" s="24"/>
    </x:row>
    <x:row r="338" spans="35:36" ht="13.19999999999999928946">
      <x:c r="AI338" s="24"/>
      <x:c r="AJ338" s="24"/>
    </x:row>
    <x:row r="339" spans="35:36" ht="13.19999999999999928946">
      <x:c r="AI339" s="24"/>
      <x:c r="AJ339" s="24"/>
    </x:row>
    <x:row r="340" spans="35:36" ht="13.19999999999999928946">
      <x:c r="AI340" s="24"/>
      <x:c r="AJ340" s="24"/>
    </x:row>
    <x:row r="341" spans="35:36" ht="13.19999999999999928946">
      <x:c r="AI341" s="24"/>
      <x:c r="AJ341" s="24"/>
    </x:row>
    <x:row r="342" spans="35:36" ht="13.19999999999999928946">
      <x:c r="AI342" s="24"/>
      <x:c r="AJ342" s="24"/>
    </x:row>
    <x:row r="343" spans="35:36" ht="13.19999999999999928946">
      <x:c r="AI343" s="24"/>
      <x:c r="AJ343" s="24"/>
    </x:row>
    <x:row r="344" spans="35:36" ht="13.19999999999999928946">
      <x:c r="AI344" s="24"/>
      <x:c r="AJ344" s="24"/>
    </x:row>
    <x:row r="345" spans="35:36" ht="13.19999999999999928946">
      <x:c r="AI345" s="24"/>
      <x:c r="AJ345" s="24"/>
    </x:row>
    <x:row r="346" spans="35:36" ht="13.19999999999999928946">
      <x:c r="AI346" s="24"/>
      <x:c r="AJ346" s="24"/>
    </x:row>
    <x:row r="347" spans="35:36" ht="13.19999999999999928946">
      <x:c r="AI347" s="24"/>
      <x:c r="AJ347" s="24"/>
    </x:row>
    <x:row r="348" spans="35:36" ht="13.19999999999999928946">
      <x:c r="AI348" s="24"/>
      <x:c r="AJ348" s="24"/>
    </x:row>
    <x:row r="349" spans="35:36" ht="13.19999999999999928946">
      <x:c r="AI349" s="24"/>
      <x:c r="AJ349" s="24"/>
    </x:row>
    <x:row r="350" spans="35:36" ht="13.19999999999999928946">
      <x:c r="AI350" s="24"/>
      <x:c r="AJ350" s="24"/>
    </x:row>
    <x:row r="351" spans="35:36" ht="13.19999999999999928946">
      <x:c r="AI351" s="24"/>
      <x:c r="AJ351" s="24"/>
    </x:row>
    <x:row r="352" spans="35:36" ht="13.19999999999999928946">
      <x:c r="AI352" s="24"/>
      <x:c r="AJ352" s="24"/>
    </x:row>
    <x:row r="353" spans="35:36" ht="13.19999999999999928946">
      <x:c r="AI353" s="24"/>
      <x:c r="AJ353" s="24"/>
    </x:row>
    <x:row r="354" spans="35:36" ht="13.19999999999999928946">
      <x:c r="AI354" s="24"/>
      <x:c r="AJ354" s="24"/>
    </x:row>
    <x:row r="355" spans="35:36" ht="13.19999999999999928946">
      <x:c r="AI355" s="24"/>
      <x:c r="AJ355" s="24"/>
    </x:row>
    <x:row r="356" spans="35:36" ht="13.19999999999999928946">
      <x:c r="AI356" s="24"/>
      <x:c r="AJ356" s="24"/>
    </x:row>
    <x:row r="357" spans="35:36" ht="13.19999999999999928946">
      <x:c r="AI357" s="24"/>
      <x:c r="AJ357" s="24"/>
    </x:row>
    <x:row r="358" spans="35:36" ht="13.19999999999999928946">
      <x:c r="AI358" s="24"/>
      <x:c r="AJ358" s="24"/>
    </x:row>
    <x:row r="359" spans="35:36" ht="13.19999999999999928946">
      <x:c r="AI359" s="24"/>
      <x:c r="AJ359" s="24"/>
    </x:row>
    <x:row r="360" spans="35:36" ht="13.19999999999999928946">
      <x:c r="AI360" s="24"/>
      <x:c r="AJ360" s="24"/>
    </x:row>
    <x:row r="361" spans="35:36" ht="13.19999999999999928946">
      <x:c r="AI361" s="24"/>
      <x:c r="AJ361" s="24"/>
    </x:row>
    <x:row r="362" spans="35:36" ht="13.19999999999999928946">
      <x:c r="AI362" s="24"/>
      <x:c r="AJ362" s="24"/>
    </x:row>
    <x:row r="363" spans="35:36" ht="13.19999999999999928946">
      <x:c r="AI363" s="24"/>
      <x:c r="AJ363" s="24"/>
    </x:row>
    <x:row r="364" spans="35:36" ht="13.19999999999999928946">
      <x:c r="AI364" s="24"/>
      <x:c r="AJ364" s="24"/>
    </x:row>
    <x:row r="365" spans="35:36" ht="13.19999999999999928946">
      <x:c r="AI365" s="24"/>
      <x:c r="AJ365" s="24"/>
    </x:row>
    <x:row r="366" spans="35:36" ht="13.19999999999999928946">
      <x:c r="AI366" s="24"/>
      <x:c r="AJ366" s="24"/>
    </x:row>
    <x:row r="367" spans="35:36" ht="13.19999999999999928946">
      <x:c r="AI367" s="24"/>
      <x:c r="AJ367" s="24"/>
    </x:row>
    <x:row r="368" spans="35:36" ht="13.19999999999999928946">
      <x:c r="AI368" s="24"/>
      <x:c r="AJ368" s="24"/>
    </x:row>
    <x:row r="369" spans="35:36" ht="13.19999999999999928946">
      <x:c r="AI369" s="24"/>
      <x:c r="AJ369" s="24"/>
    </x:row>
    <x:row r="370" spans="35:36" ht="13.19999999999999928946">
      <x:c r="AI370" s="24"/>
      <x:c r="AJ370" s="24"/>
    </x:row>
    <x:row r="371" spans="35:36" ht="13.19999999999999928946">
      <x:c r="AI371" s="24"/>
      <x:c r="AJ371" s="24"/>
    </x:row>
    <x:row r="372" spans="35:36" ht="13.19999999999999928946">
      <x:c r="AI372" s="24"/>
      <x:c r="AJ372" s="24"/>
    </x:row>
    <x:row r="373" spans="35:36" ht="13.19999999999999928946">
      <x:c r="AI373" s="24"/>
      <x:c r="AJ373" s="24"/>
    </x:row>
    <x:row r="374" spans="35:36" ht="13.19999999999999928946">
      <x:c r="AI374" s="24"/>
      <x:c r="AJ374" s="24"/>
    </x:row>
    <x:row r="375" spans="35:36" ht="13.19999999999999928946">
      <x:c r="AI375" s="24"/>
      <x:c r="AJ375" s="24"/>
    </x:row>
    <x:row r="376" spans="35:36" ht="13.19999999999999928946">
      <x:c r="AI376" s="24"/>
      <x:c r="AJ376" s="24"/>
    </x:row>
    <x:row r="377" spans="35:36" ht="13.19999999999999928946">
      <x:c r="AI377" s="24"/>
      <x:c r="AJ377" s="24"/>
    </x:row>
    <x:row r="378" spans="35:36" ht="13.19999999999999928946">
      <x:c r="AI378" s="24"/>
      <x:c r="AJ378" s="24"/>
    </x:row>
    <x:row r="379" spans="35:36" ht="13.19999999999999928946">
      <x:c r="AI379" s="24"/>
      <x:c r="AJ379" s="24"/>
    </x:row>
    <x:row r="380" spans="35:36" ht="13.19999999999999928946">
      <x:c r="AI380" s="24"/>
      <x:c r="AJ380" s="24"/>
    </x:row>
    <x:row r="381" spans="35:36" ht="13.19999999999999928946">
      <x:c r="AI381" s="24"/>
      <x:c r="AJ381" s="24"/>
    </x:row>
    <x:row r="382" spans="35:36" ht="13.19999999999999928946">
      <x:c r="AI382" s="24"/>
      <x:c r="AJ382" s="24"/>
    </x:row>
    <x:row r="383" spans="35:36" ht="13.19999999999999928946">
      <x:c r="AI383" s="24"/>
      <x:c r="AJ383" s="24"/>
    </x:row>
    <x:row r="384" spans="35:36" ht="13.19999999999999928946">
      <x:c r="AI384" s="24"/>
      <x:c r="AJ384" s="24"/>
    </x:row>
    <x:row r="385" spans="35:36" ht="13.19999999999999928946">
      <x:c r="AI385" s="24"/>
      <x:c r="AJ385" s="24"/>
    </x:row>
    <x:row r="386" spans="35:36" ht="13.19999999999999928946">
      <x:c r="AI386" s="24"/>
      <x:c r="AJ386" s="24"/>
    </x:row>
    <x:row r="387" spans="35:36" ht="13.19999999999999928946">
      <x:c r="AI387" s="24"/>
      <x:c r="AJ387" s="24"/>
    </x:row>
    <x:row r="388" spans="35:36" ht="13.19999999999999928946">
      <x:c r="AI388" s="24"/>
      <x:c r="AJ388" s="24"/>
    </x:row>
    <x:row r="389" spans="35:36" ht="13.19999999999999928946">
      <x:c r="AI389" s="24"/>
      <x:c r="AJ389" s="24"/>
    </x:row>
    <x:row r="390" spans="35:36" ht="13.19999999999999928946">
      <x:c r="AI390" s="24"/>
      <x:c r="AJ390" s="24"/>
    </x:row>
    <x:row r="391" spans="35:36" ht="13.19999999999999928946">
      <x:c r="AI391" s="24"/>
      <x:c r="AJ391" s="24"/>
    </x:row>
    <x:row r="392" spans="35:36" ht="13.19999999999999928946">
      <x:c r="AI392" s="24"/>
      <x:c r="AJ392" s="24"/>
    </x:row>
    <x:row r="393" spans="35:36" ht="13.19999999999999928946">
      <x:c r="AI393" s="24"/>
      <x:c r="AJ393" s="24"/>
    </x:row>
    <x:row r="394" spans="35:36" ht="13.19999999999999928946">
      <x:c r="AI394" s="24"/>
      <x:c r="AJ394" s="24"/>
    </x:row>
    <x:row r="395" spans="35:36" ht="13.19999999999999928946">
      <x:c r="AI395" s="24"/>
      <x:c r="AJ395" s="24"/>
    </x:row>
    <x:row r="396" spans="35:36" ht="13.19999999999999928946">
      <x:c r="AI396" s="24"/>
      <x:c r="AJ396" s="24"/>
    </x:row>
    <x:row r="397" spans="35:36" ht="13.19999999999999928946">
      <x:c r="AI397" s="24"/>
      <x:c r="AJ397" s="24"/>
    </x:row>
    <x:row r="398" spans="35:36" ht="13.19999999999999928946">
      <x:c r="AI398" s="24"/>
      <x:c r="AJ398" s="24"/>
    </x:row>
    <x:row r="399" spans="35:36" ht="13.19999999999999928946">
      <x:c r="AI399" s="24"/>
      <x:c r="AJ399" s="24"/>
    </x:row>
    <x:row r="400" spans="35:36" ht="13.19999999999999928946">
      <x:c r="AI400" s="24"/>
      <x:c r="AJ400" s="24"/>
    </x:row>
    <x:row r="401" spans="35:36" ht="13.19999999999999928946">
      <x:c r="AI401" s="24"/>
      <x:c r="AJ401" s="24"/>
    </x:row>
    <x:row r="402" spans="35:36" ht="13.19999999999999928946">
      <x:c r="AI402" s="24"/>
      <x:c r="AJ402" s="24"/>
    </x:row>
    <x:row r="403" spans="35:36" ht="13.19999999999999928946">
      <x:c r="AI403" s="24"/>
      <x:c r="AJ403" s="24"/>
    </x:row>
    <x:row r="404" spans="35:36" ht="13.19999999999999928946">
      <x:c r="AI404" s="24"/>
      <x:c r="AJ404" s="24"/>
    </x:row>
    <x:row r="405" spans="35:36" ht="13.19999999999999928946">
      <x:c r="AI405" s="24"/>
      <x:c r="AJ405" s="24"/>
    </x:row>
    <x:row r="406" spans="35:36" ht="13.19999999999999928946">
      <x:c r="AI406" s="24"/>
      <x:c r="AJ406" s="24"/>
    </x:row>
    <x:row r="407" spans="35:36" ht="13.19999999999999928946">
      <x:c r="AI407" s="24"/>
      <x:c r="AJ407" s="24"/>
    </x:row>
    <x:row r="408" spans="35:36" ht="13.19999999999999928946">
      <x:c r="AI408" s="24"/>
      <x:c r="AJ408" s="24"/>
    </x:row>
    <x:row r="409" spans="35:36" ht="13.19999999999999928946">
      <x:c r="AI409" s="24"/>
      <x:c r="AJ409" s="24"/>
    </x:row>
    <x:row r="410" spans="35:36" ht="13.19999999999999928946">
      <x:c r="AI410" s="24"/>
      <x:c r="AJ410" s="24"/>
    </x:row>
    <x:row r="411" spans="35:36" ht="13.19999999999999928946">
      <x:c r="AI411" s="24"/>
      <x:c r="AJ411" s="24"/>
    </x:row>
    <x:row r="412" spans="35:36" ht="13.19999999999999928946">
      <x:c r="AI412" s="24"/>
      <x:c r="AJ412" s="24"/>
    </x:row>
    <x:row r="413" spans="35:36" ht="13.19999999999999928946">
      <x:c r="AI413" s="24"/>
      <x:c r="AJ413" s="24"/>
    </x:row>
    <x:row r="414" spans="35:36" ht="13.19999999999999928946">
      <x:c r="AI414" s="24"/>
      <x:c r="AJ414" s="24"/>
    </x:row>
    <x:row r="415" spans="35:36" ht="13.19999999999999928946">
      <x:c r="AI415" s="24"/>
      <x:c r="AJ415" s="24"/>
    </x:row>
    <x:row r="416" spans="35:36" ht="13.19999999999999928946">
      <x:c r="AI416" s="24"/>
      <x:c r="AJ416" s="24"/>
    </x:row>
    <x:row r="417" spans="35:36" ht="13.19999999999999928946">
      <x:c r="AI417" s="24"/>
      <x:c r="AJ417" s="24"/>
    </x:row>
    <x:row r="418" spans="35:36" ht="13.19999999999999928946">
      <x:c r="AI418" s="24"/>
      <x:c r="AJ418" s="24"/>
    </x:row>
    <x:row r="419" spans="35:36" ht="13.19999999999999928946">
      <x:c r="AI419" s="24"/>
      <x:c r="AJ419" s="24"/>
    </x:row>
    <x:row r="420" spans="35:36" ht="13.19999999999999928946">
      <x:c r="AI420" s="24"/>
      <x:c r="AJ420" s="24"/>
    </x:row>
    <x:row r="421" spans="35:36" ht="13.19999999999999928946">
      <x:c r="AI421" s="24"/>
      <x:c r="AJ421" s="24"/>
    </x:row>
    <x:row r="422" spans="35:36" ht="13.19999999999999928946">
      <x:c r="AI422" s="24"/>
      <x:c r="AJ422" s="24"/>
    </x:row>
    <x:row r="423" spans="35:36" ht="13.19999999999999928946">
      <x:c r="AI423" s="24"/>
      <x:c r="AJ423" s="24"/>
    </x:row>
    <x:row r="424" spans="35:36" ht="13.19999999999999928946">
      <x:c r="AI424" s="24"/>
      <x:c r="AJ424" s="24"/>
    </x:row>
    <x:row r="425" spans="35:36" ht="13.19999999999999928946">
      <x:c r="AI425" s="24"/>
      <x:c r="AJ425" s="24"/>
    </x:row>
    <x:row r="426" spans="35:36" ht="13.19999999999999928946">
      <x:c r="AI426" s="24"/>
      <x:c r="AJ426" s="24"/>
    </x:row>
    <x:row r="427" spans="35:36" ht="13.19999999999999928946">
      <x:c r="AI427" s="24"/>
      <x:c r="AJ427" s="24"/>
    </x:row>
    <x:row r="428" spans="35:36" ht="13.19999999999999928946">
      <x:c r="AI428" s="24"/>
      <x:c r="AJ428" s="24"/>
    </x:row>
    <x:row r="429" spans="35:36" ht="13.19999999999999928946">
      <x:c r="AI429" s="24"/>
      <x:c r="AJ429" s="24"/>
    </x:row>
    <x:row r="430" spans="35:36" ht="13.19999999999999928946">
      <x:c r="AI430" s="24"/>
      <x:c r="AJ430" s="24"/>
    </x:row>
    <x:row r="431" spans="35:36" ht="13.19999999999999928946">
      <x:c r="AI431" s="24"/>
      <x:c r="AJ431" s="24"/>
    </x:row>
    <x:row r="432" spans="35:36" ht="13.19999999999999928946">
      <x:c r="AI432" s="24"/>
      <x:c r="AJ432" s="24"/>
    </x:row>
    <x:row r="433" spans="35:36" ht="13.19999999999999928946">
      <x:c r="AI433" s="24"/>
      <x:c r="AJ433" s="24"/>
    </x:row>
    <x:row r="434" spans="35:36" ht="13.19999999999999928946">
      <x:c r="AI434" s="24"/>
      <x:c r="AJ434" s="24"/>
    </x:row>
    <x:row r="435" spans="35:36" ht="13.19999999999999928946">
      <x:c r="AI435" s="24"/>
      <x:c r="AJ435" s="24"/>
    </x:row>
    <x:row r="436" spans="35:36" ht="13.19999999999999928946">
      <x:c r="AI436" s="24"/>
      <x:c r="AJ436" s="24"/>
    </x:row>
    <x:row r="437" spans="35:36" ht="13.19999999999999928946">
      <x:c r="AI437" s="24"/>
      <x:c r="AJ437" s="24"/>
    </x:row>
    <x:row r="438" spans="35:36" ht="13.19999999999999928946">
      <x:c r="AI438" s="24"/>
      <x:c r="AJ438" s="24"/>
    </x:row>
    <x:row r="439" spans="35:36" ht="13.19999999999999928946">
      <x:c r="AI439" s="24"/>
      <x:c r="AJ439" s="24"/>
    </x:row>
    <x:row r="440" spans="35:36" ht="13.19999999999999928946">
      <x:c r="AI440" s="24"/>
      <x:c r="AJ440" s="24"/>
    </x:row>
    <x:row r="441" spans="35:36" ht="13.19999999999999928946">
      <x:c r="AI441" s="24"/>
      <x:c r="AJ441" s="24"/>
    </x:row>
    <x:row r="442" spans="35:36" ht="13.19999999999999928946">
      <x:c r="AI442" s="24"/>
      <x:c r="AJ442" s="24"/>
    </x:row>
    <x:row r="443" spans="35:36" ht="13.19999999999999928946">
      <x:c r="AI443" s="24"/>
      <x:c r="AJ443" s="24"/>
    </x:row>
    <x:row r="444" spans="35:36" ht="13.19999999999999928946">
      <x:c r="AI444" s="24"/>
      <x:c r="AJ444" s="24"/>
    </x:row>
    <x:row r="445" spans="35:36" ht="13.19999999999999928946">
      <x:c r="AI445" s="24"/>
      <x:c r="AJ445" s="24"/>
    </x:row>
    <x:row r="446" spans="35:36" ht="13.19999999999999928946">
      <x:c r="AI446" s="24"/>
      <x:c r="AJ446" s="24"/>
    </x:row>
    <x:row r="447" spans="35:36" ht="13.19999999999999928946">
      <x:c r="AI447" s="24"/>
      <x:c r="AJ447" s="24"/>
    </x:row>
    <x:row r="448" spans="35:36" ht="13.19999999999999928946">
      <x:c r="AI448" s="24"/>
      <x:c r="AJ448" s="24"/>
    </x:row>
    <x:row r="449" spans="35:36" ht="13.19999999999999928946">
      <x:c r="AI449" s="24"/>
      <x:c r="AJ449" s="24"/>
    </x:row>
    <x:row r="450" spans="35:36" ht="13.19999999999999928946">
      <x:c r="AI450" s="24"/>
      <x:c r="AJ450" s="24"/>
    </x:row>
    <x:row r="451" spans="35:36" ht="13.19999999999999928946">
      <x:c r="AI451" s="24"/>
      <x:c r="AJ451" s="24"/>
    </x:row>
    <x:row r="452" spans="35:36" ht="13.19999999999999928946">
      <x:c r="AI452" s="24"/>
      <x:c r="AJ452" s="24"/>
    </x:row>
    <x:row r="453" spans="35:36" ht="13.19999999999999928946">
      <x:c r="AI453" s="24"/>
      <x:c r="AJ453" s="24"/>
    </x:row>
    <x:row r="454" spans="35:36" ht="13.19999999999999928946">
      <x:c r="AI454" s="24"/>
      <x:c r="AJ454" s="24"/>
    </x:row>
    <x:row r="455" spans="35:36" ht="13.19999999999999928946">
      <x:c r="AI455" s="24"/>
      <x:c r="AJ455" s="24"/>
    </x:row>
    <x:row r="456" spans="35:36" ht="13.19999999999999928946">
      <x:c r="AI456" s="24"/>
      <x:c r="AJ456" s="24"/>
    </x:row>
    <x:row r="457" spans="35:36" ht="13.19999999999999928946">
      <x:c r="AI457" s="24"/>
      <x:c r="AJ457" s="24"/>
    </x:row>
    <x:row r="458" spans="35:36" ht="13.19999999999999928946">
      <x:c r="AI458" s="24"/>
      <x:c r="AJ458" s="24"/>
    </x:row>
    <x:row r="459" spans="35:36" ht="13.19999999999999928946">
      <x:c r="AI459" s="24"/>
      <x:c r="AJ459" s="24"/>
    </x:row>
    <x:row r="460" spans="35:36" ht="13.19999999999999928946">
      <x:c r="AI460" s="24"/>
      <x:c r="AJ460" s="24"/>
    </x:row>
    <x:row r="461" spans="35:36" ht="13.19999999999999928946">
      <x:c r="AI461" s="24"/>
      <x:c r="AJ461" s="24"/>
    </x:row>
    <x:row r="462" spans="35:36" ht="13.19999999999999928946">
      <x:c r="AI462" s="24"/>
      <x:c r="AJ462" s="24"/>
    </x:row>
    <x:row r="463" spans="35:36" ht="13.19999999999999928946">
      <x:c r="AI463" s="24"/>
      <x:c r="AJ463" s="24"/>
    </x:row>
    <x:row r="464" spans="35:36" ht="13.19999999999999928946">
      <x:c r="AI464" s="24"/>
      <x:c r="AJ464" s="24"/>
    </x:row>
    <x:row r="465" spans="35:36" ht="13.19999999999999928946">
      <x:c r="AI465" s="24"/>
      <x:c r="AJ465" s="24"/>
    </x:row>
    <x:row r="466" spans="35:36" ht="13.19999999999999928946">
      <x:c r="AI466" s="24"/>
      <x:c r="AJ466" s="24"/>
    </x:row>
    <x:row r="467" spans="35:36" ht="13.19999999999999928946">
      <x:c r="AI467" s="24"/>
      <x:c r="AJ467" s="24"/>
    </x:row>
    <x:row r="468" spans="35:36" ht="13.19999999999999928946">
      <x:c r="AI468" s="24"/>
      <x:c r="AJ468" s="24"/>
    </x:row>
    <x:row r="469" spans="35:36" ht="13.19999999999999928946">
      <x:c r="AI469" s="24"/>
      <x:c r="AJ469" s="24"/>
    </x:row>
    <x:row r="470" spans="35:36" ht="13.19999999999999928946">
      <x:c r="AI470" s="24"/>
      <x:c r="AJ470" s="24"/>
    </x:row>
    <x:row r="471" spans="35:36" ht="13.19999999999999928946">
      <x:c r="AI471" s="24"/>
      <x:c r="AJ471" s="24"/>
    </x:row>
    <x:row r="472" spans="35:36" ht="13.19999999999999928946">
      <x:c r="AI472" s="24"/>
      <x:c r="AJ472" s="24"/>
    </x:row>
    <x:row r="473" spans="35:36" ht="13.19999999999999928946">
      <x:c r="AI473" s="24"/>
      <x:c r="AJ473" s="24"/>
    </x:row>
    <x:row r="474" spans="35:36" ht="13.19999999999999928946">
      <x:c r="AI474" s="24"/>
      <x:c r="AJ474" s="24"/>
    </x:row>
    <x:row r="475" spans="35:36" ht="13.19999999999999928946">
      <x:c r="AI475" s="24"/>
      <x:c r="AJ475" s="24"/>
    </x:row>
    <x:row r="476" spans="35:36" ht="13.19999999999999928946">
      <x:c r="AI476" s="24"/>
      <x:c r="AJ476" s="24"/>
    </x:row>
    <x:row r="477" spans="35:36" ht="13.19999999999999928946">
      <x:c r="AI477" s="24"/>
      <x:c r="AJ477" s="24"/>
    </x:row>
    <x:row r="478" spans="35:36" ht="13.19999999999999928946">
      <x:c r="AI478" s="24"/>
      <x:c r="AJ478" s="24"/>
    </x:row>
    <x:row r="479" spans="35:36" ht="13.19999999999999928946">
      <x:c r="AI479" s="24"/>
      <x:c r="AJ479" s="24"/>
    </x:row>
    <x:row r="480" spans="35:36" ht="13.19999999999999928946">
      <x:c r="AI480" s="24"/>
      <x:c r="AJ480" s="24"/>
    </x:row>
    <x:row r="481" spans="35:36" ht="13.19999999999999928946">
      <x:c r="AI481" s="24"/>
      <x:c r="AJ481" s="24"/>
    </x:row>
    <x:row r="482" spans="35:36" ht="13.19999999999999928946">
      <x:c r="AI482" s="24"/>
      <x:c r="AJ482" s="24"/>
    </x:row>
    <x:row r="483" spans="35:36" ht="13.19999999999999928946">
      <x:c r="AI483" s="24"/>
      <x:c r="AJ483" s="24"/>
    </x:row>
    <x:row r="484" spans="35:36" ht="13.19999999999999928946">
      <x:c r="AI484" s="24"/>
      <x:c r="AJ484" s="24"/>
    </x:row>
    <x:row r="485" spans="35:36" ht="13.19999999999999928946">
      <x:c r="AI485" s="24"/>
      <x:c r="AJ485" s="24"/>
    </x:row>
    <x:row r="486" spans="35:36" ht="13.19999999999999928946">
      <x:c r="AI486" s="24"/>
      <x:c r="AJ486" s="24"/>
    </x:row>
    <x:row r="487" spans="35:36" ht="13.19999999999999928946">
      <x:c r="AI487" s="24"/>
      <x:c r="AJ487" s="24"/>
    </x:row>
    <x:row r="488" spans="35:36" ht="13.19999999999999928946">
      <x:c r="AI488" s="24"/>
      <x:c r="AJ488" s="24"/>
    </x:row>
    <x:row r="489" spans="35:36" ht="13.19999999999999928946">
      <x:c r="AI489" s="24"/>
      <x:c r="AJ489" s="24"/>
    </x:row>
    <x:row r="490" spans="35:36" ht="13.19999999999999928946">
      <x:c r="AI490" s="24"/>
      <x:c r="AJ490" s="24"/>
    </x:row>
    <x:row r="491" spans="35:36" ht="13.19999999999999928946">
      <x:c r="AI491" s="24"/>
      <x:c r="AJ491" s="24"/>
    </x:row>
    <x:row r="492" spans="35:36" ht="13.19999999999999928946">
      <x:c r="AI492" s="24"/>
      <x:c r="AJ492" s="24"/>
    </x:row>
    <x:row r="493" spans="35:36" ht="13.19999999999999928946">
      <x:c r="AI493" s="24"/>
      <x:c r="AJ493" s="24"/>
    </x:row>
    <x:row r="494" spans="35:36" ht="13.19999999999999928946">
      <x:c r="AI494" s="24"/>
      <x:c r="AJ494" s="24"/>
    </x:row>
    <x:row r="495" spans="35:36" ht="13.19999999999999928946">
      <x:c r="AI495" s="24"/>
      <x:c r="AJ495" s="24"/>
    </x:row>
    <x:row r="496" spans="35:36" ht="13.19999999999999928946">
      <x:c r="AI496" s="24"/>
      <x:c r="AJ496" s="24"/>
    </x:row>
    <x:row r="497" spans="35:36" ht="13.19999999999999928946">
      <x:c r="AI497" s="24"/>
      <x:c r="AJ497" s="24"/>
    </x:row>
    <x:row r="498" spans="35:36" ht="13.19999999999999928946">
      <x:c r="AI498" s="24"/>
      <x:c r="AJ498" s="24"/>
    </x:row>
    <x:row r="499" spans="35:36" ht="13.19999999999999928946">
      <x:c r="AI499" s="24"/>
      <x:c r="AJ499" s="24"/>
    </x:row>
    <x:row r="500" spans="35:36" ht="13.19999999999999928946">
      <x:c r="AI500" s="24"/>
      <x:c r="AJ500" s="24"/>
    </x:row>
    <x:row r="501" spans="35:36" ht="13.19999999999999928946">
      <x:c r="AI501" s="24"/>
      <x:c r="AJ501" s="24"/>
    </x:row>
    <x:row r="502" spans="35:36" ht="13.19999999999999928946">
      <x:c r="AI502" s="24"/>
      <x:c r="AJ502" s="24"/>
    </x:row>
    <x:row r="503" spans="35:36" ht="13.19999999999999928946">
      <x:c r="AI503" s="24"/>
      <x:c r="AJ503" s="24"/>
    </x:row>
    <x:row r="504" spans="35:36" ht="13.19999999999999928946">
      <x:c r="AI504" s="24"/>
      <x:c r="AJ504" s="24"/>
    </x:row>
    <x:row r="505" spans="35:36" ht="13.19999999999999928946">
      <x:c r="AI505" s="24"/>
      <x:c r="AJ505" s="24"/>
    </x:row>
    <x:row r="506" spans="35:36" ht="13.19999999999999928946">
      <x:c r="AI506" s="24"/>
      <x:c r="AJ506" s="24"/>
    </x:row>
    <x:row r="507" spans="35:36" ht="13.19999999999999928946">
      <x:c r="AI507" s="24"/>
      <x:c r="AJ507" s="24"/>
    </x:row>
    <x:row r="508" spans="35:36" ht="13.19999999999999928946">
      <x:c r="AI508" s="24"/>
      <x:c r="AJ508" s="24"/>
    </x:row>
    <x:row r="509" spans="35:36" ht="13.19999999999999928946">
      <x:c r="AI509" s="24"/>
      <x:c r="AJ509" s="24"/>
    </x:row>
    <x:row r="510" spans="35:36" ht="13.19999999999999928946">
      <x:c r="AI510" s="24"/>
      <x:c r="AJ510" s="24"/>
    </x:row>
    <x:row r="511" spans="35:36" ht="13.19999999999999928946">
      <x:c r="AI511" s="24"/>
      <x:c r="AJ511" s="24"/>
    </x:row>
    <x:row r="512" spans="35:36" ht="13.19999999999999928946">
      <x:c r="AI512" s="24"/>
      <x:c r="AJ512" s="24"/>
    </x:row>
    <x:row r="513" spans="35:36" ht="13.19999999999999928946">
      <x:c r="AI513" s="24"/>
      <x:c r="AJ513" s="24"/>
    </x:row>
    <x:row r="514" spans="35:36" ht="13.19999999999999928946">
      <x:c r="AI514" s="24"/>
      <x:c r="AJ514" s="24"/>
    </x:row>
    <x:row r="515" spans="35:36" ht="13.19999999999999928946">
      <x:c r="AI515" s="24"/>
      <x:c r="AJ515" s="24"/>
    </x:row>
    <x:row r="516" spans="35:36" ht="13.19999999999999928946">
      <x:c r="AI516" s="24"/>
      <x:c r="AJ516" s="24"/>
    </x:row>
    <x:row r="517" spans="35:36" ht="13.19999999999999928946">
      <x:c r="AI517" s="24"/>
      <x:c r="AJ517" s="24"/>
    </x:row>
    <x:row r="518" spans="35:36" ht="13.19999999999999928946">
      <x:c r="AI518" s="24"/>
      <x:c r="AJ518" s="24"/>
    </x:row>
    <x:row r="519" spans="35:36" ht="13.19999999999999928946">
      <x:c r="AI519" s="24"/>
      <x:c r="AJ519" s="24"/>
    </x:row>
    <x:row r="520" spans="35:36" ht="13.19999999999999928946">
      <x:c r="AI520" s="24"/>
      <x:c r="AJ520" s="24"/>
    </x:row>
    <x:row r="521" spans="35:36" ht="13.19999999999999928946">
      <x:c r="AI521" s="24"/>
      <x:c r="AJ521" s="24"/>
    </x:row>
    <x:row r="522" spans="35:36" ht="13.19999999999999928946">
      <x:c r="AI522" s="24"/>
      <x:c r="AJ522" s="24"/>
    </x:row>
    <x:row r="523" spans="35:36" ht="13.19999999999999928946">
      <x:c r="AI523" s="24"/>
      <x:c r="AJ523" s="24"/>
    </x:row>
    <x:row r="524" spans="35:36" ht="13.19999999999999928946">
      <x:c r="AI524" s="24"/>
      <x:c r="AJ524" s="24"/>
    </x:row>
    <x:row r="525" spans="35:36" ht="13.19999999999999928946">
      <x:c r="AI525" s="24"/>
      <x:c r="AJ525" s="24"/>
    </x:row>
    <x:row r="526" spans="35:36" ht="13.19999999999999928946">
      <x:c r="AI526" s="24"/>
      <x:c r="AJ526" s="24"/>
    </x:row>
    <x:row r="527" spans="35:36" ht="13.19999999999999928946">
      <x:c r="AI527" s="24"/>
      <x:c r="AJ527" s="24"/>
    </x:row>
    <x:row r="528" spans="35:36" ht="13.19999999999999928946">
      <x:c r="AI528" s="24"/>
      <x:c r="AJ528" s="24"/>
    </x:row>
    <x:row r="529" spans="35:36" ht="13.19999999999999928946">
      <x:c r="AI529" s="24"/>
      <x:c r="AJ529" s="24"/>
    </x:row>
    <x:row r="530" spans="35:36" ht="13.19999999999999928946">
      <x:c r="AI530" s="24"/>
      <x:c r="AJ530" s="24"/>
    </x:row>
    <x:row r="531" spans="35:36" ht="13.19999999999999928946">
      <x:c r="AI531" s="24"/>
      <x:c r="AJ531" s="24"/>
    </x:row>
    <x:row r="532" spans="35:36" ht="13.19999999999999928946">
      <x:c r="AI532" s="24"/>
      <x:c r="AJ532" s="24"/>
    </x:row>
    <x:row r="533" spans="35:36" ht="13.19999999999999928946">
      <x:c r="AI533" s="24"/>
      <x:c r="AJ533" s="24"/>
    </x:row>
    <x:row r="534" spans="35:36" ht="13.19999999999999928946">
      <x:c r="AI534" s="24"/>
      <x:c r="AJ534" s="24"/>
    </x:row>
    <x:row r="535" spans="35:36" ht="13.19999999999999928946">
      <x:c r="AI535" s="24"/>
      <x:c r="AJ535" s="24"/>
    </x:row>
    <x:row r="536" spans="35:36" ht="13.19999999999999928946">
      <x:c r="AI536" s="24"/>
      <x:c r="AJ536" s="24"/>
    </x:row>
    <x:row r="537" spans="35:36" ht="13.19999999999999928946">
      <x:c r="AI537" s="24"/>
      <x:c r="AJ537" s="24"/>
    </x:row>
    <x:row r="538" spans="35:36" ht="13.19999999999999928946">
      <x:c r="AI538" s="24"/>
      <x:c r="AJ538" s="24"/>
    </x:row>
    <x:row r="539" spans="35:36" ht="13.19999999999999928946">
      <x:c r="AI539" s="24"/>
      <x:c r="AJ539" s="24"/>
    </x:row>
    <x:row r="540" spans="35:36" ht="13.19999999999999928946">
      <x:c r="AI540" s="24"/>
      <x:c r="AJ540" s="24"/>
    </x:row>
    <x:row r="541" spans="35:36" ht="13.19999999999999928946">
      <x:c r="AI541" s="24"/>
      <x:c r="AJ541" s="24"/>
    </x:row>
    <x:row r="542" spans="35:36" ht="13.19999999999999928946">
      <x:c r="AI542" s="24"/>
      <x:c r="AJ542" s="24"/>
    </x:row>
    <x:row r="543" spans="35:36" ht="13.19999999999999928946">
      <x:c r="AI543" s="24"/>
      <x:c r="AJ543" s="24"/>
    </x:row>
    <x:row r="544" spans="35:36" ht="13.19999999999999928946">
      <x:c r="AI544" s="24"/>
      <x:c r="AJ544" s="24"/>
    </x:row>
    <x:row r="545" spans="35:36" ht="13.19999999999999928946">
      <x:c r="AI545" s="24"/>
      <x:c r="AJ545" s="24"/>
    </x:row>
    <x:row r="546" spans="35:36" ht="13.19999999999999928946">
      <x:c r="AI546" s="24"/>
      <x:c r="AJ546" s="24"/>
    </x:row>
    <x:row r="547" spans="35:36" ht="13.19999999999999928946">
      <x:c r="AI547" s="24"/>
      <x:c r="AJ547" s="24"/>
    </x:row>
    <x:row r="548" spans="35:36" ht="13.19999999999999928946">
      <x:c r="AI548" s="24"/>
      <x:c r="AJ548" s="24"/>
    </x:row>
    <x:row r="549" spans="35:36" ht="13.19999999999999928946">
      <x:c r="AI549" s="24"/>
      <x:c r="AJ549" s="24"/>
    </x:row>
    <x:row r="550" spans="35:36" ht="13.19999999999999928946">
      <x:c r="AI550" s="24"/>
      <x:c r="AJ550" s="24"/>
    </x:row>
    <x:row r="551" spans="35:36" ht="13.19999999999999928946">
      <x:c r="AI551" s="24"/>
      <x:c r="AJ551" s="24"/>
    </x:row>
    <x:row r="552" spans="35:36" ht="13.19999999999999928946">
      <x:c r="AI552" s="24"/>
      <x:c r="AJ552" s="24"/>
    </x:row>
    <x:row r="553" spans="35:36" ht="13.19999999999999928946">
      <x:c r="AI553" s="24"/>
      <x:c r="AJ553" s="24"/>
    </x:row>
    <x:row r="554" spans="35:36" ht="13.19999999999999928946">
      <x:c r="AI554" s="24"/>
      <x:c r="AJ554" s="24"/>
    </x:row>
    <x:row r="555" spans="35:36" ht="13.19999999999999928946">
      <x:c r="AI555" s="24"/>
      <x:c r="AJ555" s="24"/>
    </x:row>
    <x:row r="556" spans="35:36" ht="13.19999999999999928946">
      <x:c r="AI556" s="24"/>
      <x:c r="AJ556" s="24"/>
    </x:row>
    <x:row r="557" spans="35:36" ht="13.19999999999999928946">
      <x:c r="AI557" s="24"/>
      <x:c r="AJ557" s="24"/>
    </x:row>
    <x:row r="558" spans="35:36" ht="13.19999999999999928946">
      <x:c r="AI558" s="24"/>
      <x:c r="AJ558" s="24"/>
    </x:row>
    <x:row r="559" spans="35:36" ht="13.19999999999999928946">
      <x:c r="AI559" s="24"/>
      <x:c r="AJ559" s="24"/>
    </x:row>
    <x:row r="560" spans="35:36" ht="13.19999999999999928946">
      <x:c r="AI560" s="24"/>
      <x:c r="AJ560" s="24"/>
    </x:row>
    <x:row r="561" spans="35:36" ht="13.19999999999999928946">
      <x:c r="AI561" s="24"/>
      <x:c r="AJ561" s="24"/>
    </x:row>
    <x:row r="562" spans="35:36" ht="13.19999999999999928946">
      <x:c r="AI562" s="24"/>
      <x:c r="AJ562" s="24"/>
    </x:row>
    <x:row r="563" spans="35:36" ht="13.19999999999999928946">
      <x:c r="AI563" s="24"/>
      <x:c r="AJ563" s="24"/>
    </x:row>
    <x:row r="564" spans="35:36" ht="13.19999999999999928946">
      <x:c r="AI564" s="24"/>
      <x:c r="AJ564" s="24"/>
    </x:row>
    <x:row r="565" spans="35:36" ht="13.19999999999999928946">
      <x:c r="AI565" s="24"/>
      <x:c r="AJ565" s="24"/>
    </x:row>
    <x:row r="566" spans="35:36" ht="13.19999999999999928946">
      <x:c r="AI566" s="24"/>
      <x:c r="AJ566" s="24"/>
    </x:row>
    <x:row r="567" spans="35:36" ht="13.19999999999999928946">
      <x:c r="AI567" s="24"/>
      <x:c r="AJ567" s="24"/>
    </x:row>
    <x:row r="568" spans="35:36" ht="13.19999999999999928946">
      <x:c r="AI568" s="24"/>
      <x:c r="AJ568" s="24"/>
    </x:row>
    <x:row r="569" spans="35:36" ht="13.19999999999999928946">
      <x:c r="AI569" s="24"/>
      <x:c r="AJ569" s="24"/>
    </x:row>
    <x:row r="570" spans="35:36" ht="13.19999999999999928946">
      <x:c r="AI570" s="24"/>
      <x:c r="AJ570" s="24"/>
    </x:row>
    <x:row r="571" spans="35:36" ht="13.19999999999999928946">
      <x:c r="AI571" s="24"/>
      <x:c r="AJ571" s="24"/>
    </x:row>
    <x:row r="572" spans="35:36" ht="13.19999999999999928946">
      <x:c r="AI572" s="24"/>
      <x:c r="AJ572" s="24"/>
    </x:row>
    <x:row r="573" spans="35:36" ht="13.19999999999999928946">
      <x:c r="AI573" s="24"/>
      <x:c r="AJ573" s="24"/>
    </x:row>
    <x:row r="574" spans="35:36" ht="13.19999999999999928946">
      <x:c r="AI574" s="24"/>
      <x:c r="AJ574" s="24"/>
    </x:row>
    <x:row r="575" spans="35:36" ht="13.19999999999999928946">
      <x:c r="AI575" s="24"/>
      <x:c r="AJ575" s="24"/>
    </x:row>
    <x:row r="576" spans="35:36" ht="13.19999999999999928946">
      <x:c r="AI576" s="24"/>
      <x:c r="AJ576" s="24"/>
    </x:row>
    <x:row r="577" spans="35:36" ht="13.19999999999999928946">
      <x:c r="AI577" s="24"/>
      <x:c r="AJ577" s="24"/>
    </x:row>
    <x:row r="578" spans="35:36" ht="13.19999999999999928946">
      <x:c r="AI578" s="24"/>
      <x:c r="AJ578" s="24"/>
    </x:row>
    <x:row r="579" spans="35:36" ht="13.19999999999999928946">
      <x:c r="AI579" s="24"/>
      <x:c r="AJ579" s="24"/>
    </x:row>
    <x:row r="580" spans="35:36" ht="13.19999999999999928946">
      <x:c r="AI580" s="24"/>
      <x:c r="AJ580" s="24"/>
    </x:row>
    <x:row r="581" spans="35:36" ht="13.19999999999999928946">
      <x:c r="AI581" s="24"/>
      <x:c r="AJ581" s="24"/>
    </x:row>
    <x:row r="582" spans="35:36" ht="13.19999999999999928946">
      <x:c r="AI582" s="24"/>
      <x:c r="AJ582" s="24"/>
    </x:row>
    <x:row r="583" spans="35:36" ht="13.19999999999999928946">
      <x:c r="AI583" s="24"/>
      <x:c r="AJ583" s="24"/>
    </x:row>
    <x:row r="584" spans="35:36" ht="13.19999999999999928946">
      <x:c r="AI584" s="24"/>
      <x:c r="AJ584" s="24"/>
    </x:row>
    <x:row r="585" spans="35:36" ht="13.19999999999999928946">
      <x:c r="AI585" s="24"/>
      <x:c r="AJ585" s="24"/>
    </x:row>
    <x:row r="586" spans="35:36" ht="13.19999999999999928946">
      <x:c r="AI586" s="24"/>
      <x:c r="AJ586" s="24"/>
    </x:row>
    <x:row r="587" spans="35:36" ht="13.19999999999999928946">
      <x:c r="AI587" s="24"/>
      <x:c r="AJ587" s="24"/>
    </x:row>
    <x:row r="588" spans="35:36" ht="13.19999999999999928946">
      <x:c r="AI588" s="24"/>
      <x:c r="AJ588" s="24"/>
    </x:row>
    <x:row r="589" spans="35:36" ht="13.19999999999999928946">
      <x:c r="AI589" s="24"/>
      <x:c r="AJ589" s="24"/>
    </x:row>
    <x:row r="590" spans="35:36" ht="13.19999999999999928946">
      <x:c r="AI590" s="24"/>
      <x:c r="AJ590" s="24"/>
    </x:row>
    <x:row r="591" spans="35:36" ht="13.19999999999999928946">
      <x:c r="AI591" s="24"/>
      <x:c r="AJ591" s="24"/>
    </x:row>
    <x:row r="592" spans="35:36" ht="13.19999999999999928946">
      <x:c r="AI592" s="24"/>
      <x:c r="AJ592" s="24"/>
    </x:row>
    <x:row r="593" spans="35:36" ht="13.19999999999999928946">
      <x:c r="AI593" s="24"/>
      <x:c r="AJ593" s="24"/>
    </x:row>
    <x:row r="594" spans="35:36" ht="13.19999999999999928946">
      <x:c r="AI594" s="24"/>
      <x:c r="AJ594" s="24"/>
    </x:row>
    <x:row r="595" spans="35:36" ht="13.19999999999999928946">
      <x:c r="AI595" s="24"/>
      <x:c r="AJ595" s="24"/>
    </x:row>
    <x:row r="596" spans="35:36" ht="13.19999999999999928946">
      <x:c r="AI596" s="24"/>
      <x:c r="AJ596" s="24"/>
    </x:row>
    <x:row r="597" spans="35:36" ht="13.19999999999999928946">
      <x:c r="AI597" s="24"/>
      <x:c r="AJ597" s="24"/>
    </x:row>
    <x:row r="598" spans="35:36" ht="13.19999999999999928946">
      <x:c r="AI598" s="24"/>
      <x:c r="AJ598" s="24"/>
    </x:row>
    <x:row r="599" spans="35:36" ht="13.19999999999999928946">
      <x:c r="AI599" s="24"/>
      <x:c r="AJ599" s="24"/>
    </x:row>
    <x:row r="600" spans="35:36" ht="13.19999999999999928946">
      <x:c r="AI600" s="24"/>
      <x:c r="AJ600" s="24"/>
    </x:row>
    <x:row r="601" spans="35:36" ht="13.19999999999999928946">
      <x:c r="AI601" s="24"/>
      <x:c r="AJ601" s="24"/>
    </x:row>
    <x:row r="602" spans="35:36" ht="13.19999999999999928946">
      <x:c r="AI602" s="24"/>
      <x:c r="AJ602" s="24"/>
    </x:row>
    <x:row r="603" spans="35:36" ht="13.19999999999999928946">
      <x:c r="AI603" s="24"/>
      <x:c r="AJ603" s="24"/>
    </x:row>
    <x:row r="604" spans="35:36" ht="13.19999999999999928946">
      <x:c r="AI604" s="24"/>
      <x:c r="AJ604" s="24"/>
    </x:row>
    <x:row r="605" spans="35:36" ht="13.19999999999999928946">
      <x:c r="AI605" s="24"/>
      <x:c r="AJ605" s="24"/>
    </x:row>
    <x:row r="606" spans="35:36" ht="13.19999999999999928946">
      <x:c r="AI606" s="24"/>
      <x:c r="AJ606" s="24"/>
    </x:row>
    <x:row r="607" spans="35:36" ht="13.19999999999999928946">
      <x:c r="AI607" s="24"/>
      <x:c r="AJ607" s="24"/>
    </x:row>
    <x:row r="608" spans="35:36" ht="13.19999999999999928946">
      <x:c r="AI608" s="24"/>
      <x:c r="AJ608" s="24"/>
    </x:row>
    <x:row r="609" spans="35:36" ht="13.19999999999999928946">
      <x:c r="AI609" s="24"/>
      <x:c r="AJ609" s="24"/>
    </x:row>
    <x:row r="610" spans="35:36" ht="13.19999999999999928946">
      <x:c r="AI610" s="24"/>
      <x:c r="AJ610" s="24"/>
    </x:row>
    <x:row r="611" spans="35:36" ht="13.19999999999999928946">
      <x:c r="AI611" s="24"/>
      <x:c r="AJ611" s="24"/>
    </x:row>
    <x:row r="612" spans="35:36" ht="13.19999999999999928946">
      <x:c r="AI612" s="24"/>
      <x:c r="AJ612" s="24"/>
    </x:row>
    <x:row r="613" spans="35:36" ht="13.19999999999999928946">
      <x:c r="AI613" s="24"/>
      <x:c r="AJ613" s="24"/>
    </x:row>
    <x:row r="614" spans="35:36" ht="13.19999999999999928946">
      <x:c r="AI614" s="24"/>
      <x:c r="AJ614" s="24"/>
    </x:row>
    <x:row r="615" spans="35:36" ht="13.19999999999999928946">
      <x:c r="AI615" s="24"/>
      <x:c r="AJ615" s="24"/>
    </x:row>
    <x:row r="616" spans="35:36" ht="13.19999999999999928946">
      <x:c r="AI616" s="24"/>
      <x:c r="AJ616" s="24"/>
    </x:row>
    <x:row r="617" spans="35:36" ht="13.19999999999999928946">
      <x:c r="AI617" s="24"/>
      <x:c r="AJ617" s="24"/>
    </x:row>
    <x:row r="618" spans="35:36" ht="13.19999999999999928946">
      <x:c r="AI618" s="24"/>
      <x:c r="AJ618" s="24"/>
    </x:row>
    <x:row r="619" spans="35:36" ht="13.19999999999999928946">
      <x:c r="AI619" s="24"/>
      <x:c r="AJ619" s="24"/>
    </x:row>
    <x:row r="620" spans="35:36" ht="13.19999999999999928946">
      <x:c r="AI620" s="24"/>
      <x:c r="AJ620" s="24"/>
    </x:row>
    <x:row r="621" spans="35:36" ht="13.19999999999999928946">
      <x:c r="AI621" s="24"/>
      <x:c r="AJ621" s="24"/>
    </x:row>
    <x:row r="622" spans="35:36" ht="13.19999999999999928946">
      <x:c r="AI622" s="24"/>
      <x:c r="AJ622" s="24"/>
    </x:row>
    <x:row r="623" spans="35:36" ht="13.19999999999999928946">
      <x:c r="AI623" s="24"/>
      <x:c r="AJ623" s="24"/>
    </x:row>
    <x:row r="624" spans="35:36" ht="13.19999999999999928946">
      <x:c r="AI624" s="24"/>
      <x:c r="AJ624" s="24"/>
    </x:row>
    <x:row r="625" spans="35:36" ht="13.19999999999999928946">
      <x:c r="AI625" s="24"/>
      <x:c r="AJ625" s="24"/>
    </x:row>
    <x:row r="626" spans="35:36" ht="13.19999999999999928946">
      <x:c r="AI626" s="24"/>
      <x:c r="AJ626" s="24"/>
    </x:row>
    <x:row r="627" spans="35:36" ht="13.19999999999999928946">
      <x:c r="AI627" s="24"/>
      <x:c r="AJ627" s="24"/>
    </x:row>
    <x:row r="628" spans="35:36" ht="13.19999999999999928946">
      <x:c r="AI628" s="24"/>
      <x:c r="AJ628" s="24"/>
    </x:row>
    <x:row r="629" spans="35:36" ht="13.19999999999999928946">
      <x:c r="AI629" s="24"/>
      <x:c r="AJ629" s="24"/>
    </x:row>
    <x:row r="630" spans="35:36" ht="13.19999999999999928946">
      <x:c r="AI630" s="24"/>
      <x:c r="AJ630" s="24"/>
    </x:row>
    <x:row r="631" spans="35:36" ht="13.19999999999999928946">
      <x:c r="AI631" s="24"/>
      <x:c r="AJ631" s="24"/>
    </x:row>
    <x:row r="632" spans="35:36" ht="13.19999999999999928946">
      <x:c r="AI632" s="24"/>
      <x:c r="AJ632" s="24"/>
    </x:row>
    <x:row r="633" spans="35:36" ht="13.19999999999999928946">
      <x:c r="AI633" s="24"/>
      <x:c r="AJ633" s="24"/>
    </x:row>
    <x:row r="634" spans="35:36" ht="13.19999999999999928946">
      <x:c r="AI634" s="24"/>
      <x:c r="AJ634" s="24"/>
    </x:row>
    <x:row r="635" spans="35:36" ht="13.19999999999999928946">
      <x:c r="AI635" s="24"/>
      <x:c r="AJ635" s="24"/>
    </x:row>
    <x:row r="636" spans="35:36" ht="13.19999999999999928946">
      <x:c r="AI636" s="24"/>
      <x:c r="AJ636" s="24"/>
    </x:row>
    <x:row r="637" spans="35:36" ht="13.19999999999999928946">
      <x:c r="AI637" s="24"/>
      <x:c r="AJ637" s="24"/>
    </x:row>
    <x:row r="638" spans="35:36" ht="13.19999999999999928946">
      <x:c r="AI638" s="24"/>
      <x:c r="AJ638" s="24"/>
    </x:row>
    <x:row r="639" spans="35:36" ht="13.19999999999999928946">
      <x:c r="AI639" s="24"/>
      <x:c r="AJ639" s="24"/>
    </x:row>
    <x:row r="640" spans="35:36" ht="13.19999999999999928946">
      <x:c r="AI640" s="24"/>
      <x:c r="AJ640" s="24"/>
    </x:row>
    <x:row r="641" spans="35:36" ht="13.19999999999999928946">
      <x:c r="AI641" s="24"/>
      <x:c r="AJ641" s="24"/>
    </x:row>
    <x:row r="642" spans="35:36" ht="13.19999999999999928946">
      <x:c r="AI642" s="24"/>
      <x:c r="AJ642" s="24"/>
    </x:row>
    <x:row r="643" spans="35:36" ht="13.19999999999999928946">
      <x:c r="AI643" s="24"/>
      <x:c r="AJ643" s="24"/>
    </x:row>
    <x:row r="644" spans="35:36" ht="13.19999999999999928946">
      <x:c r="AI644" s="24"/>
      <x:c r="AJ644" s="24"/>
    </x:row>
    <x:row r="645" spans="35:36" ht="13.19999999999999928946">
      <x:c r="AI645" s="24"/>
      <x:c r="AJ645" s="24"/>
    </x:row>
    <x:row r="646" spans="35:36" ht="13.19999999999999928946">
      <x:c r="AI646" s="24"/>
      <x:c r="AJ646" s="24"/>
    </x:row>
    <x:row r="647" spans="35:36" ht="13.19999999999999928946">
      <x:c r="AI647" s="24"/>
      <x:c r="AJ647" s="24"/>
    </x:row>
    <x:row r="648" spans="35:36" ht="13.19999999999999928946">
      <x:c r="AI648" s="24"/>
      <x:c r="AJ648" s="24"/>
    </x:row>
    <x:row r="649" spans="35:36" ht="13.19999999999999928946">
      <x:c r="AI649" s="24"/>
      <x:c r="AJ649" s="24"/>
    </x:row>
    <x:row r="650" spans="35:36" ht="13.19999999999999928946">
      <x:c r="AI650" s="24"/>
      <x:c r="AJ650" s="24"/>
    </x:row>
    <x:row r="651" spans="35:36" ht="13.19999999999999928946">
      <x:c r="AI651" s="24"/>
      <x:c r="AJ651" s="24"/>
    </x:row>
    <x:row r="652" spans="35:36" ht="13.19999999999999928946">
      <x:c r="AI652" s="24"/>
      <x:c r="AJ652" s="24"/>
    </x:row>
    <x:row r="653" spans="35:36" ht="13.19999999999999928946">
      <x:c r="AI653" s="24"/>
      <x:c r="AJ653" s="24"/>
    </x:row>
    <x:row r="654" spans="35:36" ht="13.19999999999999928946">
      <x:c r="AI654" s="24"/>
      <x:c r="AJ654" s="24"/>
    </x:row>
    <x:row r="655" spans="35:36" ht="13.19999999999999928946">
      <x:c r="AI655" s="24"/>
      <x:c r="AJ655" s="24"/>
    </x:row>
    <x:row r="656" spans="35:36" ht="13.19999999999999928946">
      <x:c r="AI656" s="24"/>
      <x:c r="AJ656" s="24"/>
    </x:row>
    <x:row r="657" spans="35:36" ht="13.19999999999999928946">
      <x:c r="AI657" s="24"/>
      <x:c r="AJ657" s="24"/>
    </x:row>
    <x:row r="658" spans="35:36" ht="13.19999999999999928946">
      <x:c r="AI658" s="24"/>
      <x:c r="AJ658" s="24"/>
    </x:row>
    <x:row r="659" spans="35:36" ht="13.19999999999999928946">
      <x:c r="AI659" s="24"/>
      <x:c r="AJ659" s="24"/>
    </x:row>
    <x:row r="660" spans="35:36" ht="13.19999999999999928946">
      <x:c r="AI660" s="24"/>
      <x:c r="AJ660" s="24"/>
    </x:row>
    <x:row r="661" spans="35:36" ht="13.19999999999999928946">
      <x:c r="AI661" s="24"/>
      <x:c r="AJ661" s="24"/>
    </x:row>
    <x:row r="662" spans="35:36" ht="13.19999999999999928946">
      <x:c r="AI662" s="24"/>
      <x:c r="AJ662" s="24"/>
    </x:row>
    <x:row r="663" spans="35:36" ht="13.19999999999999928946">
      <x:c r="AI663" s="24"/>
      <x:c r="AJ663" s="24"/>
    </x:row>
    <x:row r="664" spans="35:36" ht="13.19999999999999928946">
      <x:c r="AI664" s="24"/>
      <x:c r="AJ664" s="24"/>
    </x:row>
    <x:row r="665" spans="35:36" ht="13.19999999999999928946">
      <x:c r="AI665" s="24"/>
      <x:c r="AJ665" s="24"/>
    </x:row>
    <x:row r="666" spans="35:36" ht="13.19999999999999928946">
      <x:c r="AI666" s="24"/>
      <x:c r="AJ666" s="24"/>
    </x:row>
    <x:row r="667" spans="35:36" ht="13.19999999999999928946">
      <x:c r="AI667" s="24"/>
      <x:c r="AJ667" s="24"/>
    </x:row>
    <x:row r="668" spans="35:36" ht="13.19999999999999928946">
      <x:c r="AI668" s="24"/>
      <x:c r="AJ668" s="24"/>
    </x:row>
    <x:row r="669" spans="35:36" ht="13.19999999999999928946">
      <x:c r="AI669" s="24"/>
      <x:c r="AJ669" s="24"/>
    </x:row>
    <x:row r="670" spans="35:36" ht="13.19999999999999928946">
      <x:c r="AI670" s="24"/>
      <x:c r="AJ670" s="24"/>
    </x:row>
    <x:row r="671" spans="35:36" ht="13.19999999999999928946">
      <x:c r="AI671" s="24"/>
      <x:c r="AJ671" s="24"/>
    </x:row>
    <x:row r="672" spans="35:36" ht="13.19999999999999928946">
      <x:c r="AI672" s="24"/>
      <x:c r="AJ672" s="24"/>
    </x:row>
    <x:row r="673" spans="35:36" ht="13.19999999999999928946">
      <x:c r="AI673" s="24"/>
      <x:c r="AJ673" s="24"/>
    </x:row>
    <x:row r="674" spans="35:36" ht="13.19999999999999928946">
      <x:c r="AI674" s="24"/>
      <x:c r="AJ674" s="24"/>
    </x:row>
    <x:row r="675" spans="35:36" ht="13.19999999999999928946">
      <x:c r="AI675" s="24"/>
      <x:c r="AJ675" s="24"/>
    </x:row>
    <x:row r="676" spans="35:36" ht="13.19999999999999928946">
      <x:c r="AI676" s="24"/>
      <x:c r="AJ676" s="24"/>
    </x:row>
    <x:row r="677" spans="35:36" ht="13.19999999999999928946">
      <x:c r="AI677" s="24"/>
      <x:c r="AJ677" s="24"/>
    </x:row>
    <x:row r="678" spans="35:36" ht="13.19999999999999928946">
      <x:c r="AI678" s="24"/>
      <x:c r="AJ678" s="24"/>
    </x:row>
    <x:row r="679" spans="35:36" ht="13.19999999999999928946">
      <x:c r="AI679" s="24"/>
      <x:c r="AJ679" s="24"/>
    </x:row>
    <x:row r="680" spans="35:36" ht="13.19999999999999928946">
      <x:c r="AI680" s="24"/>
      <x:c r="AJ680" s="24"/>
    </x:row>
    <x:row r="681" spans="35:36" ht="13.19999999999999928946">
      <x:c r="AI681" s="24"/>
      <x:c r="AJ681" s="24"/>
    </x:row>
    <x:row r="682" spans="35:36" ht="13.19999999999999928946">
      <x:c r="AI682" s="24"/>
      <x:c r="AJ682" s="24"/>
    </x:row>
    <x:row r="683" spans="35:36" ht="13.19999999999999928946">
      <x:c r="AI683" s="24"/>
      <x:c r="AJ683" s="24"/>
    </x:row>
    <x:row r="684" spans="35:36" ht="13.19999999999999928946">
      <x:c r="AI684" s="24"/>
      <x:c r="AJ684" s="24"/>
    </x:row>
    <x:row r="685" spans="35:36" ht="13.19999999999999928946">
      <x:c r="AI685" s="24"/>
      <x:c r="AJ685" s="24"/>
    </x:row>
    <x:row r="686" spans="35:36" ht="13.19999999999999928946">
      <x:c r="AI686" s="24"/>
      <x:c r="AJ686" s="24"/>
    </x:row>
    <x:row r="687" spans="35:36" ht="13.19999999999999928946">
      <x:c r="AI687" s="24"/>
      <x:c r="AJ687" s="24"/>
    </x:row>
    <x:row r="688" spans="35:36" ht="13.19999999999999928946">
      <x:c r="AI688" s="24"/>
      <x:c r="AJ688" s="24"/>
    </x:row>
    <x:row r="689" spans="35:36" ht="13.19999999999999928946">
      <x:c r="AI689" s="24"/>
      <x:c r="AJ689" s="24"/>
    </x:row>
    <x:row r="690" spans="35:36" ht="13.19999999999999928946">
      <x:c r="AI690" s="24"/>
      <x:c r="AJ690" s="24"/>
    </x:row>
    <x:row r="691" spans="35:36" ht="13.19999999999999928946">
      <x:c r="AI691" s="24"/>
      <x:c r="AJ691" s="24"/>
    </x:row>
    <x:row r="692" spans="35:36" ht="13.19999999999999928946">
      <x:c r="AI692" s="24"/>
      <x:c r="AJ692" s="24"/>
    </x:row>
    <x:row r="693" spans="35:36" ht="13.19999999999999928946">
      <x:c r="AI693" s="24"/>
      <x:c r="AJ693" s="24"/>
    </x:row>
    <x:row r="694" spans="35:36" ht="13.19999999999999928946">
      <x:c r="AI694" s="24"/>
      <x:c r="AJ694" s="24"/>
    </x:row>
    <x:row r="695" spans="35:36" ht="13.19999999999999928946">
      <x:c r="AI695" s="24"/>
      <x:c r="AJ695" s="24"/>
    </x:row>
    <x:row r="696" spans="35:36" ht="13.19999999999999928946">
      <x:c r="AI696" s="24"/>
      <x:c r="AJ696" s="24"/>
    </x:row>
    <x:row r="697" spans="35:36" ht="13.19999999999999928946">
      <x:c r="AI697" s="24"/>
      <x:c r="AJ697" s="24"/>
    </x:row>
    <x:row r="698" spans="35:36" ht="13.19999999999999928946">
      <x:c r="AI698" s="24"/>
      <x:c r="AJ698" s="24"/>
    </x:row>
    <x:row r="699" spans="35:36" ht="13.19999999999999928946">
      <x:c r="AI699" s="24"/>
      <x:c r="AJ699" s="24"/>
    </x:row>
    <x:row r="700" spans="35:36" ht="13.19999999999999928946">
      <x:c r="AI700" s="24"/>
      <x:c r="AJ700" s="24"/>
    </x:row>
    <x:row r="701" spans="35:36" ht="13.19999999999999928946">
      <x:c r="AI701" s="24"/>
      <x:c r="AJ701" s="24"/>
    </x:row>
    <x:row r="702" spans="35:36" ht="13.19999999999999928946">
      <x:c r="AI702" s="24"/>
      <x:c r="AJ702" s="24"/>
    </x:row>
    <x:row r="703" spans="35:36" ht="13.19999999999999928946">
      <x:c r="AI703" s="24"/>
      <x:c r="AJ703" s="24"/>
    </x:row>
    <x:row r="704" spans="35:36" ht="13.19999999999999928946">
      <x:c r="AI704" s="24"/>
      <x:c r="AJ704" s="24"/>
    </x:row>
    <x:row r="705" spans="35:36" ht="13.19999999999999928946">
      <x:c r="AI705" s="24"/>
      <x:c r="AJ705" s="24"/>
    </x:row>
    <x:row r="706" spans="35:36" ht="13.19999999999999928946">
      <x:c r="AI706" s="24"/>
      <x:c r="AJ706" s="24"/>
    </x:row>
    <x:row r="707" spans="35:36" ht="13.19999999999999928946">
      <x:c r="AI707" s="24"/>
      <x:c r="AJ707" s="24"/>
    </x:row>
    <x:row r="708" spans="35:36" ht="13.19999999999999928946">
      <x:c r="AI708" s="24"/>
      <x:c r="AJ708" s="24"/>
    </x:row>
    <x:row r="709" spans="35:36" ht="13.19999999999999928946">
      <x:c r="AI709" s="24"/>
      <x:c r="AJ709" s="24"/>
    </x:row>
    <x:row r="710" spans="35:36" ht="13.19999999999999928946">
      <x:c r="AI710" s="24"/>
      <x:c r="AJ710" s="24"/>
    </x:row>
    <x:row r="711" spans="35:36" ht="13.19999999999999928946">
      <x:c r="AI711" s="24"/>
      <x:c r="AJ711" s="24"/>
    </x:row>
    <x:row r="712" spans="35:36" ht="13.19999999999999928946">
      <x:c r="AI712" s="24"/>
      <x:c r="AJ712" s="24"/>
    </x:row>
    <x:row r="713" spans="35:36" ht="13.19999999999999928946">
      <x:c r="AI713" s="24"/>
      <x:c r="AJ713" s="24"/>
    </x:row>
    <x:row r="714" spans="35:36" ht="13.19999999999999928946">
      <x:c r="AI714" s="24"/>
      <x:c r="AJ714" s="24"/>
    </x:row>
    <x:row r="715" spans="35:36" ht="13.19999999999999928946">
      <x:c r="AI715" s="24"/>
      <x:c r="AJ715" s="24"/>
    </x:row>
    <x:row r="716" spans="35:36" ht="13.19999999999999928946">
      <x:c r="AI716" s="24"/>
      <x:c r="AJ716" s="24"/>
    </x:row>
    <x:row r="717" spans="35:36" ht="13.19999999999999928946">
      <x:c r="AI717" s="24"/>
      <x:c r="AJ717" s="24"/>
    </x:row>
    <x:row r="718" spans="35:36" ht="13.19999999999999928946">
      <x:c r="AI718" s="24"/>
      <x:c r="AJ718" s="24"/>
    </x:row>
    <x:row r="719" spans="35:36" ht="13.19999999999999928946">
      <x:c r="AI719" s="24"/>
      <x:c r="AJ719" s="24"/>
    </x:row>
    <x:row r="720" spans="35:36" ht="13.19999999999999928946">
      <x:c r="AI720" s="24"/>
      <x:c r="AJ720" s="24"/>
    </x:row>
    <x:row r="721" spans="35:36" ht="13.19999999999999928946">
      <x:c r="AI721" s="24"/>
      <x:c r="AJ721" s="24"/>
    </x:row>
    <x:row r="722" spans="35:36" ht="13.19999999999999928946">
      <x:c r="AI722" s="24"/>
      <x:c r="AJ722" s="24"/>
    </x:row>
    <x:row r="723" spans="35:36" ht="13.19999999999999928946">
      <x:c r="AI723" s="24"/>
      <x:c r="AJ723" s="24"/>
    </x:row>
    <x:row r="724" spans="35:36" ht="13.19999999999999928946">
      <x:c r="AI724" s="24"/>
      <x:c r="AJ724" s="24"/>
    </x:row>
    <x:row r="725" spans="35:36" ht="13.19999999999999928946">
      <x:c r="AI725" s="24"/>
      <x:c r="AJ725" s="24"/>
    </x:row>
    <x:row r="726" spans="35:36" ht="13.19999999999999928946">
      <x:c r="AI726" s="24"/>
      <x:c r="AJ726" s="24"/>
    </x:row>
    <x:row r="727" spans="35:36" ht="13.19999999999999928946">
      <x:c r="AI727" s="24"/>
      <x:c r="AJ727" s="24"/>
    </x:row>
    <x:row r="728" spans="35:36" ht="13.19999999999999928946">
      <x:c r="AI728" s="24"/>
      <x:c r="AJ728" s="24"/>
    </x:row>
    <x:row r="729" spans="35:36" ht="13.19999999999999928946">
      <x:c r="AI729" s="24"/>
      <x:c r="AJ729" s="24"/>
    </x:row>
    <x:row r="730" spans="35:36" ht="13.19999999999999928946">
      <x:c r="AI730" s="24"/>
      <x:c r="AJ730" s="24"/>
    </x:row>
    <x:row r="731" spans="35:36" ht="13.19999999999999928946">
      <x:c r="AI731" s="24"/>
      <x:c r="AJ731" s="24"/>
    </x:row>
    <x:row r="732" spans="35:36" ht="13.19999999999999928946">
      <x:c r="AI732" s="24"/>
      <x:c r="AJ732" s="24"/>
    </x:row>
    <x:row r="733" spans="35:36" ht="13.19999999999999928946">
      <x:c r="AI733" s="24"/>
      <x:c r="AJ733" s="24"/>
    </x:row>
    <x:row r="734" spans="35:36" ht="13.19999999999999928946">
      <x:c r="AI734" s="24"/>
      <x:c r="AJ734" s="24"/>
    </x:row>
    <x:row r="735" spans="35:36" ht="13.19999999999999928946">
      <x:c r="AI735" s="24"/>
      <x:c r="AJ735" s="24"/>
    </x:row>
    <x:row r="736" spans="35:36" ht="13.19999999999999928946">
      <x:c r="AI736" s="24"/>
      <x:c r="AJ736" s="24"/>
    </x:row>
    <x:row r="737" spans="35:36" ht="13.19999999999999928946">
      <x:c r="AI737" s="24"/>
      <x:c r="AJ737" s="24"/>
    </x:row>
    <x:row r="738" spans="35:36" ht="13.19999999999999928946">
      <x:c r="AI738" s="24"/>
      <x:c r="AJ738" s="24"/>
    </x:row>
    <x:row r="739" spans="35:36" ht="13.19999999999999928946">
      <x:c r="AI739" s="24"/>
      <x:c r="AJ739" s="24"/>
    </x:row>
    <x:row r="740" spans="35:36" ht="13.19999999999999928946">
      <x:c r="AI740" s="24"/>
      <x:c r="AJ740" s="24"/>
    </x:row>
    <x:row r="741" spans="35:36" ht="13.19999999999999928946">
      <x:c r="AI741" s="24"/>
      <x:c r="AJ741" s="24"/>
    </x:row>
    <x:row r="742" spans="35:36" ht="13.19999999999999928946">
      <x:c r="AI742" s="24"/>
      <x:c r="AJ742" s="24"/>
    </x:row>
    <x:row r="743" spans="35:36" ht="13.19999999999999928946">
      <x:c r="AI743" s="24"/>
      <x:c r="AJ743" s="24"/>
    </x:row>
    <x:row r="744" spans="35:36" ht="13.19999999999999928946">
      <x:c r="AI744" s="24"/>
      <x:c r="AJ744" s="24"/>
    </x:row>
    <x:row r="745" spans="35:36" ht="13.19999999999999928946">
      <x:c r="AI745" s="24"/>
      <x:c r="AJ745" s="24"/>
    </x:row>
    <x:row r="746" spans="35:36" ht="13.19999999999999928946">
      <x:c r="AI746" s="24"/>
      <x:c r="AJ746" s="24"/>
    </x:row>
    <x:row r="747" spans="35:36" ht="13.19999999999999928946">
      <x:c r="AI747" s="24"/>
      <x:c r="AJ747" s="24"/>
    </x:row>
    <x:row r="748" spans="35:36" ht="13.19999999999999928946">
      <x:c r="AI748" s="24"/>
      <x:c r="AJ748" s="24"/>
    </x:row>
    <x:row r="749" spans="35:36" ht="13.19999999999999928946">
      <x:c r="AI749" s="24"/>
      <x:c r="AJ749" s="24"/>
    </x:row>
    <x:row r="750" spans="35:36" ht="13.19999999999999928946">
      <x:c r="AI750" s="24"/>
      <x:c r="AJ750" s="24"/>
    </x:row>
    <x:row r="751" spans="35:36" ht="13.19999999999999928946">
      <x:c r="AI751" s="24"/>
      <x:c r="AJ751" s="24"/>
    </x:row>
    <x:row r="752" spans="35:36" ht="13.19999999999999928946">
      <x:c r="AI752" s="24"/>
      <x:c r="AJ752" s="24"/>
    </x:row>
    <x:row r="753" spans="35:36" ht="13.19999999999999928946">
      <x:c r="AI753" s="24"/>
      <x:c r="AJ753" s="24"/>
    </x:row>
    <x:row r="754" spans="35:36" ht="13.19999999999999928946">
      <x:c r="AI754" s="24"/>
      <x:c r="AJ754" s="24"/>
    </x:row>
    <x:row r="755" spans="35:36" ht="13.19999999999999928946">
      <x:c r="AI755" s="24"/>
      <x:c r="AJ755" s="24"/>
    </x:row>
    <x:row r="756" spans="35:36" ht="13.19999999999999928946">
      <x:c r="AI756" s="24"/>
      <x:c r="AJ756" s="24"/>
    </x:row>
    <x:row r="757" spans="35:36" ht="13.19999999999999928946">
      <x:c r="AI757" s="24"/>
      <x:c r="AJ757" s="24"/>
    </x:row>
    <x:row r="758" spans="35:36" ht="13.19999999999999928946">
      <x:c r="AI758" s="24"/>
      <x:c r="AJ758" s="24"/>
    </x:row>
    <x:row r="759" spans="35:36" ht="13.19999999999999928946">
      <x:c r="AI759" s="24"/>
      <x:c r="AJ759" s="24"/>
    </x:row>
    <x:row r="760" spans="35:36" ht="13.19999999999999928946">
      <x:c r="AI760" s="24"/>
      <x:c r="AJ760" s="24"/>
    </x:row>
    <x:row r="761" spans="35:36" ht="13.19999999999999928946">
      <x:c r="AI761" s="24"/>
      <x:c r="AJ761" s="24"/>
    </x:row>
    <x:row r="762" spans="35:36" ht="13.19999999999999928946">
      <x:c r="AI762" s="24"/>
      <x:c r="AJ762" s="24"/>
    </x:row>
    <x:row r="763" spans="35:36" ht="13.19999999999999928946">
      <x:c r="AI763" s="24"/>
      <x:c r="AJ763" s="24"/>
    </x:row>
    <x:row r="764" spans="35:36" ht="13.19999999999999928946">
      <x:c r="AI764" s="24"/>
      <x:c r="AJ764" s="24"/>
    </x:row>
    <x:row r="765" spans="35:36" ht="13.19999999999999928946">
      <x:c r="AI765" s="24"/>
      <x:c r="AJ765" s="24"/>
    </x:row>
    <x:row r="766" spans="35:36" ht="13.19999999999999928946">
      <x:c r="AI766" s="24"/>
      <x:c r="AJ766" s="24"/>
    </x:row>
    <x:row r="767" spans="35:36" ht="13.19999999999999928946">
      <x:c r="AI767" s="24"/>
      <x:c r="AJ767" s="24"/>
    </x:row>
    <x:row r="768" spans="35:36" ht="13.19999999999999928946">
      <x:c r="AI768" s="24"/>
      <x:c r="AJ768" s="24"/>
    </x:row>
    <x:row r="769" spans="35:36" ht="13.19999999999999928946">
      <x:c r="AI769" s="24"/>
      <x:c r="AJ769" s="24"/>
    </x:row>
    <x:row r="770" spans="35:36" ht="13.19999999999999928946">
      <x:c r="AI770" s="24"/>
      <x:c r="AJ770" s="24"/>
    </x:row>
    <x:row r="771" spans="35:36" ht="13.19999999999999928946">
      <x:c r="AI771" s="24"/>
      <x:c r="AJ771" s="24"/>
    </x:row>
    <x:row r="772" spans="35:36" ht="13.19999999999999928946">
      <x:c r="AI772" s="24"/>
      <x:c r="AJ772" s="24"/>
    </x:row>
    <x:row r="773" spans="35:36" ht="13.19999999999999928946">
      <x:c r="AI773" s="24"/>
      <x:c r="AJ773" s="24"/>
    </x:row>
    <x:row r="774" spans="35:36" ht="13.19999999999999928946">
      <x:c r="AI774" s="24"/>
      <x:c r="AJ774" s="24"/>
    </x:row>
    <x:row r="775" spans="35:36" ht="13.19999999999999928946">
      <x:c r="AI775" s="24"/>
      <x:c r="AJ775" s="24"/>
    </x:row>
    <x:row r="776" spans="35:36" ht="13.19999999999999928946">
      <x:c r="AI776" s="24"/>
      <x:c r="AJ776" s="24"/>
    </x:row>
    <x:row r="777" spans="35:36" ht="13.19999999999999928946">
      <x:c r="AI777" s="24"/>
      <x:c r="AJ777" s="24"/>
    </x:row>
    <x:row r="778" spans="35:36" ht="13.19999999999999928946">
      <x:c r="AI778" s="24"/>
      <x:c r="AJ778" s="24"/>
    </x:row>
    <x:row r="779" spans="35:36" ht="13.19999999999999928946">
      <x:c r="AI779" s="24"/>
      <x:c r="AJ779" s="24"/>
    </x:row>
    <x:row r="780" spans="35:36" ht="13.19999999999999928946">
      <x:c r="AI780" s="24"/>
      <x:c r="AJ780" s="24"/>
    </x:row>
    <x:row r="781" spans="35:36" ht="13.19999999999999928946">
      <x:c r="AI781" s="24"/>
      <x:c r="AJ781" s="24"/>
    </x:row>
    <x:row r="782" spans="35:36" ht="13.19999999999999928946">
      <x:c r="AI782" s="24"/>
      <x:c r="AJ782" s="24"/>
    </x:row>
    <x:row r="783" spans="35:36" ht="13.19999999999999928946">
      <x:c r="AI783" s="24"/>
      <x:c r="AJ783" s="24"/>
    </x:row>
    <x:row r="784" spans="35:36" ht="13.19999999999999928946">
      <x:c r="AI784" s="24"/>
      <x:c r="AJ784" s="24"/>
    </x:row>
    <x:row r="785" spans="35:36" ht="13.19999999999999928946">
      <x:c r="AI785" s="24"/>
      <x:c r="AJ785" s="24"/>
    </x:row>
    <x:row r="786" spans="35:36" ht="13.19999999999999928946">
      <x:c r="AI786" s="24"/>
      <x:c r="AJ786" s="24"/>
    </x:row>
    <x:row r="787" spans="35:36" ht="13.19999999999999928946">
      <x:c r="AI787" s="24"/>
      <x:c r="AJ787" s="24"/>
    </x:row>
    <x:row r="788" spans="35:36" ht="13.19999999999999928946">
      <x:c r="AI788" s="24"/>
      <x:c r="AJ788" s="24"/>
    </x:row>
    <x:row r="789" spans="35:36" ht="13.19999999999999928946">
      <x:c r="AI789" s="24"/>
      <x:c r="AJ789" s="24"/>
    </x:row>
    <x:row r="790" spans="35:36" ht="13.19999999999999928946">
      <x:c r="AI790" s="24"/>
      <x:c r="AJ790" s="24"/>
    </x:row>
    <x:row r="791" spans="35:36" ht="13.19999999999999928946">
      <x:c r="AI791" s="24"/>
      <x:c r="AJ791" s="24"/>
    </x:row>
    <x:row r="792" spans="35:36" ht="13.19999999999999928946">
      <x:c r="AI792" s="24"/>
      <x:c r="AJ792" s="24"/>
    </x:row>
    <x:row r="793" spans="35:36" ht="13.19999999999999928946">
      <x:c r="AI793" s="24"/>
      <x:c r="AJ793" s="24"/>
    </x:row>
    <x:row r="794" spans="35:36" ht="13.19999999999999928946">
      <x:c r="AI794" s="24"/>
      <x:c r="AJ794" s="24"/>
    </x:row>
    <x:row r="795" spans="35:36" ht="13.19999999999999928946">
      <x:c r="AI795" s="24"/>
      <x:c r="AJ795" s="24"/>
    </x:row>
    <x:row r="796" spans="35:36" ht="13.19999999999999928946">
      <x:c r="AI796" s="24"/>
      <x:c r="AJ796" s="24"/>
    </x:row>
    <x:row r="797" spans="35:36" ht="13.19999999999999928946">
      <x:c r="AI797" s="24"/>
      <x:c r="AJ797" s="24"/>
    </x:row>
    <x:row r="798" spans="35:36" ht="13.19999999999999928946">
      <x:c r="AI798" s="24"/>
      <x:c r="AJ798" s="24"/>
    </x:row>
    <x:row r="799" spans="35:36" ht="13.19999999999999928946">
      <x:c r="AI799" s="24"/>
      <x:c r="AJ799" s="24"/>
    </x:row>
    <x:row r="800" spans="35:36" ht="13.19999999999999928946">
      <x:c r="AI800" s="24"/>
      <x:c r="AJ800" s="24"/>
    </x:row>
    <x:row r="801" spans="35:36" ht="13.19999999999999928946">
      <x:c r="AI801" s="24"/>
      <x:c r="AJ801" s="24"/>
    </x:row>
    <x:row r="802" spans="35:36" ht="13.19999999999999928946">
      <x:c r="AI802" s="24"/>
      <x:c r="AJ802" s="24"/>
    </x:row>
    <x:row r="803" spans="35:36" ht="13.19999999999999928946">
      <x:c r="AI803" s="24"/>
      <x:c r="AJ803" s="24"/>
    </x:row>
    <x:row r="804" spans="35:36" ht="13.19999999999999928946">
      <x:c r="AI804" s="24"/>
      <x:c r="AJ804" s="24"/>
    </x:row>
    <x:row r="805" spans="35:36" ht="13.19999999999999928946">
      <x:c r="AI805" s="24"/>
      <x:c r="AJ805" s="24"/>
    </x:row>
    <x:row r="806" spans="35:36" ht="13.19999999999999928946">
      <x:c r="AI806" s="24"/>
      <x:c r="AJ806" s="24"/>
    </x:row>
    <x:row r="807" spans="35:36" ht="13.19999999999999928946">
      <x:c r="AI807" s="24"/>
      <x:c r="AJ807" s="24"/>
    </x:row>
    <x:row r="808" spans="35:36" ht="13.19999999999999928946">
      <x:c r="AI808" s="24"/>
      <x:c r="AJ808" s="24"/>
    </x:row>
    <x:row r="809" spans="35:36" ht="13.19999999999999928946">
      <x:c r="AI809" s="24"/>
      <x:c r="AJ809" s="24"/>
    </x:row>
    <x:row r="810" spans="35:36" ht="13.19999999999999928946">
      <x:c r="AI810" s="24"/>
      <x:c r="AJ810" s="24"/>
    </x:row>
    <x:row r="811" spans="35:36" ht="13.19999999999999928946">
      <x:c r="AI811" s="24"/>
      <x:c r="AJ811" s="24"/>
    </x:row>
    <x:row r="812" spans="35:36" ht="13.19999999999999928946">
      <x:c r="AI812" s="24"/>
      <x:c r="AJ812" s="24"/>
    </x:row>
    <x:row r="813" spans="35:36" ht="13.19999999999999928946">
      <x:c r="AI813" s="24"/>
      <x:c r="AJ813" s="24"/>
    </x:row>
    <x:row r="814" spans="35:36" ht="13.19999999999999928946">
      <x:c r="AI814" s="24"/>
      <x:c r="AJ814" s="24"/>
    </x:row>
    <x:row r="815" spans="35:36" ht="13.19999999999999928946">
      <x:c r="AI815" s="24"/>
      <x:c r="AJ815" s="24"/>
    </x:row>
    <x:row r="816" spans="35:36" ht="13.19999999999999928946">
      <x:c r="AI816" s="24"/>
      <x:c r="AJ816" s="24"/>
    </x:row>
    <x:row r="817" spans="35:36" ht="13.19999999999999928946">
      <x:c r="AI817" s="24"/>
      <x:c r="AJ817" s="24"/>
    </x:row>
    <x:row r="818" spans="35:36" ht="13.19999999999999928946">
      <x:c r="AI818" s="24"/>
      <x:c r="AJ818" s="24"/>
    </x:row>
    <x:row r="819" spans="35:36" ht="13.19999999999999928946">
      <x:c r="AI819" s="24"/>
      <x:c r="AJ819" s="24"/>
    </x:row>
    <x:row r="820" spans="35:36" ht="13.19999999999999928946">
      <x:c r="AI820" s="24"/>
      <x:c r="AJ820" s="24"/>
    </x:row>
    <x:row r="821" spans="35:36" ht="13.19999999999999928946">
      <x:c r="AI821" s="24"/>
      <x:c r="AJ821" s="24"/>
    </x:row>
    <x:row r="822" spans="35:36" ht="13.19999999999999928946">
      <x:c r="AI822" s="24"/>
      <x:c r="AJ822" s="24"/>
    </x:row>
    <x:row r="823" spans="35:36" ht="13.19999999999999928946">
      <x:c r="AI823" s="24"/>
      <x:c r="AJ823" s="24"/>
    </x:row>
    <x:row r="824" spans="35:36" ht="13.19999999999999928946">
      <x:c r="AI824" s="24"/>
      <x:c r="AJ824" s="24"/>
    </x:row>
    <x:row r="825" spans="35:36" ht="13.19999999999999928946">
      <x:c r="AI825" s="24"/>
      <x:c r="AJ825" s="24"/>
    </x:row>
    <x:row r="826" spans="35:36" ht="13.19999999999999928946">
      <x:c r="AI826" s="24"/>
      <x:c r="AJ826" s="24"/>
    </x:row>
    <x:row r="827" spans="35:36" ht="13.19999999999999928946">
      <x:c r="AI827" s="24"/>
      <x:c r="AJ827" s="24"/>
    </x:row>
    <x:row r="828" spans="35:36" ht="13.19999999999999928946">
      <x:c r="AI828" s="24"/>
      <x:c r="AJ828" s="24"/>
    </x:row>
    <x:row r="829" spans="35:36" ht="13.19999999999999928946">
      <x:c r="AI829" s="24"/>
      <x:c r="AJ829" s="24"/>
    </x:row>
    <x:row r="830" spans="35:36" ht="13.19999999999999928946">
      <x:c r="AI830" s="24"/>
      <x:c r="AJ830" s="24"/>
    </x:row>
    <x:row r="831" spans="35:36" ht="13.19999999999999928946">
      <x:c r="AI831" s="24"/>
      <x:c r="AJ831" s="24"/>
    </x:row>
    <x:row r="832" spans="35:36" ht="13.19999999999999928946">
      <x:c r="AI832" s="24"/>
      <x:c r="AJ832" s="24"/>
    </x:row>
    <x:row r="833" spans="35:36" ht="13.19999999999999928946">
      <x:c r="AI833" s="24"/>
      <x:c r="AJ833" s="24"/>
    </x:row>
    <x:row r="834" spans="35:36" ht="13.19999999999999928946">
      <x:c r="AI834" s="24"/>
      <x:c r="AJ834" s="24"/>
    </x:row>
    <x:row r="835" spans="35:36" ht="13.19999999999999928946">
      <x:c r="AI835" s="24"/>
      <x:c r="AJ835" s="24"/>
    </x:row>
    <x:row r="836" spans="35:36" ht="13.19999999999999928946">
      <x:c r="AI836" s="24"/>
      <x:c r="AJ836" s="24"/>
    </x:row>
    <x:row r="837" spans="35:36" ht="13.19999999999999928946">
      <x:c r="AI837" s="24"/>
      <x:c r="AJ837" s="24"/>
    </x:row>
    <x:row r="838" spans="35:36" ht="13.19999999999999928946">
      <x:c r="AI838" s="24"/>
      <x:c r="AJ838" s="24"/>
    </x:row>
    <x:row r="839" spans="35:36" ht="13.19999999999999928946">
      <x:c r="AI839" s="24"/>
      <x:c r="AJ839" s="24"/>
    </x:row>
    <x:row r="840" spans="35:36" ht="13.19999999999999928946">
      <x:c r="AI840" s="24"/>
      <x:c r="AJ840" s="24"/>
    </x:row>
    <x:row r="841" spans="35:36" ht="13.19999999999999928946">
      <x:c r="AI841" s="24"/>
      <x:c r="AJ841" s="24"/>
    </x:row>
    <x:row r="842" spans="35:36" ht="13.19999999999999928946">
      <x:c r="AI842" s="24"/>
      <x:c r="AJ842" s="24"/>
    </x:row>
    <x:row r="843" spans="35:36" ht="13.19999999999999928946">
      <x:c r="AI843" s="24"/>
      <x:c r="AJ843" s="24"/>
    </x:row>
    <x:row r="844" spans="35:36" ht="13.19999999999999928946">
      <x:c r="AI844" s="24"/>
      <x:c r="AJ844" s="24"/>
    </x:row>
    <x:row r="845" spans="35:36" ht="13.19999999999999928946">
      <x:c r="AI845" s="24"/>
      <x:c r="AJ845" s="24"/>
    </x:row>
    <x:row r="846" spans="35:36" ht="13.19999999999999928946">
      <x:c r="AI846" s="24"/>
      <x:c r="AJ846" s="24"/>
    </x:row>
    <x:row r="847" spans="35:36" ht="13.19999999999999928946">
      <x:c r="AI847" s="24"/>
      <x:c r="AJ847" s="24"/>
    </x:row>
    <x:row r="848" spans="35:36" ht="13.19999999999999928946">
      <x:c r="AI848" s="24"/>
      <x:c r="AJ848" s="24"/>
    </x:row>
    <x:row r="849" spans="35:36" ht="13.19999999999999928946">
      <x:c r="AI849" s="24"/>
      <x:c r="AJ849" s="24"/>
    </x:row>
    <x:row r="850" spans="35:36" ht="13.19999999999999928946">
      <x:c r="AI850" s="24"/>
      <x:c r="AJ850" s="24"/>
    </x:row>
    <x:row r="851" spans="35:36" ht="13.19999999999999928946">
      <x:c r="AI851" s="24"/>
      <x:c r="AJ851" s="24"/>
    </x:row>
    <x:row r="852" spans="35:36" ht="13.19999999999999928946">
      <x:c r="AI852" s="24"/>
      <x:c r="AJ852" s="24"/>
    </x:row>
    <x:row r="853" spans="35:36" ht="13.19999999999999928946">
      <x:c r="AI853" s="24"/>
      <x:c r="AJ853" s="24"/>
    </x:row>
    <x:row r="854" spans="35:36" ht="13.19999999999999928946">
      <x:c r="AI854" s="24"/>
      <x:c r="AJ854" s="24"/>
    </x:row>
    <x:row r="855" spans="35:36" ht="13.19999999999999928946">
      <x:c r="AI855" s="24"/>
      <x:c r="AJ855" s="24"/>
    </x:row>
    <x:row r="856" spans="35:36" ht="13.19999999999999928946">
      <x:c r="AI856" s="24"/>
      <x:c r="AJ856" s="24"/>
    </x:row>
    <x:row r="857" spans="35:36" ht="13.19999999999999928946">
      <x:c r="AI857" s="24"/>
      <x:c r="AJ857" s="24"/>
    </x:row>
    <x:row r="858" spans="35:36" ht="13.19999999999999928946">
      <x:c r="AI858" s="24"/>
      <x:c r="AJ858" s="24"/>
    </x:row>
    <x:row r="859" spans="35:36" ht="13.19999999999999928946">
      <x:c r="AI859" s="24"/>
      <x:c r="AJ859" s="24"/>
    </x:row>
    <x:row r="860" spans="35:36" ht="13.19999999999999928946">
      <x:c r="AI860" s="24"/>
      <x:c r="AJ860" s="24"/>
    </x:row>
    <x:row r="861" spans="35:36" ht="13.19999999999999928946">
      <x:c r="AI861" s="24"/>
      <x:c r="AJ861" s="24"/>
    </x:row>
    <x:row r="862" spans="35:36" ht="13.19999999999999928946">
      <x:c r="AI862" s="24"/>
      <x:c r="AJ862" s="24"/>
    </x:row>
    <x:row r="863" spans="35:36" ht="13.19999999999999928946">
      <x:c r="AI863" s="24"/>
      <x:c r="AJ863" s="24"/>
    </x:row>
    <x:row r="864" spans="35:36" ht="13.19999999999999928946">
      <x:c r="AI864" s="24"/>
      <x:c r="AJ864" s="24"/>
    </x:row>
    <x:row r="865" spans="35:36" ht="13.19999999999999928946">
      <x:c r="AI865" s="24"/>
      <x:c r="AJ865" s="24"/>
    </x:row>
    <x:row r="866" spans="35:36" ht="13.19999999999999928946">
      <x:c r="AI866" s="24"/>
      <x:c r="AJ866" s="24"/>
    </x:row>
    <x:row r="867" spans="35:36" ht="13.19999999999999928946">
      <x:c r="AI867" s="24"/>
      <x:c r="AJ867" s="24"/>
    </x:row>
    <x:row r="868" spans="35:36" ht="13.19999999999999928946">
      <x:c r="AI868" s="24"/>
      <x:c r="AJ868" s="24"/>
    </x:row>
    <x:row r="869" spans="35:36" ht="13.19999999999999928946">
      <x:c r="AI869" s="24"/>
      <x:c r="AJ869" s="24"/>
    </x:row>
    <x:row r="870" spans="35:36" ht="13.19999999999999928946">
      <x:c r="AI870" s="24"/>
      <x:c r="AJ870" s="24"/>
    </x:row>
    <x:row r="871" spans="35:36" ht="13.19999999999999928946">
      <x:c r="AI871" s="24"/>
      <x:c r="AJ871" s="24"/>
    </x:row>
    <x:row r="872" spans="35:36" ht="13.19999999999999928946">
      <x:c r="AI872" s="24"/>
      <x:c r="AJ872" s="24"/>
    </x:row>
    <x:row r="873" spans="35:36" ht="13.19999999999999928946">
      <x:c r="AI873" s="24"/>
      <x:c r="AJ873" s="24"/>
    </x:row>
    <x:row r="874" spans="35:36" ht="13.19999999999999928946">
      <x:c r="AI874" s="24"/>
      <x:c r="AJ874" s="24"/>
    </x:row>
    <x:row r="875" spans="35:36" ht="13.19999999999999928946">
      <x:c r="AI875" s="24"/>
      <x:c r="AJ875" s="24"/>
    </x:row>
    <x:row r="876" spans="35:36" ht="13.19999999999999928946">
      <x:c r="AI876" s="24"/>
      <x:c r="AJ876" s="24"/>
    </x:row>
    <x:row r="877" spans="35:36" ht="13.19999999999999928946">
      <x:c r="AI877" s="24"/>
      <x:c r="AJ877" s="24"/>
    </x:row>
    <x:row r="878" spans="35:36" ht="13.19999999999999928946">
      <x:c r="AI878" s="24"/>
      <x:c r="AJ878" s="24"/>
    </x:row>
    <x:row r="879" spans="35:36" ht="13.19999999999999928946">
      <x:c r="AI879" s="24"/>
      <x:c r="AJ879" s="24"/>
    </x:row>
    <x:row r="880" spans="35:36" ht="13.19999999999999928946">
      <x:c r="AI880" s="24"/>
      <x:c r="AJ880" s="24"/>
    </x:row>
    <x:row r="881" spans="35:36" ht="13.19999999999999928946">
      <x:c r="AI881" s="24"/>
      <x:c r="AJ881" s="24"/>
    </x:row>
    <x:row r="882" spans="35:36" ht="13.19999999999999928946">
      <x:c r="AI882" s="24"/>
      <x:c r="AJ882" s="24"/>
    </x:row>
    <x:row r="883" spans="35:36" ht="13.19999999999999928946">
      <x:c r="AI883" s="24"/>
      <x:c r="AJ883" s="24"/>
    </x:row>
    <x:row r="884" spans="35:36" ht="13.19999999999999928946">
      <x:c r="AI884" s="24"/>
      <x:c r="AJ884" s="24"/>
    </x:row>
    <x:row r="885" spans="35:36" ht="13.19999999999999928946">
      <x:c r="AI885" s="24"/>
      <x:c r="AJ885" s="24"/>
    </x:row>
    <x:row r="886" spans="35:36" ht="13.19999999999999928946">
      <x:c r="AI886" s="24"/>
      <x:c r="AJ886" s="24"/>
    </x:row>
    <x:row r="887" spans="35:36" ht="13.19999999999999928946">
      <x:c r="AI887" s="24"/>
      <x:c r="AJ887" s="24"/>
    </x:row>
    <x:row r="888" spans="35:36" ht="13.19999999999999928946">
      <x:c r="AI888" s="24"/>
      <x:c r="AJ888" s="24"/>
    </x:row>
    <x:row r="889" spans="35:36" ht="13.19999999999999928946">
      <x:c r="AI889" s="24"/>
      <x:c r="AJ889" s="24"/>
    </x:row>
    <x:row r="890" spans="35:36" ht="13.19999999999999928946">
      <x:c r="AI890" s="24"/>
      <x:c r="AJ890" s="24"/>
    </x:row>
    <x:row r="891" spans="35:36" ht="13.19999999999999928946">
      <x:c r="AI891" s="24"/>
      <x:c r="AJ891" s="24"/>
    </x:row>
    <x:row r="892" spans="35:36" ht="13.19999999999999928946">
      <x:c r="AI892" s="24"/>
      <x:c r="AJ892" s="24"/>
    </x:row>
    <x:row r="893" spans="35:36" ht="13.19999999999999928946">
      <x:c r="AI893" s="24"/>
      <x:c r="AJ893" s="24"/>
    </x:row>
    <x:row r="894" spans="35:36" ht="13.19999999999999928946">
      <x:c r="AI894" s="24"/>
      <x:c r="AJ894" s="24"/>
    </x:row>
    <x:row r="895" spans="35:36" ht="13.19999999999999928946">
      <x:c r="AI895" s="24"/>
      <x:c r="AJ895" s="24"/>
    </x:row>
    <x:row r="896" spans="35:36" ht="13.19999999999999928946">
      <x:c r="AI896" s="24"/>
      <x:c r="AJ896" s="24"/>
    </x:row>
    <x:row r="897" spans="35:36" ht="13.19999999999999928946">
      <x:c r="AI897" s="24"/>
      <x:c r="AJ897" s="24"/>
    </x:row>
    <x:row r="898" spans="35:36" ht="13.19999999999999928946">
      <x:c r="AI898" s="24"/>
      <x:c r="AJ898" s="24"/>
    </x:row>
    <x:row r="899" spans="35:36" ht="13.19999999999999928946">
      <x:c r="AI899" s="24"/>
      <x:c r="AJ899" s="24"/>
    </x:row>
    <x:row r="900" spans="35:36" ht="13.19999999999999928946">
      <x:c r="AI900" s="24"/>
      <x:c r="AJ900" s="24"/>
    </x:row>
    <x:row r="901" spans="35:36" ht="13.19999999999999928946">
      <x:c r="AI901" s="24"/>
      <x:c r="AJ901" s="24"/>
    </x:row>
    <x:row r="902" spans="35:36" ht="13.19999999999999928946">
      <x:c r="AI902" s="24"/>
      <x:c r="AJ902" s="24"/>
    </x:row>
    <x:row r="903" spans="35:36" ht="13.19999999999999928946">
      <x:c r="AI903" s="24"/>
      <x:c r="AJ903" s="24"/>
    </x:row>
    <x:row r="904" spans="35:36" ht="13.19999999999999928946">
      <x:c r="AI904" s="24"/>
      <x:c r="AJ904" s="24"/>
    </x:row>
    <x:row r="905" spans="35:36" ht="13.19999999999999928946">
      <x:c r="AI905" s="24"/>
      <x:c r="AJ905" s="24"/>
    </x:row>
    <x:row r="906" spans="35:36" ht="13.19999999999999928946">
      <x:c r="AI906" s="24"/>
      <x:c r="AJ906" s="24"/>
    </x:row>
    <x:row r="907" spans="35:36" ht="13.19999999999999928946">
      <x:c r="AI907" s="24"/>
      <x:c r="AJ907" s="24"/>
    </x:row>
    <x:row r="908" spans="35:36" ht="13.19999999999999928946">
      <x:c r="AI908" s="24"/>
      <x:c r="AJ908" s="24"/>
    </x:row>
    <x:row r="909" spans="35:36" ht="13.19999999999999928946">
      <x:c r="AI909" s="24"/>
      <x:c r="AJ909" s="24"/>
    </x:row>
    <x:row r="910" spans="35:36" ht="13.19999999999999928946">
      <x:c r="AI910" s="24"/>
      <x:c r="AJ910" s="24"/>
    </x:row>
    <x:row r="911" spans="35:36" ht="13.19999999999999928946">
      <x:c r="AI911" s="24"/>
      <x:c r="AJ911" s="24"/>
    </x:row>
    <x:row r="912" spans="35:36" ht="13.19999999999999928946">
      <x:c r="AI912" s="24"/>
      <x:c r="AJ912" s="24"/>
    </x:row>
    <x:row r="913" spans="35:36" ht="13.19999999999999928946">
      <x:c r="AI913" s="24"/>
      <x:c r="AJ913" s="24"/>
    </x:row>
    <x:row r="914" spans="35:36" ht="13.19999999999999928946">
      <x:c r="AI914" s="24"/>
      <x:c r="AJ914" s="24"/>
    </x:row>
    <x:row r="915" spans="35:36" ht="13.19999999999999928946">
      <x:c r="AI915" s="24"/>
      <x:c r="AJ915" s="24"/>
    </x:row>
    <x:row r="916" spans="35:36" ht="13.19999999999999928946">
      <x:c r="AI916" s="24"/>
      <x:c r="AJ916" s="24"/>
    </x:row>
    <x:row r="917" spans="35:36" ht="13.19999999999999928946">
      <x:c r="AI917" s="24"/>
      <x:c r="AJ917" s="24"/>
    </x:row>
    <x:row r="918" spans="35:36" ht="13.19999999999999928946">
      <x:c r="AI918" s="24"/>
      <x:c r="AJ918" s="24"/>
    </x:row>
    <x:row r="919" spans="35:36" ht="13.19999999999999928946">
      <x:c r="AI919" s="24"/>
      <x:c r="AJ919" s="24"/>
    </x:row>
    <x:row r="920" spans="35:36" ht="13.19999999999999928946">
      <x:c r="AI920" s="24"/>
      <x:c r="AJ920" s="24"/>
    </x:row>
    <x:row r="921" spans="35:36" ht="13.19999999999999928946">
      <x:c r="AI921" s="24"/>
      <x:c r="AJ921" s="24"/>
    </x:row>
    <x:row r="922" spans="35:36" ht="13.19999999999999928946">
      <x:c r="AI922" s="24"/>
      <x:c r="AJ922" s="24"/>
    </x:row>
    <x:row r="923" spans="35:36" ht="13.19999999999999928946">
      <x:c r="AI923" s="24"/>
      <x:c r="AJ923" s="24"/>
    </x:row>
    <x:row r="924" spans="35:36" ht="13.19999999999999928946">
      <x:c r="AI924" s="24"/>
      <x:c r="AJ924" s="24"/>
    </x:row>
    <x:row r="925" spans="35:36" ht="13.19999999999999928946">
      <x:c r="AI925" s="24"/>
      <x:c r="AJ925" s="24"/>
    </x:row>
    <x:row r="926" spans="35:36" ht="13.19999999999999928946">
      <x:c r="AI926" s="24"/>
      <x:c r="AJ926" s="24"/>
    </x:row>
    <x:row r="927" spans="35:36" ht="13.19999999999999928946">
      <x:c r="AI927" s="24"/>
      <x:c r="AJ927" s="24"/>
    </x:row>
    <x:row r="928" spans="35:36" ht="13.19999999999999928946">
      <x:c r="AI928" s="24"/>
      <x:c r="AJ928" s="24"/>
    </x:row>
    <x:row r="929" spans="35:36" ht="13.19999999999999928946">
      <x:c r="AI929" s="24"/>
      <x:c r="AJ929" s="24"/>
    </x:row>
    <x:row r="930" spans="35:36" ht="13.19999999999999928946">
      <x:c r="AI930" s="24"/>
      <x:c r="AJ930" s="24"/>
    </x:row>
    <x:row r="931" spans="35:36" ht="13.19999999999999928946">
      <x:c r="AI931" s="24"/>
      <x:c r="AJ931" s="24"/>
    </x:row>
    <x:row r="932" spans="35:36" ht="13.19999999999999928946">
      <x:c r="AI932" s="24"/>
      <x:c r="AJ932" s="24"/>
    </x:row>
    <x:row r="933" spans="35:36" ht="13.19999999999999928946">
      <x:c r="AI933" s="24"/>
      <x:c r="AJ933" s="24"/>
    </x:row>
    <x:row r="934" spans="35:36" ht="13.19999999999999928946">
      <x:c r="AI934" s="24"/>
      <x:c r="AJ934" s="24"/>
    </x:row>
    <x:row r="935" spans="35:36" ht="13.19999999999999928946">
      <x:c r="AI935" s="24"/>
      <x:c r="AJ935" s="24"/>
    </x:row>
    <x:row r="936" spans="35:36" ht="13.19999999999999928946">
      <x:c r="AI936" s="24"/>
      <x:c r="AJ936" s="24"/>
    </x:row>
    <x:row r="937" spans="35:36" ht="13.19999999999999928946">
      <x:c r="AI937" s="24"/>
      <x:c r="AJ937" s="24"/>
    </x:row>
    <x:row r="938" spans="35:36" ht="13.19999999999999928946">
      <x:c r="AI938" s="24"/>
      <x:c r="AJ938" s="24"/>
    </x:row>
    <x:row r="939" spans="35:36" ht="13.19999999999999928946">
      <x:c r="AI939" s="24"/>
      <x:c r="AJ939" s="24"/>
    </x:row>
    <x:row r="940" spans="35:36" ht="13.19999999999999928946">
      <x:c r="AI940" s="24"/>
      <x:c r="AJ940" s="24"/>
    </x:row>
    <x:row r="941" spans="35:36" ht="13.19999999999999928946">
      <x:c r="AI941" s="24"/>
      <x:c r="AJ941" s="24"/>
    </x:row>
    <x:row r="942" spans="35:36" ht="13.19999999999999928946">
      <x:c r="AI942" s="24"/>
      <x:c r="AJ942" s="24"/>
    </x:row>
    <x:row r="943" spans="35:36" ht="13.19999999999999928946">
      <x:c r="AI943" s="24"/>
      <x:c r="AJ943" s="24"/>
    </x:row>
    <x:row r="944" spans="35:36" ht="13.19999999999999928946">
      <x:c r="AI944" s="24"/>
      <x:c r="AJ944" s="24"/>
    </x:row>
    <x:row r="945" spans="35:36" ht="13.19999999999999928946">
      <x:c r="AI945" s="24"/>
      <x:c r="AJ945" s="24"/>
    </x:row>
    <x:row r="946" spans="35:36" ht="13.19999999999999928946">
      <x:c r="AI946" s="24"/>
      <x:c r="AJ946" s="24"/>
    </x:row>
    <x:row r="947" spans="35:36" ht="13.19999999999999928946">
      <x:c r="AI947" s="24"/>
      <x:c r="AJ947" s="24"/>
    </x:row>
    <x:row r="948" spans="35:36" ht="13.19999999999999928946">
      <x:c r="AI948" s="24"/>
      <x:c r="AJ948" s="24"/>
    </x:row>
    <x:row r="949" spans="35:36" ht="13.19999999999999928946">
      <x:c r="AI949" s="24"/>
      <x:c r="AJ949" s="24"/>
    </x:row>
    <x:row r="950" spans="35:36" ht="13.19999999999999928946">
      <x:c r="AI950" s="24"/>
      <x:c r="AJ950" s="24"/>
    </x:row>
    <x:row r="951" spans="35:36" ht="13.19999999999999928946">
      <x:c r="AI951" s="24"/>
      <x:c r="AJ951" s="24"/>
    </x:row>
    <x:row r="952" spans="35:36" ht="13.19999999999999928946">
      <x:c r="AI952" s="24"/>
      <x:c r="AJ952" s="24"/>
    </x:row>
    <x:row r="953" spans="35:36" ht="13.19999999999999928946">
      <x:c r="AI953" s="24"/>
      <x:c r="AJ953" s="24"/>
    </x:row>
  </x:sheetData>
  <x:mergeCells count="25">
    <x:mergeCell ref="A1:A3"/>
    <x:mergeCell ref="B1:B3"/>
    <x:mergeCell ref="C1:C3"/>
    <x:mergeCell ref="D1:D3"/>
    <x:mergeCell ref="E1:E3"/>
    <x:mergeCell ref="F1:F3"/>
    <x:mergeCell ref="G1:G3"/>
    <x:mergeCell ref="H1:J1"/>
    <x:mergeCell ref="K1:K3"/>
    <x:mergeCell ref="L1:N1"/>
    <x:mergeCell ref="O1:W1"/>
    <x:mergeCell ref="X1:Y2"/>
    <x:mergeCell ref="Z1:AH1"/>
    <x:mergeCell ref="AI1:AI3"/>
    <x:mergeCell ref="AJ1:AJ3"/>
    <x:mergeCell ref="I2:J2"/>
    <x:mergeCell ref="L2:L3"/>
    <x:mergeCell ref="M2:M3"/>
    <x:mergeCell ref="N2:N3"/>
    <x:mergeCell ref="O2:Q2"/>
    <x:mergeCell ref="R2:T2"/>
    <x:mergeCell ref="U2:W2"/>
    <x:mergeCell ref="Z2:AB2"/>
    <x:mergeCell ref="AC2:AE2"/>
    <x:mergeCell ref="AF2:AH2"/>
  </x:mergeCells>
  <x:dataValidations count="1">
    <x:dataValidation type="list" allowBlank="1" showErrorMessage="1" sqref="AJ4:AJ103">
      <x:formula1>"완료,미흡"</x:formula1>
    </x:dataValidation>
  </x:dataValidation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AC1000"/>
  <x:sheetViews>
    <x:sheetView topLeftCell="A1" zoomScale="60" zoomScaleNormal="60" zoomScaleSheetLayoutView="60" workbookViewId="0">
      <x:pane xSplit="13" ySplit="3" topLeftCell="N4" activePane="bottomRight" state="frozen"/>
      <x:selection pane="bottomRight" activeCell="AB4" activeCellId="0" sqref="AB4:AC4"/>
    </x:sheetView>
  </x:sheetViews>
  <x:sheetFormatPr defaultColWidth="12.62890625" defaultRowHeight="15.75" customHeight="1" zeroHeight="1"/>
  <x:cols>
    <x:col min="1" max="2" width="7" style="47" customWidth="1"/>
    <x:col min="3" max="4" width="6.75" style="46" customWidth="1"/>
    <x:col min="5" max="5" width="23.87890625" style="47" customWidth="1"/>
    <x:col min="6" max="6" width="13.37890625" style="47" customWidth="1"/>
    <x:col min="7" max="7" width="5.5" style="47" customWidth="1"/>
    <x:col min="8" max="8" width="8.12890625" style="47" customWidth="1"/>
    <x:col min="9" max="9" width="5.12890625" style="47" customWidth="1"/>
    <x:col min="10" max="10" width="11.25" style="47" customWidth="1"/>
    <x:col min="11" max="11" width="12.12890625" style="47" customWidth="1"/>
    <x:col min="12" max="12" width="12.62890625" style="47"/>
    <x:col min="13" max="13" width="7.37890625" style="47" customWidth="1"/>
    <x:col min="14" max="14" width="15.62890625" style="47" customWidth="1"/>
    <x:col min="15" max="15" width="12.62890625" style="47"/>
    <x:col min="16" max="16" width="12.62890625" style="47" customWidth="1"/>
    <x:col min="17" max="17" width="12.62890625" style="47"/>
    <x:col min="18" max="18" width="23.5703125" style="47" customWidth="1"/>
    <x:col min="19" max="19" width="12.62890625" style="47"/>
    <x:col min="20" max="20" width="12.62890625" style="47" customWidth="1"/>
    <x:col min="21" max="21" width="12.62890625" style="47"/>
    <x:col min="22" max="22" width="48.5" style="47" customWidth="1"/>
    <x:col min="23" max="23" width="41.5" style="47" customWidth="1"/>
    <x:col min="24" max="25" width="12.62890625" style="46"/>
    <x:col min="26" max="26" width="50.75" style="46" customWidth="1"/>
    <x:col min="27" max="16384" width="12.62890625" style="47"/>
  </x:cols>
  <x:sheetData>
    <x:row r="1" spans="1:26" customFormat="1" ht="16.39999999999999857891" customHeight="1">
      <x:c r="A1" s="51" t="s">
        <x:v>101</x:v>
      </x:c>
      <x:c r="B1" s="65" t="s">
        <x:v>183</x:v>
      </x:c>
      <x:c r="C1" s="71" t="s">
        <x:v>685</x:v>
      </x:c>
      <x:c r="D1" s="72"/>
      <x:c r="E1" s="51" t="s">
        <x:v>39</x:v>
      </x:c>
      <x:c r="F1" s="51" t="s">
        <x:v>665</x:v>
      </x:c>
      <x:c r="G1" s="51" t="s">
        <x:v>34</x:v>
      </x:c>
      <x:c r="H1" s="51" t="s">
        <x:v>35</x:v>
      </x:c>
      <x:c r="I1" s="51" t="s">
        <x:v>29</x:v>
      </x:c>
      <x:c r="J1" s="51" t="s">
        <x:v>667</x:v>
      </x:c>
      <x:c r="K1" s="56" t="s">
        <x:v>533</x:v>
      </x:c>
      <x:c r="L1" s="57"/>
      <x:c r="M1" s="55"/>
      <x:c r="N1" s="54" t="s">
        <x:v>659</x:v>
      </x:c>
      <x:c r="O1" s="57"/>
      <x:c r="P1" s="54"/>
      <x:c r="Q1" s="55"/>
      <x:c r="R1" s="58" t="s">
        <x:v>38</x:v>
      </x:c>
      <x:c r="S1" s="57"/>
      <x:c r="T1" s="58"/>
      <x:c r="U1" s="57"/>
      <x:c r="V1" s="63" t="s">
        <x:v>678</x:v>
      </x:c>
      <x:c r="W1" s="64" t="s">
        <x:v>673</x:v>
      </x:c>
      <x:c r="X1" s="59" t="s">
        <x:v>33</x:v>
      </x:c>
      <x:c r="Y1" s="60"/>
      <x:c r="Z1" s="51" t="s">
        <x:v>45</x:v>
      </x:c>
    </x:row>
    <x:row r="2" spans="1:26" customFormat="1" ht="16.39999999999999857891" customHeight="1">
      <x:c r="A2" s="52"/>
      <x:c r="B2" s="70"/>
      <x:c r="C2" s="73" t="s">
        <x:v>41</x:v>
      </x:c>
      <x:c r="D2" s="75" t="s">
        <x:v>44</x:v>
      </x:c>
      <x:c r="E2" s="52"/>
      <x:c r="F2" s="52"/>
      <x:c r="G2" s="52"/>
      <x:c r="H2" s="52"/>
      <x:c r="I2" s="52"/>
      <x:c r="J2" s="52"/>
      <x:c r="K2" s="1" t="s">
        <x:v>661</x:v>
      </x:c>
      <x:c r="L2" s="56" t="s">
        <x:v>660</x:v>
      </x:c>
      <x:c r="M2" s="55"/>
      <x:c r="N2" s="51" t="s">
        <x:v>37</x:v>
      </x:c>
      <x:c r="O2" s="51" t="s">
        <x:v>680</x:v>
      </x:c>
      <x:c r="P2" s="65" t="s">
        <x:v>681</x:v>
      </x:c>
      <x:c r="Q2" s="51" t="s">
        <x:v>675</x:v>
      </x:c>
      <x:c r="R2" s="77" t="s">
        <x:v>37</x:v>
      </x:c>
      <x:c r="S2" s="79" t="s">
        <x:v>680</x:v>
      </x:c>
      <x:c r="T2" s="81" t="s">
        <x:v>681</x:v>
      </x:c>
      <x:c r="U2" s="83" t="s">
        <x:v>675</x:v>
      </x:c>
      <x:c r="V2" s="52"/>
      <x:c r="W2" s="52"/>
      <x:c r="X2" s="61"/>
      <x:c r="Y2" s="62"/>
      <x:c r="Z2" s="52"/>
    </x:row>
    <x:row r="3" spans="1:26" customFormat="1" ht="15.84999999999999964473">
      <x:c r="A3" s="53"/>
      <x:c r="B3" s="66"/>
      <x:c r="C3" s="74"/>
      <x:c r="D3" s="76"/>
      <x:c r="E3" s="53"/>
      <x:c r="F3" s="53"/>
      <x:c r="G3" s="53"/>
      <x:c r="H3" s="53"/>
      <x:c r="I3" s="53"/>
      <x:c r="J3" s="53"/>
      <x:c r="K3" s="1" t="s">
        <x:v>31</x:v>
      </x:c>
      <x:c r="L3" s="1" t="s">
        <x:v>31</x:v>
      </x:c>
      <x:c r="M3" s="1" t="s">
        <x:v>71</x:v>
      </x:c>
      <x:c r="N3" s="53"/>
      <x:c r="O3" s="53"/>
      <x:c r="P3" s="66"/>
      <x:c r="Q3" s="53"/>
      <x:c r="R3" s="78"/>
      <x:c r="S3" s="80"/>
      <x:c r="T3" s="82"/>
      <x:c r="U3" s="84"/>
      <x:c r="V3" s="53"/>
      <x:c r="W3" s="53"/>
      <x:c r="X3" s="1" t="s">
        <x:v>67</x:v>
      </x:c>
      <x:c r="Y3" s="1" t="s">
        <x:v>679</x:v>
      </x:c>
      <x:c r="Z3" s="53"/>
    </x:row>
    <x:row r="4" spans="1:29" customFormat="1" ht="79.04999999999999715783">
      <x:c r="A4" s="3">
        <x:f>초입!A4</x:f>
        <x:v>1</x:v>
      </x:c>
      <x:c r="B4" s="3" t="s">
        <x:v>194</x:v>
      </x:c>
      <x:c r="C4" s="3" t="str">
        <x:f>IF(초입!H4&lt;&gt;"","O","")</x:f>
        <x:v/>
      </x:c>
      <x:c r="D4" s="3" t="str">
        <x:f>IF(초입!I4&lt;&gt;"","O","")</x:f>
        <x:v>O</x:v>
      </x:c>
      <x:c r="E4" s="3" t="str">
        <x:f>초입!B4</x:f>
        <x:v>시립동구어린이집</x:v>
      </x:c>
      <x:c r="F4" s="4" t="str">
        <x:f>IF(초입!C4="","",초입!C4)</x:f>
        <x:v/>
      </x:c>
      <x:c r="G4" s="3">
        <x:f>IF(초입!D4="","",초입!D4)</x:f>
        <x:v>3</x:v>
      </x:c>
      <x:c r="H4" s="3" t="str">
        <x:f>IF(초입!E4="","",초입!E4)</x:f>
        <x:v>김연성</x:v>
      </x:c>
      <x:c r="I4" s="3" t="str">
        <x:f>IF(초입!F4="","",초입!F4)</x:f>
        <x:v>남</x:v>
      </x:c>
      <x:c r="J4" s="3" t="str">
        <x:f>IF(초입!G4="","",초입!G4)</x:f>
        <x:v>2020.02.25.</x:v>
      </x:c>
      <x:c r="K4" s="3" t="str">
        <x:f>IF(초입!J4="","",초입!J4)</x:f>
        <x:v>의사소통장애
(지적장애 범주)</x:v>
      </x:c>
      <x:c r="L4" s="3" t="str">
        <x:f>IF(초입!K4="","",초입!K4)</x:f>
        <x:v/>
      </x:c>
      <x:c r="M4" s="3" t="str">
        <x:f>IF(초입!L4="","",초입!L4)</x:f>
        <x:v/>
      </x:c>
      <x:c r="N4" s="3" t="str">
        <x:f>IF(초입!N4="","",초입!N4)</x:f>
        <x:v>구리초등학교</x:v>
      </x:c>
      <x:c r="O4" s="3" t="str">
        <x:f>IF(초입!O4="","",초입!O4)</x:f>
        <x:v>특수학급</x:v>
      </x:c>
      <x:c r="P4" s="3" t="str">
        <x:f>IF(초입!P4="","",초입!P4)</x:f>
        <x:v/>
      </x:c>
      <x:c r="Q4" s="3">
        <x:f>IF(초입!Q4="","",초입!Q4)</x:f>
        <x:v>0.10000000000000001</x:v>
      </x:c>
      <x:c r="R4" s="3" t="str">
        <x:f>IF(초입!R4="","","1. "&amp;초입!R4&amp;IF(초입!V4&lt;&gt;"",CHAR(10)&amp;"2. "&amp;초입!V4,"")&amp;IF(초입!Z4&lt;&gt;"",CHAR(10)&amp;"3. "&amp;초입!Z4,""))</x:f>
        <x:v>1. 구리초등학교
2. 구지초등학교
3. 동구초등학교</x:v>
      </x:c>
      <x:c r="S4" s="3" t="str">
        <x:f>IF(초입!S4="","",""&amp;초입!S4&amp;IF(초입!W4&lt;&gt;"",CHAR(10)&amp;""&amp;초입!W4,"")&amp;IF(초입!AA4&lt;&gt;"",CHAR(10)&amp;""&amp;초입!AA4,""))</x:f>
        <x:v>특수학급
특수학급
특수학급</x:v>
      </x:c>
      <x:c r="T4" s="3" t="str">
        <x:f>IF(초입!T4="","",""&amp;초입!T4&amp;IF(초입!X4&lt;&gt;"",CHAR(10)&amp;""&amp;초입!X4,"")&amp;IF(초입!AB4&lt;&gt;"",CHAR(10)&amp;""&amp;초입!AB4,""))</x:f>
        <x:v/>
      </x:c>
      <x:c r="U4" s="3" t="str">
        <x:f>IF(초입!U4="","",""&amp;초입!U4&amp;IF(초입!Y4&lt;&gt;"",CHAR(10)&amp;""&amp;초입!Y4,"")&amp;IF(초입!AC4&lt;&gt;"",CHAR(10)&amp;""&amp;초입!AC4,""))</x:f>
        <x:v>0.1
1.2
1.4</x:v>
      </x:c>
      <x:c r="V4" s="3" t="str">
        <x:f>IF(초입!AO4="","",초입!AO4)</x:f>
        <x:v>※심리평가보고서(2026.3.12.)
□ K-WPPSI-Ⅳ: 전체IQ 53(언어이해 50, 시공간 79, 유동추론 66, 작업기억 61, 처리속도 64/매우 낮음)
□ 사회성숙도: SA 4세7개월, SQ 78.33(경계선)
□ CARS: 22.5점
□ 적응행동검사: 표준점수 70(저조한 수준)</x:v>
      </x:c>
      <x:c r="W4" s="3" t="str">
        <x:f>IF(초입!AP4="","",초입!AP4)</x:f>
        <x:v>*검사결과 지적장애 범주. 신규지만 지적장애로 유형변경</x:v>
      </x:c>
      <x:c r="X4" s="3" t="str">
        <x:f>IF(초입!AD4="","",초입!AD4)</x:f>
        <x:v>010-8865-6065</x:v>
      </x:c>
      <x:c r="Y4" s="3" t="str">
        <x:f>IF(초입!AE4="","",초입!AE4)</x:f>
        <x:v/>
      </x:c>
      <x:c r="Z4" s="3" t="str">
        <x:f>IF(초입!M4="","",초입!M4)</x:f>
        <x:v>경기도 구리시 경춘로276번길 21, 107동 1002호(구리역한양수자인)</x:v>
      </x:c>
      <x:c r="AA4" s="5"/>
      <x:c r="AB4" s="7"/>
      <x:c r="AC4" s="7"/>
    </x:row>
    <x:row r="5" spans="1:29" customFormat="1" ht="39.54999999999999715783">
      <x:c r="A5" s="3">
        <x:f>초입!A5</x:f>
        <x:v>2</x:v>
      </x:c>
      <x:c r="B5" s="3" t="s">
        <x:v>194</x:v>
      </x:c>
      <x:c r="C5" s="3" t="str">
        <x:f>IF(초입!H5&lt;&gt;"","O","")</x:f>
        <x:v/>
      </x:c>
      <x:c r="D5" s="3" t="str">
        <x:f>IF(초입!I5&lt;&gt;"","O","")</x:f>
        <x:v>O</x:v>
      </x:c>
      <x:c r="E5" s="3" t="str">
        <x:f>초입!B5</x:f>
        <x:v>없음</x:v>
      </x:c>
      <x:c r="F5" s="3" t="str">
        <x:f>IF(초입!C5="","",초입!C5)</x:f>
        <x:v/>
      </x:c>
      <x:c r="G5" s="3" t="str">
        <x:f>IF(초입!D5="","",초입!D5)</x:f>
        <x:v/>
      </x:c>
      <x:c r="H5" s="3" t="str">
        <x:f>IF(초입!E5="","",초입!E5)</x:f>
        <x:v>김주연</x:v>
      </x:c>
      <x:c r="I5" s="3" t="str">
        <x:f>IF(초입!F5="","",초입!F5)</x:f>
        <x:v>여</x:v>
      </x:c>
      <x:c r="J5" s="3" t="str">
        <x:f>IF(초입!G5="","",초입!G5)</x:f>
        <x:v>2020.10.10.</x:v>
      </x:c>
      <x:c r="K5" s="3" t="str">
        <x:f>IF(초입!J5="","",초입!J5)</x:f>
        <x:v>지적장애</x:v>
      </x:c>
      <x:c r="L5" s="3" t="str">
        <x:f>IF(초입!K5="","",초입!K5)</x:f>
        <x:v>지적·자폐성장애</x:v>
      </x:c>
      <x:c r="M5" s="3" t="str">
        <x:f>IF(초입!L5="","",초입!L5)</x:f>
        <x:v>중증</x:v>
      </x:c>
      <x:c r="N5" s="3" t="str">
        <x:f>IF(초입!N5="","",초입!N5)</x:f>
        <x:v>부양초등학교</x:v>
      </x:c>
      <x:c r="O5" s="3" t="str">
        <x:f>IF(초입!O5="","",초입!O5)</x:f>
        <x:v>특수학급</x:v>
      </x:c>
      <x:c r="P5" s="3" t="str">
        <x:f>IF(초입!P5="","",초입!P5)</x:f>
        <x:v/>
      </x:c>
      <x:c r="Q5" s="3">
        <x:f>IF(초입!Q5="","",초입!Q5)</x:f>
        <x:v>0.45400000000000001</x:v>
      </x:c>
      <x:c r="R5" s="3" t="str">
        <x:f>IF(초입!R5="","","1. "&amp;초입!R5&amp;IF(초입!V5&lt;&gt;"",CHAR(10)&amp;"2. "&amp;초입!V5,"")&amp;IF(초입!Z5&lt;&gt;"",CHAR(10)&amp;"3. "&amp;초입!Z5,""))</x:f>
        <x:v>1. 부양초등학교
2. 백문초등학교
3. 토평초등학교</x:v>
      </x:c>
      <x:c r="S5" s="3" t="str">
        <x:f>IF(초입!S5="","",""&amp;초입!S5&amp;IF(초입!W5&lt;&gt;"",CHAR(10)&amp;""&amp;초입!W5,"")&amp;IF(초입!AA5&lt;&gt;"",CHAR(10)&amp;""&amp;초입!AA5,""))</x:f>
        <x:v>특수학급
특수학급
특수학급</x:v>
      </x:c>
      <x:c r="T5" s="3" t="str">
        <x:f>IF(초입!T5="","",""&amp;초입!T5&amp;IF(초입!X5&lt;&gt;"",CHAR(10)&amp;""&amp;초입!X5,"")&amp;IF(초입!AB5&lt;&gt;"",CHAR(10)&amp;""&amp;초입!AB5,""))</x:f>
        <x:v/>
      </x:c>
      <x:c r="U5" s="3" t="str">
        <x:f>IF(초입!U5="","",""&amp;초입!U5&amp;IF(초입!Y5&lt;&gt;"",CHAR(10)&amp;""&amp;초입!Y5,"")&amp;IF(초입!AC5&lt;&gt;"",CHAR(10)&amp;""&amp;초입!AC5,""))</x:f>
        <x:v>0.454
1.2
1.2</x:v>
      </x:c>
      <x:c r="V5" s="3" t="str">
        <x:f>IF(초입!AO5="","",초입!AO5)</x:f>
        <x:v>□ 복지카드: 지적,자폐성장애 중증(~2032.03.02.)</x:v>
      </x:c>
      <x:c r="W5" s="3" t="str">
        <x:f>IF(초입!AP5="","",초입!AP5)</x:f>
        <x:v>7월30일 거주지 이전 / 대중교통 이용 / 현 주소 기준으로 거리 작성됨 / 자차기준 토평, 백문, 도림, 교문 모두 1.1~1.2km임 / 1순위 안되면 참고</x:v>
      </x:c>
      <x:c r="X5" s="3" t="str">
        <x:f>IF(초입!AD5="","",초입!AD5)</x:f>
        <x:v>010-8999-2232</x:v>
      </x:c>
      <x:c r="Y5" s="3" t="str">
        <x:f>IF(초입!AE5="","",초입!AE5)</x:f>
        <x:v/>
      </x:c>
      <x:c r="Z5" s="3" t="str">
        <x:f>IF(초입!M5="","",초입!M5)</x:f>
        <x:v>현: 경기도 구리시 건원대로 92, 115동 1405호(인창동 주공아파트)
이사: 경기도 구리시 수택동 444-6</x:v>
      </x:c>
      <x:c r="AA5" s="7"/>
      <x:c r="AB5" s="7"/>
      <x:c r="AC5" s="7"/>
    </x:row>
    <x:row r="6" spans="1:29" customFormat="1" ht="39.54999999999999715783">
      <x:c r="A6" s="3">
        <x:f>초입!A6</x:f>
        <x:v>3</x:v>
      </x:c>
      <x:c r="B6" s="3" t="s">
        <x:v>194</x:v>
      </x:c>
      <x:c r="C6" s="3" t="str">
        <x:f>IF(초입!H6&lt;&gt;"","O","")</x:f>
        <x:v/>
      </x:c>
      <x:c r="D6" s="3" t="str">
        <x:f>IF(초입!I6&lt;&gt;"","O","")</x:f>
        <x:v>O</x:v>
      </x:c>
      <x:c r="E6" s="3" t="str">
        <x:f>초입!B6</x:f>
        <x:v>하늘숲어린이집</x:v>
      </x:c>
      <x:c r="F6" s="3" t="str">
        <x:f>IF(초입!C6="","",초입!C6)</x:f>
        <x:v/>
      </x:c>
      <x:c r="G6" s="3">
        <x:f>IF(초입!D6="","",초입!D6)</x:f>
        <x:v>3</x:v>
      </x:c>
      <x:c r="H6" s="3" t="str">
        <x:f>IF(초입!E6="","",초입!E6)</x:f>
        <x:v>양서율</x:v>
      </x:c>
      <x:c r="I6" s="3" t="str">
        <x:f>IF(초입!F6="","",초입!F6)</x:f>
        <x:v>여</x:v>
      </x:c>
      <x:c r="J6" s="3" t="str">
        <x:f>IF(초입!G6="","",초입!G6)</x:f>
        <x:v>2020.01.26.</x:v>
      </x:c>
      <x:c r="K6" s="3" t="str">
        <x:f>IF(초입!J6="","",초입!J6)</x:f>
        <x:v>자폐성장애</x:v>
      </x:c>
      <x:c r="L6" s="3" t="str">
        <x:f>IF(초입!K6="","",초입!K6)</x:f>
        <x:v>자폐성장애</x:v>
      </x:c>
      <x:c r="M6" s="3" t="str">
        <x:f>IF(초입!L6="","",초입!L6)</x:f>
        <x:v>중증</x:v>
      </x:c>
      <x:c r="N6" s="3" t="str">
        <x:f>IF(초입!N6="","",초입!N6)</x:f>
        <x:v>오남초등학교</x:v>
      </x:c>
      <x:c r="O6" s="3" t="str">
        <x:f>IF(초입!O6="","",초입!O6)</x:f>
        <x:v>특수학급</x:v>
      </x:c>
      <x:c r="P6" s="3" t="str">
        <x:f>IF(초입!P6="","",초입!P6)</x:f>
        <x:v/>
      </x:c>
      <x:c r="Q6" s="3">
        <x:f>IF(초입!Q6="","",초입!Q6)</x:f>
        <x:v>1.3999999999999999</x:v>
      </x:c>
      <x:c r="R6" s="3" t="str">
        <x:f>IF(초입!R6="","","1. "&amp;초입!R6&amp;IF(초입!V6&lt;&gt;"",CHAR(10)&amp;"2. "&amp;초입!V6,"")&amp;IF(초입!Z6&lt;&gt;"",CHAR(10)&amp;"3. "&amp;초입!Z6,""))</x:f>
        <x:v>1. 오남초등학교
2. 남양주양지초등학교
3. 양오초등학교</x:v>
      </x:c>
      <x:c r="S6" s="3" t="str">
        <x:f>IF(초입!S6="","",""&amp;초입!S6&amp;IF(초입!W6&lt;&gt;"",CHAR(10)&amp;""&amp;초입!W6,"")&amp;IF(초입!AA6&lt;&gt;"",CHAR(10)&amp;""&amp;초입!AA6,""))</x:f>
        <x:v>특수학급
특수학급
특수학급</x:v>
      </x:c>
      <x:c r="T6" s="3" t="str">
        <x:f>IF(초입!T6="","",""&amp;초입!T6&amp;IF(초입!X6&lt;&gt;"",CHAR(10)&amp;""&amp;초입!X6,"")&amp;IF(초입!AB6&lt;&gt;"",CHAR(10)&amp;""&amp;초입!AB6,""))</x:f>
        <x:v/>
      </x:c>
      <x:c r="U6" s="3" t="str">
        <x:f>IF(초입!U6="","",""&amp;초입!U6&amp;IF(초입!Y6&lt;&gt;"",CHAR(10)&amp;""&amp;초입!Y6,"")&amp;IF(초입!AC6&lt;&gt;"",CHAR(10)&amp;""&amp;초입!AC6,""))</x:f>
        <x:v>1.4
1.2
1.8</x:v>
      </x:c>
      <x:c r="V6" s="3" t="str">
        <x:f>IF(초입!AO6="","",초입!AO6)</x:f>
        <x:v>□ 복지카드: 자폐성장애 중증(~2028.09.28.)</x:v>
      </x:c>
      <x:c r="W6" s="3" t="str">
        <x:f>IF(초입!AP6="","",초입!AP6)</x:f>
        <x:v/>
      </x:c>
      <x:c r="X6" s="3" t="str">
        <x:f>IF(초입!AD6="","",초입!AD6)</x:f>
        <x:v>010-2228-7151</x:v>
      </x:c>
      <x:c r="Y6" s="3" t="str">
        <x:f>IF(초입!AE6="","",초입!AE6)</x:f>
        <x:v/>
      </x:c>
      <x:c r="Z6" s="3" t="str">
        <x:f>IF(초입!M6="","",초입!M6)</x:f>
        <x:v>경기도 남양주시 오남읍 양지로46번길 130, 102동 503호</x:v>
      </x:c>
      <x:c r="AA6" s="7"/>
      <x:c r="AB6" s="7"/>
      <x:c r="AC6" s="7"/>
    </x:row>
    <x:row r="7" spans="1:29" customFormat="1" ht="39.54999999999999715783">
      <x:c r="A7" s="3">
        <x:f>초입!A7</x:f>
        <x:v>4</x:v>
      </x:c>
      <x:c r="B7" s="3" t="s">
        <x:v>194</x:v>
      </x:c>
      <x:c r="C7" s="3" t="str">
        <x:f>IF(초입!H7&lt;&gt;"","O","")</x:f>
        <x:v/>
      </x:c>
      <x:c r="D7" s="3" t="str">
        <x:f>IF(초입!I7&lt;&gt;"","O","")</x:f>
        <x:v>O</x:v>
      </x:c>
      <x:c r="E7" s="3" t="str">
        <x:f>초입!B7</x:f>
        <x:v>시립토평마을어린이집</x:v>
      </x:c>
      <x:c r="F7" s="3" t="str">
        <x:f>IF(초입!C7="","",초입!C7)</x:f>
        <x:v/>
      </x:c>
      <x:c r="G7" s="3">
        <x:f>IF(초입!D7="","",초입!D7)</x:f>
        <x:v>3</x:v>
      </x:c>
      <x:c r="H7" s="3" t="str">
        <x:f>IF(초입!E7="","",초입!E7)</x:f>
        <x:v>신주원</x:v>
      </x:c>
      <x:c r="I7" s="3" t="str">
        <x:f>IF(초입!F7="","",초입!F7)</x:f>
        <x:v>남</x:v>
      </x:c>
      <x:c r="J7" s="3" t="str">
        <x:f>IF(초입!G7="","",초입!G7)</x:f>
        <x:v>2020.08.16.</x:v>
      </x:c>
      <x:c r="K7" s="3" t="str">
        <x:f>IF(초입!J7="","",초입!J7)</x:f>
        <x:v>자폐성장애</x:v>
      </x:c>
      <x:c r="L7" s="3" t="str">
        <x:f>IF(초입!K7="","",초입!K7)</x:f>
        <x:v>자폐성장애</x:v>
      </x:c>
      <x:c r="M7" s="3" t="str">
        <x:f>IF(초입!L7="","",초입!L7)</x:f>
        <x:v>중증</x:v>
      </x:c>
      <x:c r="N7" s="3" t="str">
        <x:f>IF(초입!N7="","",초입!N7)</x:f>
        <x:v>부양초등학교</x:v>
      </x:c>
      <x:c r="O7" s="3" t="str">
        <x:f>IF(초입!O7="","",초입!O7)</x:f>
        <x:v>특수학급</x:v>
      </x:c>
      <x:c r="P7" s="3" t="str">
        <x:f>IF(초입!P7="","",초입!P7)</x:f>
        <x:v/>
      </x:c>
      <x:c r="Q7" s="3">
        <x:f>IF(초입!Q7="","",초입!Q7)</x:f>
        <x:v>0.45000000000000001</x:v>
      </x:c>
      <x:c r="R7" s="3" t="str">
        <x:f>IF(초입!R7="","","1. "&amp;초입!R7&amp;IF(초입!V7&lt;&gt;"",CHAR(10)&amp;"2. "&amp;초입!V7,"")&amp;IF(초입!Z7&lt;&gt;"",CHAR(10)&amp;"3. "&amp;초입!Z7,""))</x:f>
        <x:v>1. 부양초등학교
2. 수택초등학교
3. 교문초등학교</x:v>
      </x:c>
      <x:c r="S7" s="3" t="str">
        <x:f>IF(초입!S7="","",""&amp;초입!S7&amp;IF(초입!W7&lt;&gt;"",CHAR(10)&amp;""&amp;초입!W7,"")&amp;IF(초입!AA7&lt;&gt;"",CHAR(10)&amp;""&amp;초입!AA7,""))</x:f>
        <x:v>특수학급
특수학급
특수학급</x:v>
      </x:c>
      <x:c r="T7" s="3" t="str">
        <x:f>IF(초입!T7="","",""&amp;초입!T7&amp;IF(초입!X7&lt;&gt;"",CHAR(10)&amp;""&amp;초입!X7,"")&amp;IF(초입!AB7&lt;&gt;"",CHAR(10)&amp;""&amp;초입!AB7,""))</x:f>
        <x:v/>
      </x:c>
      <x:c r="U7" s="3" t="str">
        <x:f>IF(초입!U7="","",""&amp;초입!U7&amp;IF(초입!Y7&lt;&gt;"",CHAR(10)&amp;""&amp;초입!Y7,"")&amp;IF(초입!AC7&lt;&gt;"",CHAR(10)&amp;""&amp;초입!AC7,""))</x:f>
        <x:v>0.45
1.1
1.1</x:v>
      </x:c>
      <x:c r="V7" s="3" t="str">
        <x:f>IF(초입!AO7="","",초입!AO7)</x:f>
        <x:v>□ 복지카드: 자폐성장애 중증(~2032.01.14.)</x:v>
      </x:c>
      <x:c r="W7" s="3" t="str">
        <x:f>IF(초입!AP7="","",초입!AP7)</x:f>
        <x:v>도보 기준 작성함.
자동차기준, 교문1.2 / 토평1.1  / 수택 1.9</x:v>
      </x:c>
      <x:c r="X7" s="3" t="str">
        <x:f>IF(초입!AD7="","",초입!AD7)</x:f>
        <x:v>010-3003-1574</x:v>
      </x:c>
      <x:c r="Y7" s="3" t="str">
        <x:f>IF(초입!AE7="","",초입!AE7)</x:f>
        <x:v/>
      </x:c>
      <x:c r="Z7" s="3" t="str">
        <x:f>IF(초입!M7="","",초입!M7)</x:f>
        <x:v>경기도 구리시 검배로72번길 89, 3층</x:v>
      </x:c>
      <x:c r="AA7" s="7"/>
      <x:c r="AB7" s="7"/>
      <x:c r="AC7" s="7"/>
    </x:row>
    <x:row r="8" spans="1:29" customFormat="1" ht="26.35000000000000142109">
      <x:c r="A8" s="3">
        <x:f>초입!A8</x:f>
        <x:v>5</x:v>
      </x:c>
      <x:c r="B8" s="3" t="s">
        <x:v>194</x:v>
      </x:c>
      <x:c r="C8" s="3" t="str">
        <x:f>IF(초입!H8&lt;&gt;"","O","")</x:f>
        <x:v/>
      </x:c>
      <x:c r="D8" s="3" t="str">
        <x:f>IF(초입!I8&lt;&gt;"","O","")</x:f>
        <x:v>O</x:v>
      </x:c>
      <x:c r="E8" s="3" t="str">
        <x:f>초입!B8</x:f>
        <x:v>시립토평마을어린이집</x:v>
      </x:c>
      <x:c r="F8" s="3" t="str">
        <x:f>IF(초입!C8="","",초입!C8)</x:f>
        <x:v/>
      </x:c>
      <x:c r="G8" s="3">
        <x:f>IF(초입!D8="","",초입!D8)</x:f>
        <x:v>3</x:v>
      </x:c>
      <x:c r="H8" s="3" t="str">
        <x:f>IF(초입!E8="","",초입!E8)</x:f>
        <x:v>김서하</x:v>
      </x:c>
      <x:c r="I8" s="3" t="str">
        <x:f>IF(초입!F8="","",초입!F8)</x:f>
        <x:v>남</x:v>
      </x:c>
      <x:c r="J8" s="3" t="str">
        <x:f>IF(초입!G8="","",초입!G8)</x:f>
        <x:v>2020.07.15.</x:v>
      </x:c>
      <x:c r="K8" s="3" t="str">
        <x:f>IF(초입!J8="","",초입!J8)</x:f>
        <x:v>청각장애</x:v>
      </x:c>
      <x:c r="L8" s="3" t="str">
        <x:f>IF(초입!K8="","",초입!K8)</x:f>
        <x:v>청각장애</x:v>
      </x:c>
      <x:c r="M8" s="3" t="str">
        <x:f>IF(초입!L8="","",초입!L8)</x:f>
        <x:v>중증</x:v>
      </x:c>
      <x:c r="N8" s="3" t="str">
        <x:f>IF(초입!N8="","",초입!N8)</x:f>
        <x:v>수택초등학교</x:v>
      </x:c>
      <x:c r="O8" s="3" t="str">
        <x:f>IF(초입!O8="","",초입!O8)</x:f>
        <x:v>특수학급</x:v>
      </x:c>
      <x:c r="P8" s="3" t="str">
        <x:f>IF(초입!P8="","",초입!P8)</x:f>
        <x:v/>
      </x:c>
      <x:c r="Q8" s="3">
        <x:f>IF(초입!Q8="","",초입!Q8)</x:f>
        <x:v>0.23699999999999999</x:v>
      </x:c>
      <x:c r="R8" s="3" t="str">
        <x:f>IF(초입!R8="","","1. "&amp;초입!R8&amp;IF(초입!V8&lt;&gt;"",CHAR(10)&amp;"2. "&amp;초입!V8,"")&amp;IF(초입!Z8&lt;&gt;"",CHAR(10)&amp;"3. "&amp;초입!Z8,""))</x:f>
        <x:v>1. 수택초등학교
2. 수택초등학교</x:v>
      </x:c>
      <x:c r="S8" s="3" t="str">
        <x:f>IF(초입!S8="","",""&amp;초입!S8&amp;IF(초입!W8&lt;&gt;"",CHAR(10)&amp;""&amp;초입!W8,"")&amp;IF(초입!AA8&lt;&gt;"",CHAR(10)&amp;""&amp;초입!AA8,""))</x:f>
        <x:v>특수학급
일반학급</x:v>
      </x:c>
      <x:c r="T8" s="3" t="str">
        <x:f>IF(초입!T8="","",""&amp;초입!T8&amp;IF(초입!X8&lt;&gt;"",CHAR(10)&amp;""&amp;초입!X8,"")&amp;IF(초입!AB8&lt;&gt;"",CHAR(10)&amp;""&amp;초입!AB8,""))</x:f>
        <x:v/>
      </x:c>
      <x:c r="U8" s="3" t="str">
        <x:f>IF(초입!U8="","",""&amp;초입!U8&amp;IF(초입!Y8&lt;&gt;"",CHAR(10)&amp;""&amp;초입!Y8,"")&amp;IF(초입!AC8&lt;&gt;"",CHAR(10)&amp;""&amp;초입!AC8,""))</x:f>
        <x:v>0.237
0.237</x:v>
      </x:c>
      <x:c r="V8" s="3" t="str">
        <x:f>IF(초입!AO8="","",초입!AO8)</x:f>
        <x:v>□ 복지카드: 청각장애 중증(유효기한 없음)</x:v>
      </x:c>
      <x:c r="W8" s="3" t="str">
        <x:f>IF(초입!AP8="","",초입!AP8)</x:f>
        <x:v>쌍둥이(김루하)와 동일교 배치 희망, 등본제출함</x:v>
      </x:c>
      <x:c r="X8" s="3" t="str">
        <x:f>IF(초입!AD8="","",초입!AD8)</x:f>
        <x:v>010-9133-1701</x:v>
      </x:c>
      <x:c r="Y8" s="3" t="str">
        <x:f>IF(초입!AE8="","",초입!AE8)</x:f>
        <x:v/>
      </x:c>
      <x:c r="Z8" s="3" t="str">
        <x:f>IF(초입!M8="","",초입!M8)</x:f>
        <x:v>경기도 구리시 검배로 142 204동, 1104호(SK신일아파트)</x:v>
      </x:c>
      <x:c r="AA8" s="7"/>
      <x:c r="AB8" s="7"/>
      <x:c r="AC8" s="7"/>
    </x:row>
    <x:row r="9" spans="1:29" customFormat="1" ht="26.35000000000000142109">
      <x:c r="A9" s="3">
        <x:f>초입!A9</x:f>
        <x:v>6</x:v>
      </x:c>
      <x:c r="B9" s="3" t="s">
        <x:v>194</x:v>
      </x:c>
      <x:c r="C9" s="3" t="str">
        <x:f>IF(초입!H9&lt;&gt;"","O","")</x:f>
        <x:v/>
      </x:c>
      <x:c r="D9" s="3" t="str">
        <x:f>IF(초입!I9&lt;&gt;"","O","")</x:f>
        <x:v>O</x:v>
      </x:c>
      <x:c r="E9" s="3" t="str">
        <x:f>초입!B9</x:f>
        <x:v>시립토평마을어린이집</x:v>
      </x:c>
      <x:c r="F9" s="3" t="str">
        <x:f>IF(초입!C9="","",초입!C9)</x:f>
        <x:v/>
      </x:c>
      <x:c r="G9" s="3">
        <x:f>IF(초입!D9="","",초입!D9)</x:f>
        <x:v>3</x:v>
      </x:c>
      <x:c r="H9" s="3" t="str">
        <x:f>IF(초입!E9="","",초입!E9)</x:f>
        <x:v>김루하</x:v>
      </x:c>
      <x:c r="I9" s="3" t="str">
        <x:f>IF(초입!F9="","",초입!F9)</x:f>
        <x:v>남</x:v>
      </x:c>
      <x:c r="J9" s="3" t="str">
        <x:f>IF(초입!G9="","",초입!G9)</x:f>
        <x:v>2020.07.15.</x:v>
      </x:c>
      <x:c r="K9" s="3" t="str">
        <x:f>IF(초입!J9="","",초입!J9)</x:f>
        <x:v>청각장애</x:v>
      </x:c>
      <x:c r="L9" s="3" t="str">
        <x:f>IF(초입!K9="","",초입!K9)</x:f>
        <x:v>청각장애</x:v>
      </x:c>
      <x:c r="M9" s="3" t="str">
        <x:f>IF(초입!L9="","",초입!L9)</x:f>
        <x:v>경증</x:v>
      </x:c>
      <x:c r="N9" s="3" t="str">
        <x:f>IF(초입!N9="","",초입!N9)</x:f>
        <x:v>수택초등학교</x:v>
      </x:c>
      <x:c r="O9" s="3" t="str">
        <x:f>IF(초입!O9="","",초입!O9)</x:f>
        <x:v>특수학급</x:v>
      </x:c>
      <x:c r="P9" s="3" t="str">
        <x:f>IF(초입!P9="","",초입!P9)</x:f>
        <x:v/>
      </x:c>
      <x:c r="Q9" s="3">
        <x:f>IF(초입!Q9="","",초입!Q9)</x:f>
        <x:v>0.23699999999999999</x:v>
      </x:c>
      <x:c r="R9" s="3" t="str">
        <x:f>IF(초입!R9="","","1. "&amp;초입!R9&amp;IF(초입!V9&lt;&gt;"",CHAR(10)&amp;"2. "&amp;초입!V9,"")&amp;IF(초입!Z9&lt;&gt;"",CHAR(10)&amp;"3. "&amp;초입!Z9,""))</x:f>
        <x:v>1. 수택초등학교
2. 수택초등학교</x:v>
      </x:c>
      <x:c r="S9" s="3" t="str">
        <x:f>IF(초입!S9="","",""&amp;초입!S9&amp;IF(초입!W9&lt;&gt;"",CHAR(10)&amp;""&amp;초입!W9,"")&amp;IF(초입!AA9&lt;&gt;"",CHAR(10)&amp;""&amp;초입!AA9,""))</x:f>
        <x:v>특수학급
일반학급</x:v>
      </x:c>
      <x:c r="T9" s="3" t="str">
        <x:f>IF(초입!T9="","",""&amp;초입!T9&amp;IF(초입!X9&lt;&gt;"",CHAR(10)&amp;""&amp;초입!X9,"")&amp;IF(초입!AB9&lt;&gt;"",CHAR(10)&amp;""&amp;초입!AB9,""))</x:f>
        <x:v/>
      </x:c>
      <x:c r="U9" s="3" t="str">
        <x:f>IF(초입!U9="","",""&amp;초입!U9&amp;IF(초입!Y9&lt;&gt;"",CHAR(10)&amp;""&amp;초입!Y9,"")&amp;IF(초입!AC9&lt;&gt;"",CHAR(10)&amp;""&amp;초입!AC9,""))</x:f>
        <x:v>0.237
0.237</x:v>
      </x:c>
      <x:c r="V9" s="3" t="str">
        <x:f>IF(초입!AO9="","",초입!AO9)</x:f>
        <x:v>□ 복지카드: 청각장애 경증(~2028.07.28)</x:v>
      </x:c>
      <x:c r="W9" s="3" t="str">
        <x:f>IF(초입!AP9="","",초입!AP9)</x:f>
        <x:v>쌍둥이(김서하)와 동일교 배치 희망, 등본제출함</x:v>
      </x:c>
      <x:c r="X9" s="3" t="str">
        <x:f>IF(초입!AD9="","",초입!AD9)</x:f>
        <x:v>010-9133-1701</x:v>
      </x:c>
      <x:c r="Y9" s="3" t="str">
        <x:f>IF(초입!AE9="","",초입!AE9)</x:f>
        <x:v/>
      </x:c>
      <x:c r="Z9" s="3" t="str">
        <x:f>IF(초입!M9="","",초입!M9)</x:f>
        <x:v>경기도 구리시 검배로 142 204동, 1104호(SK신일아파트)</x:v>
      </x:c>
      <x:c r="AA9" s="7"/>
      <x:c r="AB9" s="7"/>
      <x:c r="AC9" s="7"/>
    </x:row>
    <x:row r="10" spans="1:29" customFormat="1" ht="26.35000000000000142109">
      <x:c r="A10" s="3">
        <x:f>초입!A10</x:f>
        <x:v>7</x:v>
      </x:c>
      <x:c r="B10" s="3" t="s">
        <x:v>194</x:v>
      </x:c>
      <x:c r="C10" s="3" t="str">
        <x:f>IF(초입!H10&lt;&gt;"","O","")</x:f>
        <x:v/>
      </x:c>
      <x:c r="D10" s="3" t="str">
        <x:f>IF(초입!I10&lt;&gt;"","O","")</x:f>
        <x:v>O</x:v>
      </x:c>
      <x:c r="E10" s="3" t="str">
        <x:f>초입!B10</x:f>
        <x:v>화도어린이집</x:v>
      </x:c>
      <x:c r="F10" s="3" t="str">
        <x:f>IF(초입!C10="","",초입!C10)</x:f>
        <x:v/>
      </x:c>
      <x:c r="G10" s="3">
        <x:f>IF(초입!D10="","",초입!D10)</x:f>
        <x:v>3</x:v>
      </x:c>
      <x:c r="H10" s="3" t="str">
        <x:f>IF(초입!E10="","",초입!E10)</x:f>
        <x:v>김로건</x:v>
      </x:c>
      <x:c r="I10" s="3" t="str">
        <x:f>IF(초입!F10="","",초입!F10)</x:f>
        <x:v>남</x:v>
      </x:c>
      <x:c r="J10" s="3" t="str">
        <x:f>IF(초입!G10="","",초입!G10)</x:f>
        <x:v>2020.10.12.</x:v>
      </x:c>
      <x:c r="K10" s="3" t="str">
        <x:f>IF(초입!J10="","",초입!J10)</x:f>
        <x:v>자폐성장애</x:v>
      </x:c>
      <x:c r="L10" s="3" t="str">
        <x:f>IF(초입!K10="","",초입!K10)</x:f>
        <x:v>자폐성장애</x:v>
      </x:c>
      <x:c r="M10" s="3" t="str">
        <x:f>IF(초입!L10="","",초입!L10)</x:f>
        <x:v>중증</x:v>
      </x:c>
      <x:c r="N10" s="3" t="str">
        <x:f>IF(초입!N10="","",초입!N10)</x:f>
        <x:v>금남초등학교</x:v>
      </x:c>
      <x:c r="O10" s="3" t="str">
        <x:f>IF(초입!O10="","",초입!O10)</x:f>
        <x:v>일반학급</x:v>
      </x:c>
      <x:c r="P10" s="3" t="str">
        <x:f>IF(초입!P10="","",초입!P10)</x:f>
        <x:v/>
      </x:c>
      <x:c r="Q10" s="3">
        <x:f>IF(초입!Q10="","",초입!Q10)</x:f>
        <x:v>0.05</x:v>
      </x:c>
      <x:c r="R10" s="3" t="str">
        <x:f>IF(초입!R10="","","1. "&amp;초입!R10&amp;IF(초입!V10&lt;&gt;"",CHAR(10)&amp;"2. "&amp;초입!V10,"")&amp;IF(초입!Z10&lt;&gt;"",CHAR(10)&amp;"3. "&amp;초입!Z10,""))</x:f>
        <x:v>1. 금남초등학교</x:v>
      </x:c>
      <x:c r="S10" s="3" t="str">
        <x:f>IF(초입!S10="","",""&amp;초입!S10&amp;IF(초입!W10&lt;&gt;"",CHAR(10)&amp;""&amp;초입!W10,"")&amp;IF(초입!AA10&lt;&gt;"",CHAR(10)&amp;""&amp;초입!AA10,""))</x:f>
        <x:v>일반학급</x:v>
      </x:c>
      <x:c r="T10" s="3" t="str">
        <x:f>IF(초입!T10="","",""&amp;초입!T10&amp;IF(초입!X10&lt;&gt;"",CHAR(10)&amp;""&amp;초입!X10,"")&amp;IF(초입!AB10&lt;&gt;"",CHAR(10)&amp;""&amp;초입!AB10,""))</x:f>
        <x:v/>
      </x:c>
      <x:c r="U10" s="3" t="str">
        <x:f>IF(초입!U10="","",""&amp;초입!U10&amp;IF(초입!Y10&lt;&gt;"",CHAR(10)&amp;""&amp;초입!Y10,"")&amp;IF(초입!AC10&lt;&gt;"",CHAR(10)&amp;""&amp;초입!AC10,""))</x:f>
        <x:v>0.05</x:v>
      </x:c>
      <x:c r="V10" s="3" t="str">
        <x:f>IF(초입!AO10="","",초입!AO10)</x:f>
        <x:v>□ 복지카드: 자폐성장애 중증(~2029.10.10.)</x:v>
      </x:c>
      <x:c r="W10" s="3" t="str">
        <x:f>IF(초입!AP10="","",초입!AP10)</x:f>
        <x:v/>
      </x:c>
      <x:c r="X10" s="3" t="str">
        <x:f>IF(초입!AD10="","",초입!AD10)</x:f>
        <x:v>010-5350-1095</x:v>
      </x:c>
      <x:c r="Y10" s="3" t="str">
        <x:f>IF(초입!AE10="","",초입!AE10)</x:f>
        <x:v/>
      </x:c>
      <x:c r="Z10" s="3" t="str">
        <x:f>IF(초입!M10="","",초입!M10)</x:f>
        <x:v>경기도 남양주시 화도읍 북한강로 1503번길2, 2층</x:v>
      </x:c>
      <x:c r="AA10" s="7"/>
      <x:c r="AB10" s="7"/>
      <x:c r="AC10" s="7"/>
    </x:row>
    <x:row r="11" spans="1:29" customFormat="1" ht="26.35000000000000142109">
      <x:c r="A11" s="3">
        <x:f>초입!A11</x:f>
        <x:v>8</x:v>
      </x:c>
      <x:c r="B11" s="3" t="s">
        <x:v>194</x:v>
      </x:c>
      <x:c r="C11" s="3" t="str">
        <x:f>IF(초입!H11&lt;&gt;"","O","")</x:f>
        <x:v/>
      </x:c>
      <x:c r="D11" s="3" t="str">
        <x:f>IF(초입!I11&lt;&gt;"","O","")</x:f>
        <x:v>O</x:v>
      </x:c>
      <x:c r="E11" s="3" t="str">
        <x:f>초입!B11</x:f>
        <x:v>장현새싹어린이집</x:v>
      </x:c>
      <x:c r="F11" s="3" t="str">
        <x:f>IF(초입!C11="","",초입!C11)</x:f>
        <x:v/>
      </x:c>
      <x:c r="G11" s="3">
        <x:f>IF(초입!D11="","",초입!D11)</x:f>
        <x:v>3</x:v>
      </x:c>
      <x:c r="H11" s="3" t="str">
        <x:f>IF(초입!E11="","",초입!E11)</x:f>
        <x:v>오태희</x:v>
      </x:c>
      <x:c r="I11" s="3" t="str">
        <x:f>IF(초입!F11="","",초입!F11)</x:f>
        <x:v>여</x:v>
      </x:c>
      <x:c r="J11" s="3" t="str">
        <x:f>IF(초입!G11="","",초입!G11)</x:f>
        <x:v>2020.04.17.</x:v>
      </x:c>
      <x:c r="K11" s="3" t="str">
        <x:f>IF(초입!J11="","",초입!J11)</x:f>
        <x:v>발달지체</x:v>
      </x:c>
      <x:c r="L11" s="3" t="str">
        <x:f>IF(초입!K11="","",초입!K11)</x:f>
        <x:v/>
      </x:c>
      <x:c r="M11" s="3" t="str">
        <x:f>IF(초입!L11="","",초입!L11)</x:f>
        <x:v/>
      </x:c>
      <x:c r="N11" s="3" t="str">
        <x:f>IF(초입!N11="","",초입!N11)</x:f>
        <x:v>장현초등학교</x:v>
      </x:c>
      <x:c r="O11" s="3" t="str">
        <x:f>IF(초입!O11="","",초입!O11)</x:f>
        <x:v>특수학급</x:v>
      </x:c>
      <x:c r="P11" s="3" t="str">
        <x:f>IF(초입!P11="","",초입!P11)</x:f>
        <x:v/>
      </x:c>
      <x:c r="Q11" s="3">
        <x:f>IF(초입!Q11="","",초입!Q11)</x:f>
        <x:v>0.10000000000000001</x:v>
      </x:c>
      <x:c r="R11" s="3" t="str">
        <x:f>IF(초입!R11="","","1. "&amp;초입!R11&amp;IF(초입!V11&lt;&gt;"",CHAR(10)&amp;"2. "&amp;초입!V11,"")&amp;IF(초입!Z11&lt;&gt;"",CHAR(10)&amp;"3. "&amp;초입!Z11,""))</x:f>
        <x:v>1. 장현초등학교
2. 장현초등학교</x:v>
      </x:c>
      <x:c r="S11" s="3" t="str">
        <x:f>IF(초입!S11="","",""&amp;초입!S11&amp;IF(초입!W11&lt;&gt;"",CHAR(10)&amp;""&amp;초입!W11,"")&amp;IF(초입!AA11&lt;&gt;"",CHAR(10)&amp;""&amp;초입!AA11,""))</x:f>
        <x:v>특수학급
일반학급</x:v>
      </x:c>
      <x:c r="T11" s="3" t="str">
        <x:f>IF(초입!T11="","",""&amp;초입!T11&amp;IF(초입!X11&lt;&gt;"",CHAR(10)&amp;""&amp;초입!X11,"")&amp;IF(초입!AB11&lt;&gt;"",CHAR(10)&amp;""&amp;초입!AB11,""))</x:f>
        <x:v/>
      </x:c>
      <x:c r="U11" s="3" t="str">
        <x:f>IF(초입!U11="","",""&amp;초입!U11&amp;IF(초입!Y11&lt;&gt;"",CHAR(10)&amp;""&amp;초입!Y11,"")&amp;IF(초입!AC11&lt;&gt;"",CHAR(10)&amp;""&amp;초입!AC11,""))</x:f>
        <x:v>0.1
0.1</x:v>
      </x:c>
      <x:c r="V11" s="3" t="str">
        <x:f>IF(초입!AO11="","",초입!AO11)</x:f>
        <x:v>진단평가 필요</x:v>
      </x:c>
      <x:c r="W11" s="3" t="str">
        <x:f>IF(초입!AP11="","",초입!AP11)</x:f>
        <x:v/>
      </x:c>
      <x:c r="X11" s="3" t="str">
        <x:f>IF(초입!AD11="","",초입!AD11)</x:f>
        <x:v>010-2895-1244</x:v>
      </x:c>
      <x:c r="Y11" s="3" t="str">
        <x:f>IF(초입!AE11="","",초입!AE11)</x:f>
        <x:v/>
      </x:c>
      <x:c r="Z11" s="3" t="str">
        <x:f>IF(초입!M11="","",초입!M11)</x:f>
        <x:v>경기도 남양주시 진접읍 장현로 87번길 9, 남양주택 라동 403호</x:v>
      </x:c>
      <x:c r="AA11" s="7"/>
      <x:c r="AB11" s="7"/>
      <x:c r="AC11" s="7"/>
    </x:row>
    <x:row r="12" spans="1:29" customFormat="1" ht="105.40000000000000568434">
      <x:c r="A12" s="3">
        <x:f>초입!A12</x:f>
        <x:v>9</x:v>
      </x:c>
      <x:c r="B12" s="3" t="s">
        <x:v>194</x:v>
      </x:c>
      <x:c r="C12" s="3" t="str">
        <x:f>IF(초입!H12&lt;&gt;"","O","")</x:f>
        <x:v/>
      </x:c>
      <x:c r="D12" s="3" t="str">
        <x:f>IF(초입!I12&lt;&gt;"","O","")</x:f>
        <x:v>O</x:v>
      </x:c>
      <x:c r="E12" s="3" t="str">
        <x:f>초입!B12</x:f>
        <x:v>구리시립갈매어린이집</x:v>
      </x:c>
      <x:c r="F12" s="3" t="str">
        <x:f>IF(초입!C12="","",초입!C12)</x:f>
        <x:v/>
      </x:c>
      <x:c r="G12" s="3">
        <x:f>IF(초입!D12="","",초입!D12)</x:f>
        <x:v>3</x:v>
      </x:c>
      <x:c r="H12" s="3" t="str">
        <x:f>IF(초입!E12="","",초입!E12)</x:f>
        <x:v>이인규</x:v>
      </x:c>
      <x:c r="I12" s="3" t="str">
        <x:f>IF(초입!F12="","",초입!F12)</x:f>
        <x:v>남</x:v>
      </x:c>
      <x:c r="J12" s="3" t="str">
        <x:f>IF(초입!G12="","",초입!G12)</x:f>
        <x:v>2020.11.12.</x:v>
      </x:c>
      <x:c r="K12" s="3" t="str">
        <x:f>IF(초입!J12="","",초입!J12)</x:f>
        <x:v>의사소통장애
(지적장애 범주이나, 검사결과 신뢰X, 발달지체?, 심층관찰 시 자폐 성향)</x:v>
      </x:c>
      <x:c r="L12" s="3" t="str">
        <x:f>IF(초입!K12="","",초입!K12)</x:f>
        <x:v/>
      </x:c>
      <x:c r="M12" s="3" t="str">
        <x:f>IF(초입!L12="","",초입!L12)</x:f>
        <x:v/>
      </x:c>
      <x:c r="N12" s="3" t="str">
        <x:f>IF(초입!N12="","",초입!N12)</x:f>
        <x:v>퇴계원초등학교</x:v>
      </x:c>
      <x:c r="O12" s="3" t="str">
        <x:f>IF(초입!O12="","",초입!O12)</x:f>
        <x:v>특수학급</x:v>
      </x:c>
      <x:c r="P12" s="3" t="str">
        <x:f>IF(초입!P12="","",초입!P12)</x:f>
        <x:v/>
      </x:c>
      <x:c r="Q12" s="3">
        <x:f>IF(초입!Q12="","",초입!Q12)</x:f>
        <x:v>1.1000000000000001</x:v>
      </x:c>
      <x:c r="R12" s="3" t="str">
        <x:f>IF(초입!R12="","","1. "&amp;초입!R12&amp;IF(초입!V12&lt;&gt;"",CHAR(10)&amp;"2. "&amp;초입!V12,"")&amp;IF(초입!Z12&lt;&gt;"",CHAR(10)&amp;"3. "&amp;초입!Z12,""))</x:f>
        <x:v>1. 퇴계원초등학교
2. 도제원초등학교
3. 내양초등학교</x:v>
      </x:c>
      <x:c r="S12" s="3" t="str">
        <x:f>IF(초입!S12="","",""&amp;초입!S12&amp;IF(초입!W12&lt;&gt;"",CHAR(10)&amp;""&amp;초입!W12,"")&amp;IF(초입!AA12&lt;&gt;"",CHAR(10)&amp;""&amp;초입!AA12,""))</x:f>
        <x:v>특수학급
특수학급
특수학급</x:v>
      </x:c>
      <x:c r="T12" s="3" t="str">
        <x:f>IF(초입!T12="","",""&amp;초입!T12&amp;IF(초입!X12&lt;&gt;"",CHAR(10)&amp;""&amp;초입!X12,"")&amp;IF(초입!AB12&lt;&gt;"",CHAR(10)&amp;""&amp;초입!AB12,""))</x:f>
        <x:v/>
      </x:c>
      <x:c r="U12" s="3" t="str">
        <x:f>IF(초입!U12="","",""&amp;초입!U12&amp;IF(초입!Y12&lt;&gt;"",CHAR(10)&amp;""&amp;초입!Y12,"")&amp;IF(초입!AC12&lt;&gt;"",CHAR(10)&amp;""&amp;초입!AC12,""))</x:f>
        <x:v>1.1
1.1
2.4</x:v>
      </x:c>
      <x:c r="V12" s="3" t="str">
        <x:f>IF(초입!AO12="","",초입!AO12)</x:f>
        <x:v>※2026년 7월 9일 검사 실시
□K-WPPSI-IV: 전체IQ 40 (언어이해 45, 시공간 79, 유동추론 45,        
  작업기억 45, 처리속도 45/매우 낮음)
□적응행동검사: 표준점수 54(상당히 저조한 수준)
□사회성숙도: SA 1세 11개월, SQ 35.30(중등도)</x:v>
      </x:c>
      <x:c r="W12" s="3" t="str">
        <x:f>IF(초입!AP12="","",초입!AP12)</x:f>
        <x:v/>
      </x:c>
      <x:c r="X12" s="3" t="str">
        <x:f>IF(초입!AD12="","",초입!AD12)</x:f>
        <x:v>010-4397-1648</x:v>
      </x:c>
      <x:c r="Y12" s="3" t="str">
        <x:f>IF(초입!AE12="","",초입!AE12)</x:f>
        <x:v/>
      </x:c>
      <x:c r="Z12" s="3" t="str">
        <x:f>IF(초입!M12="","",초입!M12)</x:f>
        <x:v>경기도 남양주시 퇴계원읍 도제원로 89-1, 102동 301호(삼성하이츠)</x:v>
      </x:c>
      <x:c r="AA12" s="7"/>
      <x:c r="AB12" s="7"/>
      <x:c r="AC12" s="7"/>
    </x:row>
    <x:row r="13" spans="1:29" customFormat="1" ht="52.70000000000000284217">
      <x:c r="A13" s="3">
        <x:f>초입!A13</x:f>
        <x:v>10</x:v>
      </x:c>
      <x:c r="B13" s="3" t="s">
        <x:v>194</x:v>
      </x:c>
      <x:c r="C13" s="3" t="str">
        <x:f>IF(초입!H13&lt;&gt;"","O","")</x:f>
        <x:v/>
      </x:c>
      <x:c r="D13" s="3" t="str">
        <x:f>IF(초입!I13&lt;&gt;"","O","")</x:f>
        <x:v>O</x:v>
      </x:c>
      <x:c r="E13" s="3" t="str">
        <x:f>초입!B13</x:f>
        <x:v>다산아이사랑어린이집</x:v>
      </x:c>
      <x:c r="F13" s="3" t="str">
        <x:f>IF(초입!C13="","",초입!C13)</x:f>
        <x:v/>
      </x:c>
      <x:c r="G13" s="3">
        <x:f>IF(초입!D13="","",초입!D13)</x:f>
        <x:v>3</x:v>
      </x:c>
      <x:c r="H13" s="3" t="str">
        <x:f>IF(초입!E13="","",초입!E13)</x:f>
        <x:v>정이안</x:v>
      </x:c>
      <x:c r="I13" s="3" t="str">
        <x:f>IF(초입!F13="","",초입!F13)</x:f>
        <x:v>여</x:v>
      </x:c>
      <x:c r="J13" s="3" t="str">
        <x:f>IF(초입!G13="","",초입!G13)</x:f>
        <x:v>2020.08.10.</x:v>
      </x:c>
      <x:c r="K13" s="3" t="str">
        <x:f>IF(초입!J13="","",초입!J13)</x:f>
        <x:v>자폐성장애</x:v>
      </x:c>
      <x:c r="L13" s="3" t="str">
        <x:f>IF(초입!K13="","",초입!K13)</x:f>
        <x:v>발급중</x:v>
      </x:c>
      <x:c r="M13" s="3" t="str">
        <x:f>IF(초입!L13="","",초입!L13)</x:f>
        <x:v/>
      </x:c>
      <x:c r="N13" s="3" t="str">
        <x:f>IF(초입!N13="","",초입!N13)</x:f>
        <x:v>다산새봄초등학교</x:v>
      </x:c>
      <x:c r="O13" s="3" t="str">
        <x:f>IF(초입!O13="","",초입!O13)</x:f>
        <x:v>특수학급</x:v>
      </x:c>
      <x:c r="P13" s="3" t="str">
        <x:f>IF(초입!P13="","",초입!P13)</x:f>
        <x:v/>
      </x:c>
      <x:c r="Q13" s="3">
        <x:f>IF(초입!Q13="","",초입!Q13)</x:f>
        <x:v>0.38500000000000001</x:v>
      </x:c>
      <x:c r="R13" s="3" t="str">
        <x:f>IF(초입!R13="","","1. "&amp;초입!R13&amp;IF(초입!V13&lt;&gt;"",CHAR(10)&amp;"2. "&amp;초입!V13,"")&amp;IF(초입!Z13&lt;&gt;"",CHAR(10)&amp;"3. "&amp;초입!Z13,""))</x:f>
        <x:v>1. 다산새봄초등학교
2. 다산가람초등학교
3. 남양주다산초등학교</x:v>
      </x:c>
      <x:c r="S13" s="3" t="str">
        <x:f>IF(초입!S13="","",""&amp;초입!S13&amp;IF(초입!W13&lt;&gt;"",CHAR(10)&amp;""&amp;초입!W13,"")&amp;IF(초입!AA13&lt;&gt;"",CHAR(10)&amp;""&amp;초입!AA13,""))</x:f>
        <x:v>특수학급
특수학급
특수학급</x:v>
      </x:c>
      <x:c r="T13" s="3" t="str">
        <x:f>IF(초입!T13="","",""&amp;초입!T13&amp;IF(초입!X13&lt;&gt;"",CHAR(10)&amp;""&amp;초입!X13,"")&amp;IF(초입!AB13&lt;&gt;"",CHAR(10)&amp;""&amp;초입!AB13,""))</x:f>
        <x:v/>
      </x:c>
      <x:c r="U13" s="3" t="str">
        <x:f>IF(초입!U13="","",""&amp;초입!U13&amp;IF(초입!Y13&lt;&gt;"",CHAR(10)&amp;""&amp;초입!Y13,"")&amp;IF(초입!AC13&lt;&gt;"",CHAR(10)&amp;""&amp;초입!AC13,""))</x:f>
        <x:v>0.385
0.878
1.2</x:v>
      </x:c>
      <x:c r="V13" s="3" t="str">
        <x:f>IF(초입!AO13="","",초입!AO13)</x:f>
        <x:v>※ 6월 중 복지카드 발급 예정 / 7월중말로 연기</x:v>
      </x:c>
      <x:c r="W13" s="3" t="str">
        <x:f>IF(초입!AP13="","",초입!AP13)</x:f>
        <x:v>*비장애 쌍둥이와 동일교 배치 희망
*2027년 1~2월 중 이사 예정, 그러나 이사 예정지와 입주일이 불명확하여 10월 말까지 계약서가 나오면 별도 연락주기로 함.</x:v>
      </x:c>
      <x:c r="X13" s="3" t="str">
        <x:f>IF(초입!AD13="","",초입!AD13)</x:f>
        <x:v>010-6641-1224</x:v>
      </x:c>
      <x:c r="Y13" s="3" t="str">
        <x:f>IF(초입!AE13="","",초입!AE13)</x:f>
        <x:v/>
      </x:c>
      <x:c r="Z13" s="3" t="str">
        <x:f>IF(초입!M13="","",초입!M13)</x:f>
        <x:v>경기도 남양주시 다산중앙로82번길 12, 5302동 2502호(다산자연앤 이편한세상 3차)</x:v>
      </x:c>
      <x:c r="AA13" s="7"/>
      <x:c r="AB13" s="7"/>
      <x:c r="AC13" s="7"/>
    </x:row>
    <x:row r="14" spans="1:29" customFormat="1" ht="26.35000000000000142109">
      <x:c r="A14" s="3">
        <x:f>초입!A14</x:f>
        <x:v>11</x:v>
      </x:c>
      <x:c r="B14" s="3" t="s">
        <x:v>194</x:v>
      </x:c>
      <x:c r="C14" s="3" t="str">
        <x:f>IF(초입!H14&lt;&gt;"","O","")</x:f>
        <x:v/>
      </x:c>
      <x:c r="D14" s="3" t="str">
        <x:f>IF(초입!I14&lt;&gt;"","O","")</x:f>
        <x:v>O</x:v>
      </x:c>
      <x:c r="E14" s="3" t="str">
        <x:f>초입!B14</x:f>
        <x:v>시립호평어린이집</x:v>
      </x:c>
      <x:c r="F14" s="3" t="str">
        <x:f>IF(초입!C14="","",초입!C14)</x:f>
        <x:v/>
      </x:c>
      <x:c r="G14" s="3">
        <x:f>IF(초입!D14="","",초입!D14)</x:f>
        <x:v>3</x:v>
      </x:c>
      <x:c r="H14" s="3" t="str">
        <x:f>IF(초입!E14="","",초입!E14)</x:f>
        <x:v>김다원</x:v>
      </x:c>
      <x:c r="I14" s="3" t="str">
        <x:f>IF(초입!F14="","",초입!F14)</x:f>
        <x:v>남</x:v>
      </x:c>
      <x:c r="J14" s="3" t="str">
        <x:f>IF(초입!G14="","",초입!G14)</x:f>
        <x:v>2020.08.09.</x:v>
      </x:c>
      <x:c r="K14" s="3" t="str">
        <x:f>IF(초입!J14="","",초입!J14)</x:f>
        <x:v>청각장애</x:v>
      </x:c>
      <x:c r="L14" s="3" t="str">
        <x:f>IF(초입!K14="","",초입!K14)</x:f>
        <x:v>청각장애</x:v>
      </x:c>
      <x:c r="M14" s="3" t="str">
        <x:f>IF(초입!L14="","",초입!L14)</x:f>
        <x:v>중증</x:v>
      </x:c>
      <x:c r="N14" s="3" t="str">
        <x:f>IF(초입!N14="","",초입!N14)</x:f>
        <x:v>남양주백봉초등학교</x:v>
      </x:c>
      <x:c r="O14" s="3" t="str">
        <x:f>IF(초입!O14="","",초입!O14)</x:f>
        <x:v>특수학급</x:v>
      </x:c>
      <x:c r="P14" s="3" t="str">
        <x:f>IF(초입!P14="","",초입!P14)</x:f>
        <x:v/>
      </x:c>
      <x:c r="Q14" s="3">
        <x:f>IF(초입!Q14="","",초입!Q14)</x:f>
        <x:v>0.159</x:v>
      </x:c>
      <x:c r="R14" s="3" t="str">
        <x:f>IF(초입!R14="","","1. "&amp;초입!R14&amp;IF(초입!V14&lt;&gt;"",CHAR(10)&amp;"2. "&amp;초입!V14,"")&amp;IF(초입!Z14&lt;&gt;"",CHAR(10)&amp;"3. "&amp;초입!Z14,""))</x:f>
        <x:v>1. 남양주백봉초등학교
2. 남양주백봉초등학교</x:v>
      </x:c>
      <x:c r="S14" s="3" t="str">
        <x:f>IF(초입!S14="","",""&amp;초입!S14&amp;IF(초입!W14&lt;&gt;"",CHAR(10)&amp;""&amp;초입!W14,"")&amp;IF(초입!AA14&lt;&gt;"",CHAR(10)&amp;""&amp;초입!AA14,""))</x:f>
        <x:v>특수학급
일반학급</x:v>
      </x:c>
      <x:c r="T14" s="3" t="str">
        <x:f>IF(초입!T14="","",""&amp;초입!T14&amp;IF(초입!X14&lt;&gt;"",CHAR(10)&amp;""&amp;초입!X14,"")&amp;IF(초입!AB14&lt;&gt;"",CHAR(10)&amp;""&amp;초입!AB14,""))</x:f>
        <x:v/>
      </x:c>
      <x:c r="U14" s="3" t="str">
        <x:f>IF(초입!U14="","",""&amp;초입!U14&amp;IF(초입!Y14&lt;&gt;"",CHAR(10)&amp;""&amp;초입!Y14,"")&amp;IF(초입!AC14&lt;&gt;"",CHAR(10)&amp;""&amp;초입!AC14,""))</x:f>
        <x:v>0.159
0.159</x:v>
      </x:c>
      <x:c r="V14" s="3" t="str">
        <x:f>IF(초입!AO14="","",초입!AO14)</x:f>
        <x:v>□ 복지카드: 청각장애 중증(유효기한 없음)</x:v>
      </x:c>
      <x:c r="W14" s="3" t="str">
        <x:f>IF(초입!AP14="","",초입!AP14)</x:f>
        <x:v/>
      </x:c>
      <x:c r="X14" s="3" t="str">
        <x:f>IF(초입!AD14="","",초입!AD14)</x:f>
        <x:v>010-9220-1146</x:v>
      </x:c>
      <x:c r="Y14" s="3" t="str">
        <x:f>IF(초입!AE14="","",초입!AE14)</x:f>
        <x:v/>
      </x:c>
      <x:c r="Z14" s="3" t="str">
        <x:f>IF(초입!M14="","",초입!M14)</x:f>
        <x:v>경기도 남양주시 평내로 104, 1905동 503호</x:v>
      </x:c>
      <x:c r="AA14" s="7"/>
      <x:c r="AB14" s="7"/>
      <x:c r="AC14" s="7"/>
    </x:row>
    <x:row r="15" spans="1:29" customFormat="1" ht="39.54999999999999715783">
      <x:c r="A15" s="3">
        <x:f>초입!A15</x:f>
        <x:v>12</x:v>
      </x:c>
      <x:c r="B15" s="3" t="s">
        <x:v>194</x:v>
      </x:c>
      <x:c r="C15" s="3" t="str">
        <x:f>IF(초입!H15&lt;&gt;"","O","")</x:f>
        <x:v/>
      </x:c>
      <x:c r="D15" s="3" t="str">
        <x:f>IF(초입!I15&lt;&gt;"","O","")</x:f>
        <x:v>O</x:v>
      </x:c>
      <x:c r="E15" s="3" t="str">
        <x:f>초입!B15</x:f>
        <x:v>하람어린이집</x:v>
      </x:c>
      <x:c r="F15" s="3" t="str">
        <x:f>IF(초입!C15="","",초입!C15)</x:f>
        <x:v/>
      </x:c>
      <x:c r="G15" s="3">
        <x:f>IF(초입!D15="","",초입!D15)</x:f>
        <x:v>3</x:v>
      </x:c>
      <x:c r="H15" s="3" t="str">
        <x:f>IF(초입!E15="","",초입!E15)</x:f>
        <x:v>김하건</x:v>
      </x:c>
      <x:c r="I15" s="3" t="str">
        <x:f>IF(초입!F15="","",초입!F15)</x:f>
        <x:v>남</x:v>
      </x:c>
      <x:c r="J15" s="3" t="str">
        <x:f>IF(초입!G15="","",초입!G15)</x:f>
        <x:v>2020.07.16.</x:v>
      </x:c>
      <x:c r="K15" s="3" t="str">
        <x:f>IF(초입!J15="","",초입!J15)</x:f>
        <x:v>자폐성장애</x:v>
      </x:c>
      <x:c r="L15" s="3" t="str">
        <x:f>IF(초입!K15="","",초입!K15)</x:f>
        <x:v>자폐성장애</x:v>
      </x:c>
      <x:c r="M15" s="3" t="str">
        <x:f>IF(초입!L15="","",초입!L15)</x:f>
        <x:v>중증</x:v>
      </x:c>
      <x:c r="N15" s="3" t="str">
        <x:f>IF(초입!N15="","",초입!N15)</x:f>
        <x:v>갈매초등학교</x:v>
      </x:c>
      <x:c r="O15" s="3" t="str">
        <x:f>IF(초입!O15="","",초입!O15)</x:f>
        <x:v>특수학급</x:v>
      </x:c>
      <x:c r="P15" s="3" t="str">
        <x:f>IF(초입!P15="","",초입!P15)</x:f>
        <x:v/>
      </x:c>
      <x:c r="Q15" s="3">
        <x:f>IF(초입!Q15="","",초입!Q15)</x:f>
        <x:v>0.64900000000000002</x:v>
      </x:c>
      <x:c r="R15" s="3" t="str">
        <x:f>IF(초입!R15="","","1. "&amp;초입!R15&amp;IF(초입!V15&lt;&gt;"",CHAR(10)&amp;"2. "&amp;초입!V15,"")&amp;IF(초입!Z15&lt;&gt;"",CHAR(10)&amp;"3. "&amp;초입!Z15,""))</x:f>
        <x:v>1. 갈매초등학교
2. 산마루초등학교
3. 한별초등학교</x:v>
      </x:c>
      <x:c r="S15" s="3" t="str">
        <x:f>IF(초입!S15="","",""&amp;초입!S15&amp;IF(초입!W15&lt;&gt;"",CHAR(10)&amp;""&amp;초입!W15,"")&amp;IF(초입!AA15&lt;&gt;"",CHAR(10)&amp;""&amp;초입!AA15,""))</x:f>
        <x:v>특수학급
특수학급
특수학급</x:v>
      </x:c>
      <x:c r="T15" s="3" t="str">
        <x:f>IF(초입!T15="","",""&amp;초입!T15&amp;IF(초입!X15&lt;&gt;"",CHAR(10)&amp;""&amp;초입!X15,"")&amp;IF(초입!AB15&lt;&gt;"",CHAR(10)&amp;""&amp;초입!AB15,""))</x:f>
        <x:v/>
      </x:c>
      <x:c r="U15" s="3" t="str">
        <x:f>IF(초입!U15="","",""&amp;초입!U15&amp;IF(초입!Y15&lt;&gt;"",CHAR(10)&amp;""&amp;초입!Y15,"")&amp;IF(초입!AC15&lt;&gt;"",CHAR(10)&amp;""&amp;초입!AC15,""))</x:f>
        <x:v>0.649
0.433
2.5</x:v>
      </x:c>
      <x:c r="V15" s="3" t="str">
        <x:f>IF(초입!AO15="","",초입!AO15)</x:f>
        <x:v>□ 복지카드: 자폐성장애 중증(~2029.06.21.)</x:v>
      </x:c>
      <x:c r="W15" s="3" t="str">
        <x:f>IF(초입!AP15="","",초입!AP15)</x:f>
        <x:v/>
      </x:c>
      <x:c r="X15" s="3" t="str">
        <x:f>IF(초입!AD15="","",초입!AD15)</x:f>
        <x:v>010-4714-7728</x:v>
      </x:c>
      <x:c r="Y15" s="3" t="str">
        <x:f>IF(초입!AE15="","",초입!AE15)</x:f>
        <x:v/>
      </x:c>
      <x:c r="Z15" s="3" t="str">
        <x:f>IF(초입!M15="","",초입!M15)</x:f>
        <x:v>경기도 구리시 산마루로 46, 409동 1302호</x:v>
      </x:c>
      <x:c r="AA15" s="7"/>
      <x:c r="AB15" s="7"/>
      <x:c r="AC15" s="7"/>
    </x:row>
    <x:row r="16" spans="1:29" customFormat="1" ht="39.54999999999999715783">
      <x:c r="A16" s="3">
        <x:f>초입!A16</x:f>
        <x:v>13</x:v>
      </x:c>
      <x:c r="B16" s="3" t="s">
        <x:v>194</x:v>
      </x:c>
      <x:c r="C16" s="3" t="str">
        <x:f>IF(초입!H16&lt;&gt;"","O","")</x:f>
        <x:v/>
      </x:c>
      <x:c r="D16" s="3" t="str">
        <x:f>IF(초입!I16&lt;&gt;"","O","")</x:f>
        <x:v>O</x:v>
      </x:c>
      <x:c r="E16" s="3" t="str">
        <x:f>초입!B16</x:f>
        <x:v>오남복지어린이집</x:v>
      </x:c>
      <x:c r="F16" s="3" t="str">
        <x:f>IF(초입!C16="","",초입!C16)</x:f>
        <x:v/>
      </x:c>
      <x:c r="G16" s="3">
        <x:f>IF(초입!D16="","",초입!D16)</x:f>
        <x:v>3</x:v>
      </x:c>
      <x:c r="H16" s="3" t="str">
        <x:f>IF(초입!E16="","",초입!E16)</x:f>
        <x:v>이지오</x:v>
      </x:c>
      <x:c r="I16" s="3" t="str">
        <x:f>IF(초입!F16="","",초입!F16)</x:f>
        <x:v>남</x:v>
      </x:c>
      <x:c r="J16" s="3" t="str">
        <x:f>IF(초입!G16="","",초입!G16)</x:f>
        <x:v>2020.04.23.</x:v>
      </x:c>
      <x:c r="K16" s="3" t="str">
        <x:f>IF(초입!J16="","",초입!J16)</x:f>
        <x:v>자폐성장애</x:v>
      </x:c>
      <x:c r="L16" s="3" t="str">
        <x:f>IF(초입!K16="","",초입!K16)</x:f>
        <x:v>자폐성장애</x:v>
      </x:c>
      <x:c r="M16" s="3" t="str">
        <x:f>IF(초입!L16="","",초입!L16)</x:f>
        <x:v>중증</x:v>
      </x:c>
      <x:c r="N16" s="3" t="str">
        <x:f>IF(초입!N16="","",초입!N16)</x:f>
        <x:v>오남초등학교</x:v>
      </x:c>
      <x:c r="O16" s="3" t="str">
        <x:f>IF(초입!O16="","",초입!O16)</x:f>
        <x:v>특수학급</x:v>
      </x:c>
      <x:c r="P16" s="3" t="str">
        <x:f>IF(초입!P16="","",초입!P16)</x:f>
        <x:v/>
      </x:c>
      <x:c r="Q16" s="3">
        <x:f>IF(초입!Q16="","",초입!Q16)</x:f>
        <x:v>0.83699999999999997</x:v>
      </x:c>
      <x:c r="R16" s="3" t="str">
        <x:f>IF(초입!R16="","","1. "&amp;초입!R16&amp;IF(초입!V16&lt;&gt;"",CHAR(10)&amp;"2. "&amp;초입!V16,"")&amp;IF(초입!Z16&lt;&gt;"",CHAR(10)&amp;"3. "&amp;초입!Z16,""))</x:f>
        <x:v>1. 오남초등학교
2. 남양주양지초등학교
3. 양오초등학교</x:v>
      </x:c>
      <x:c r="S16" s="3" t="str">
        <x:f>IF(초입!S16="","",""&amp;초입!S16&amp;IF(초입!W16&lt;&gt;"",CHAR(10)&amp;""&amp;초입!W16,"")&amp;IF(초입!AA16&lt;&gt;"",CHAR(10)&amp;""&amp;초입!AA16,""))</x:f>
        <x:v>특수학급
특수학급
특수학급</x:v>
      </x:c>
      <x:c r="T16" s="3" t="str">
        <x:f>IF(초입!T16="","",""&amp;초입!T16&amp;IF(초입!X16&lt;&gt;"",CHAR(10)&amp;""&amp;초입!X16,"")&amp;IF(초입!AB16&lt;&gt;"",CHAR(10)&amp;""&amp;초입!AB16,""))</x:f>
        <x:v/>
      </x:c>
      <x:c r="U16" s="3" t="str">
        <x:f>IF(초입!U16="","",""&amp;초입!U16&amp;IF(초입!Y16&lt;&gt;"",CHAR(10)&amp;""&amp;초입!Y16,"")&amp;IF(초입!AC16&lt;&gt;"",CHAR(10)&amp;""&amp;초입!AC16,""))</x:f>
        <x:v>0.837
0.97
1.8</x:v>
      </x:c>
      <x:c r="V16" s="3" t="str">
        <x:f>IF(초입!AO16="","",초입!AO16)</x:f>
        <x:v>□ 복지카드: 자폐성장애 중증(~2032.02.26.)</x:v>
      </x:c>
      <x:c r="W16" s="3" t="str">
        <x:f>IF(초입!AP16="","",초입!AP16)</x:f>
        <x:v/>
      </x:c>
      <x:c r="X16" s="3" t="str">
        <x:f>IF(초입!AD16="","",초입!AD16)</x:f>
        <x:v>010-8899-3796</x:v>
      </x:c>
      <x:c r="Y16" s="3" t="str">
        <x:f>IF(초입!AE16="","",초입!AE16)</x:f>
        <x:v/>
      </x:c>
      <x:c r="Z16" s="3" t="str">
        <x:f>IF(초입!M16="","",초입!M16)</x:f>
        <x:v>경기도 남양주시 오남읍 진건오남로759번길 5, 101동 207호(보영아파트)</x:v>
      </x:c>
      <x:c r="AA16" s="7"/>
      <x:c r="AB16" s="7"/>
      <x:c r="AC16" s="7"/>
    </x:row>
    <x:row r="17" spans="1:29" customFormat="1" ht="39" customHeight="1">
      <x:c r="A17" s="3">
        <x:f>초입!A17</x:f>
        <x:v>14</x:v>
      </x:c>
      <x:c r="B17" s="3" t="s">
        <x:v>194</x:v>
      </x:c>
      <x:c r="C17" s="3" t="str">
        <x:f>IF(초입!H17&lt;&gt;"","O","")</x:f>
        <x:v/>
      </x:c>
      <x:c r="D17" s="3" t="str">
        <x:f>IF(초입!I17&lt;&gt;"","O","")</x:f>
        <x:v>O</x:v>
      </x:c>
      <x:c r="E17" s="3" t="str">
        <x:f>초입!B17</x:f>
        <x:v>시립미사어린이집</x:v>
      </x:c>
      <x:c r="F17" s="3" t="str">
        <x:f>IF(초입!C17="","",초입!C17)</x:f>
        <x:v/>
      </x:c>
      <x:c r="G17" s="3">
        <x:f>IF(초입!D17="","",초입!D17)</x:f>
        <x:v>3</x:v>
      </x:c>
      <x:c r="H17" s="3" t="str">
        <x:f>IF(초입!E17="","",초입!E17)</x:f>
        <x:v>한준영</x:v>
      </x:c>
      <x:c r="I17" s="3" t="str">
        <x:f>IF(초입!F17="","",초입!F17)</x:f>
        <x:v>남</x:v>
      </x:c>
      <x:c r="J17" s="3" t="str">
        <x:f>IF(초입!G17="","",초입!G17)</x:f>
        <x:v>2020.04.07.</x:v>
      </x:c>
      <x:c r="K17" s="3" t="str">
        <x:f>IF(초입!J17="","",초입!J17)</x:f>
        <x:v>지적장애
(중도중복 가능)</x:v>
      </x:c>
      <x:c r="L17" s="3" t="str">
        <x:f>IF(초입!K17="","",초입!K17)</x:f>
        <x:v>지적·뇌병변장애</x:v>
      </x:c>
      <x:c r="M17" s="3" t="str">
        <x:f>IF(초입!L17="","",초입!L17)</x:f>
        <x:v>중증</x:v>
      </x:c>
      <x:c r="N17" s="3" t="str">
        <x:f>IF(초입!N17="","",초입!N17)</x:f>
        <x:v>호평초등학교</x:v>
      </x:c>
      <x:c r="O17" s="3" t="str">
        <x:f>IF(초입!O17="","",초입!O17)</x:f>
        <x:v>특수학급</x:v>
      </x:c>
      <x:c r="P17" s="3" t="str">
        <x:f>IF(초입!P17="","",초입!P17)</x:f>
        <x:v/>
      </x:c>
      <x:c r="Q17" s="3">
        <x:f>IF(초입!Q17="","",초입!Q17)</x:f>
        <x:v>0.93500000000000005</x:v>
      </x:c>
      <x:c r="R17" s="3" t="str">
        <x:f>IF(초입!R17="","","1. "&amp;초입!R17&amp;IF(초입!V17&lt;&gt;"",CHAR(10)&amp;"2. "&amp;초입!V17,"")&amp;IF(초입!Z17&lt;&gt;"",CHAR(10)&amp;"3. "&amp;초입!Z17,""))</x:f>
        <x:v>1. 호평초등학교
2. 판곡초등학교
3. 구룡초등학교</x:v>
      </x:c>
      <x:c r="S17" s="3" t="str">
        <x:f>IF(초입!S17="","",""&amp;초입!S17&amp;IF(초입!W17&lt;&gt;"",CHAR(10)&amp;""&amp;초입!W17,"")&amp;IF(초입!AA17&lt;&gt;"",CHAR(10)&amp;""&amp;초입!AA17,""))</x:f>
        <x:v>특수학급
특수학급
특수학급</x:v>
      </x:c>
      <x:c r="T17" s="3" t="str">
        <x:f>IF(초입!T17="","",""&amp;초입!T17&amp;IF(초입!X17&lt;&gt;"",CHAR(10)&amp;""&amp;초입!X17,"")&amp;IF(초입!AB17&lt;&gt;"",CHAR(10)&amp;""&amp;초입!AB17,""))</x:f>
        <x:v/>
      </x:c>
      <x:c r="U17" s="3" t="str">
        <x:f>IF(초입!U17="","",""&amp;초입!U17&amp;IF(초입!Y17&lt;&gt;"",CHAR(10)&amp;""&amp;초입!Y17,"")&amp;IF(초입!AC17&lt;&gt;"",CHAR(10)&amp;""&amp;초입!AC17,""))</x:f>
        <x:v>0.935
1.1
1.4</x:v>
      </x:c>
      <x:c r="V17" s="3" t="str">
        <x:f>IF(초입!AO17="","",초입!AO17)</x:f>
        <x:v>□ 복지카드: 지적·뇌병변장애 중증(~2027.11.09.)
□ 장애인증명서 지적(심한), 뇌병변(심한) 제출</x:v>
      </x:c>
      <x:c r="W17" s="3" t="str">
        <x:f>IF(초입!AP17="","",초입!AP17)</x:f>
        <x:v>특수학교 입학 불가 시 유예 희망</x:v>
      </x:c>
      <x:c r="X17" s="3" t="str">
        <x:f>IF(초입!AD17="","",초입!AD17)</x:f>
        <x:v>010-5219-0736</x:v>
      </x:c>
      <x:c r="Y17" s="3" t="str">
        <x:f>IF(초입!AE17="","",초입!AE17)</x:f>
        <x:v/>
      </x:c>
      <x:c r="Z17" s="3" t="str">
        <x:f>IF(초입!M17="","",초입!M17)</x:f>
        <x:v>경기도 남양주시 천마산로12번길 19-10, 101동 404호(메종드힐)</x:v>
      </x:c>
      <x:c r="AA17" s="7"/>
      <x:c r="AB17" s="7"/>
      <x:c r="AC17" s="7"/>
    </x:row>
    <x:row r="18" spans="1:29" customFormat="1" ht="52.70000000000000284217">
      <x:c r="A18" s="3">
        <x:f>초입!A18</x:f>
        <x:v>15</x:v>
      </x:c>
      <x:c r="B18" s="3" t="s">
        <x:v>194</x:v>
      </x:c>
      <x:c r="C18" s="3" t="str">
        <x:f>IF(초입!H18&lt;&gt;"","O","")</x:f>
        <x:v/>
      </x:c>
      <x:c r="D18" s="3" t="str">
        <x:f>IF(초입!I18&lt;&gt;"","O","")</x:f>
        <x:v>O</x:v>
      </x:c>
      <x:c r="E18" s="3" t="str">
        <x:f>초입!B18</x:f>
        <x:v>시립진접어린이집</x:v>
      </x:c>
      <x:c r="F18" s="3" t="str">
        <x:f>IF(초입!C18="","",초입!C18)</x:f>
        <x:v/>
      </x:c>
      <x:c r="G18" s="3">
        <x:f>IF(초입!D18="","",초입!D18)</x:f>
        <x:v>3</x:v>
      </x:c>
      <x:c r="H18" s="3" t="str">
        <x:f>IF(초입!E18="","",초입!E18)</x:f>
        <x:v>박준상</x:v>
      </x:c>
      <x:c r="I18" s="3" t="str">
        <x:f>IF(초입!F18="","",초입!F18)</x:f>
        <x:v>남</x:v>
      </x:c>
      <x:c r="J18" s="3" t="str">
        <x:f>IF(초입!G18="","",초입!G18)</x:f>
        <x:v>2020.06.02.</x:v>
      </x:c>
      <x:c r="K18" s="3" t="str">
        <x:f>IF(초입!J18="","",초입!J18)</x:f>
        <x:v>자폐성장애</x:v>
      </x:c>
      <x:c r="L18" s="3" t="str">
        <x:f>IF(초입!K18="","",초입!K18)</x:f>
        <x:v>자폐성장애</x:v>
      </x:c>
      <x:c r="M18" s="3" t="str">
        <x:f>IF(초입!L18="","",초입!L18)</x:f>
        <x:v>중증</x:v>
      </x:c>
      <x:c r="N18" s="3" t="str">
        <x:f>IF(초입!N18="","",초입!N18)</x:f>
        <x:v>장승초등학교</x:v>
      </x:c>
      <x:c r="O18" s="3" t="str">
        <x:f>IF(초입!O18="","",초입!O18)</x:f>
        <x:v>특수학급</x:v>
      </x:c>
      <x:c r="P18" s="3" t="str">
        <x:f>IF(초입!P18="","",초입!P18)</x:f>
        <x:v/>
      </x:c>
      <x:c r="Q18" s="3">
        <x:f>IF(초입!Q18="","",초입!Q18)</x:f>
        <x:v>0.67500000000000004</x:v>
      </x:c>
      <x:c r="R18" s="3" t="str">
        <x:f>IF(초입!R18="","","1. "&amp;초입!R18&amp;IF(초입!V18&lt;&gt;"",CHAR(10)&amp;"2. "&amp;초입!V18,"")&amp;IF(초입!Z18&lt;&gt;"",CHAR(10)&amp;"3. "&amp;초입!Z18,""))</x:f>
        <x:v>1. 장승초등학교
2. 해밀초등학교
3. 진접초등학교</x:v>
      </x:c>
      <x:c r="S18" s="3" t="str">
        <x:f>IF(초입!S18="","",""&amp;초입!S18&amp;IF(초입!W18&lt;&gt;"",CHAR(10)&amp;""&amp;초입!W18,"")&amp;IF(초입!AA18&lt;&gt;"",CHAR(10)&amp;""&amp;초입!AA18,""))</x:f>
        <x:v>특수학급
특수학급
특수학급</x:v>
      </x:c>
      <x:c r="T18" s="3" t="str">
        <x:f>IF(초입!T18="","",""&amp;초입!T18&amp;IF(초입!X18&lt;&gt;"",CHAR(10)&amp;""&amp;초입!X18,"")&amp;IF(초입!AB18&lt;&gt;"",CHAR(10)&amp;""&amp;초입!AB18,""))</x:f>
        <x:v/>
      </x:c>
      <x:c r="U18" s="3" t="str">
        <x:f>IF(초입!U18="","",""&amp;초입!U18&amp;IF(초입!Y18&lt;&gt;"",CHAR(10)&amp;""&amp;초입!Y18,"")&amp;IF(초입!AC18&lt;&gt;"",CHAR(10)&amp;""&amp;초입!AC18,""))</x:f>
        <x:v>0.675
1.4
1.4</x:v>
      </x:c>
      <x:c r="V18" s="3" t="str">
        <x:f>IF(초입!AO18="","",초입!AO18)</x:f>
        <x:v>□ 복지카드: 자폐성장애 중증(~2032.05.20.)</x:v>
      </x:c>
      <x:c r="W18" s="3" t="str">
        <x:f>IF(초입!AP18="","",초입!AP18)</x:f>
        <x:v>*장승초에 재학 중인 장애 형제와 동일교 배치 희망
*형제 재학증명서 추가 제출 전화 요청하고 받았음</x:v>
      </x:c>
      <x:c r="X18" s="3" t="str">
        <x:f>IF(초입!AD18="","",초입!AD18)</x:f>
        <x:v>010-8963-3676</x:v>
      </x:c>
      <x:c r="Y18" s="3" t="str">
        <x:f>IF(초입!AE18="","",초입!AE18)</x:f>
        <x:v/>
      </x:c>
      <x:c r="Z18" s="3" t="str">
        <x:f>IF(초입!M18="","",초입!M18)</x:f>
        <x:v>경기도 남양주시 진접읍 금강로 1530-14, 102동 301호(진접하우스토리)</x:v>
      </x:c>
      <x:c r="AA18" s="7"/>
      <x:c r="AB18" s="7"/>
      <x:c r="AC18" s="7"/>
    </x:row>
    <x:row r="19" spans="1:29" customFormat="1" ht="39.54999999999999715783">
      <x:c r="A19" s="3">
        <x:f>초입!A19</x:f>
        <x:v>16</x:v>
      </x:c>
      <x:c r="B19" s="3" t="s">
        <x:v>194</x:v>
      </x:c>
      <x:c r="C19" s="3" t="str">
        <x:f>IF(초입!H19&lt;&gt;"","O","")</x:f>
        <x:v/>
      </x:c>
      <x:c r="D19" s="3" t="str">
        <x:f>IF(초입!I19&lt;&gt;"","O","")</x:f>
        <x:v>O</x:v>
      </x:c>
      <x:c r="E19" s="3" t="str">
        <x:f>초입!B19</x:f>
        <x:v>시립다산아이편한어린이집</x:v>
      </x:c>
      <x:c r="F19" s="3" t="str">
        <x:f>IF(초입!C19="","",초입!C19)</x:f>
        <x:v/>
      </x:c>
      <x:c r="G19" s="3">
        <x:f>IF(초입!D19="","",초입!D19)</x:f>
        <x:v>3</x:v>
      </x:c>
      <x:c r="H19" s="3" t="str">
        <x:f>IF(초입!E19="","",초입!E19)</x:f>
        <x:v>윤수아</x:v>
      </x:c>
      <x:c r="I19" s="3" t="str">
        <x:f>IF(초입!F19="","",초입!F19)</x:f>
        <x:v>여</x:v>
      </x:c>
      <x:c r="J19" s="3" t="str">
        <x:f>IF(초입!G19="","",초입!G19)</x:f>
        <x:v>2020.08.13.</x:v>
      </x:c>
      <x:c r="K19" s="3" t="str">
        <x:f>IF(초입!J19="","",초입!J19)</x:f>
        <x:v>자폐성장애</x:v>
      </x:c>
      <x:c r="L19" s="3" t="str">
        <x:f>IF(초입!K19="","",초입!K19)</x:f>
        <x:v>자폐성장애</x:v>
      </x:c>
      <x:c r="M19" s="3" t="str">
        <x:f>IF(초입!L19="","",초입!L19)</x:f>
        <x:v>중증</x:v>
      </x:c>
      <x:c r="N19" s="3" t="str">
        <x:f>IF(초입!N19="","",초입!N19)</x:f>
        <x:v>다산별빛초등학교</x:v>
      </x:c>
      <x:c r="O19" s="3" t="str">
        <x:f>IF(초입!O19="","",초입!O19)</x:f>
        <x:v>특수학급</x:v>
      </x:c>
      <x:c r="P19" s="3" t="str">
        <x:f>IF(초입!P19="","",초입!P19)</x:f>
        <x:v/>
      </x:c>
      <x:c r="Q19" s="3">
        <x:f>IF(초입!Q19="","",초입!Q19)</x:f>
        <x:v>0.51500000000000001</x:v>
      </x:c>
      <x:c r="R19" s="3" t="str">
        <x:f>IF(초입!R19="","","1. "&amp;초입!R19&amp;IF(초입!V19&lt;&gt;"",CHAR(10)&amp;"2. "&amp;초입!V19,"")&amp;IF(초입!Z19&lt;&gt;"",CHAR(10)&amp;"3. "&amp;초입!Z19,""))</x:f>
        <x:v>1. 다산별빛초등학교
2. 금교초등학교
3. 남양주양정초등학교</x:v>
      </x:c>
      <x:c r="S19" s="3" t="str">
        <x:f>IF(초입!S19="","",""&amp;초입!S19&amp;IF(초입!W19&lt;&gt;"",CHAR(10)&amp;""&amp;초입!W19,"")&amp;IF(초입!AA19&lt;&gt;"",CHAR(10)&amp;""&amp;초입!AA19,""))</x:f>
        <x:v>특수학급
특수학급
특수학급</x:v>
      </x:c>
      <x:c r="T19" s="3" t="str">
        <x:f>IF(초입!T19="","",""&amp;초입!T19&amp;IF(초입!X19&lt;&gt;"",CHAR(10)&amp;""&amp;초입!X19,"")&amp;IF(초입!AB19&lt;&gt;"",CHAR(10)&amp;""&amp;초입!AB19,""))</x:f>
        <x:v/>
      </x:c>
      <x:c r="U19" s="3" t="str">
        <x:f>IF(초입!U19="","",""&amp;초입!U19&amp;IF(초입!Y19&lt;&gt;"",CHAR(10)&amp;""&amp;초입!Y19,"")&amp;IF(초입!AC19&lt;&gt;"",CHAR(10)&amp;""&amp;초입!AC19,""))</x:f>
        <x:v>0.545
0.209
0.969</x:v>
      </x:c>
      <x:c r="V19" s="3" t="str">
        <x:f>IF(초입!AO19="","",초입!AO19)</x:f>
        <x:v>□ 복지카드: 자폐성장애 중증(~2032.02.16.)</x:v>
      </x:c>
      <x:c r="W19" s="3" t="str">
        <x:f>IF(초입!AP19="","",초입!AP19)</x:f>
        <x:v/>
      </x:c>
      <x:c r="X19" s="3" t="str">
        <x:f>IF(초입!AD19="","",초입!AD19)</x:f>
        <x:v>010-4760-2025</x:v>
      </x:c>
      <x:c r="Y19" s="3" t="str">
        <x:f>IF(초입!AE19="","",초입!AE19)</x:f>
        <x:v/>
      </x:c>
      <x:c r="Z19" s="3" t="str">
        <x:f>IF(초입!M19="","",초입!M19)</x:f>
        <x:v>경기도 남양주시 다산중앙로 82번안길 74, 605동 305호(다산푸르지오)</x:v>
      </x:c>
      <x:c r="AA19" s="7"/>
      <x:c r="AB19" s="7"/>
      <x:c r="AC19" s="7"/>
    </x:row>
    <x:row r="20" spans="1:29" customFormat="1" ht="39.54999999999999715783">
      <x:c r="A20" s="3">
        <x:f>초입!A20</x:f>
        <x:v>17</x:v>
      </x:c>
      <x:c r="B20" s="3" t="s">
        <x:v>194</x:v>
      </x:c>
      <x:c r="C20" s="3" t="str">
        <x:f>IF(초입!H20&lt;&gt;"","O","")</x:f>
        <x:v/>
      </x:c>
      <x:c r="D20" s="3" t="str">
        <x:f>IF(초입!I20&lt;&gt;"","O","")</x:f>
        <x:v>O</x:v>
      </x:c>
      <x:c r="E20" s="3" t="str">
        <x:f>초입!B20</x:f>
        <x:v>무지개유치원</x:v>
      </x:c>
      <x:c r="F20" s="3" t="str">
        <x:f>IF(초입!C20="","",초입!C20)</x:f>
        <x:v/>
      </x:c>
      <x:c r="G20" s="3">
        <x:f>IF(초입!D20="","",초입!D20)</x:f>
        <x:v>3</x:v>
      </x:c>
      <x:c r="H20" s="3" t="str">
        <x:f>IF(초입!E20="","",초입!E20)</x:f>
        <x:v>김서진</x:v>
      </x:c>
      <x:c r="I20" s="3" t="str">
        <x:f>IF(초입!F20="","",초입!F20)</x:f>
        <x:v>남</x:v>
      </x:c>
      <x:c r="J20" s="3" t="str">
        <x:f>IF(초입!G20="","",초입!G20)</x:f>
        <x:v>2020.11.12.</x:v>
      </x:c>
      <x:c r="K20" s="3" t="str">
        <x:f>IF(초입!J20="","",초입!J20)</x:f>
        <x:v>발달지체</x:v>
      </x:c>
      <x:c r="L20" s="3" t="str">
        <x:f>IF(초입!K20="","",초입!K20)</x:f>
        <x:v/>
      </x:c>
      <x:c r="M20" s="3" t="str">
        <x:f>IF(초입!L20="","",초입!L20)</x:f>
        <x:v/>
      </x:c>
      <x:c r="N20" s="3" t="str">
        <x:f>IF(초입!N20="","",초입!N20)</x:f>
        <x:v>덕소초등학교</x:v>
      </x:c>
      <x:c r="O20" s="3" t="str">
        <x:f>IF(초입!O20="","",초입!O20)</x:f>
        <x:v>특수학급</x:v>
      </x:c>
      <x:c r="P20" s="3" t="str">
        <x:f>IF(초입!P20="","",초입!P20)</x:f>
        <x:v/>
      </x:c>
      <x:c r="Q20" s="3">
        <x:f>IF(초입!Q20="","",초입!Q20)</x:f>
        <x:v>0.98999999999999999</x:v>
      </x:c>
      <x:c r="R20" s="3" t="str">
        <x:f>IF(초입!R20="","","1. "&amp;초입!R20&amp;IF(초입!V20&lt;&gt;"",CHAR(10)&amp;"2. "&amp;초입!V20,"")&amp;IF(초입!Z20&lt;&gt;"",CHAR(10)&amp;"3. "&amp;초입!Z20,""))</x:f>
        <x:v>1. 덕소초등학교
2. 도곡초등학교
3. 예봉초등학교</x:v>
      </x:c>
      <x:c r="S20" s="3" t="str">
        <x:f>IF(초입!S20="","",""&amp;초입!S20&amp;IF(초입!W20&lt;&gt;"",CHAR(10)&amp;""&amp;초입!W20,"")&amp;IF(초입!AA20&lt;&gt;"",CHAR(10)&amp;""&amp;초입!AA20,""))</x:f>
        <x:v>특수학급
특수학급
특수학급</x:v>
      </x:c>
      <x:c r="T20" s="3" t="str">
        <x:f>IF(초입!T20="","",""&amp;초입!T20&amp;IF(초입!X20&lt;&gt;"",CHAR(10)&amp;""&amp;초입!X20,"")&amp;IF(초입!AB20&lt;&gt;"",CHAR(10)&amp;""&amp;초입!AB20,""))</x:f>
        <x:v/>
      </x:c>
      <x:c r="U20" s="3" t="str">
        <x:f>IF(초입!U20="","",""&amp;초입!U20&amp;IF(초입!Y20&lt;&gt;"",CHAR(10)&amp;""&amp;초입!Y20,"")&amp;IF(초입!AC20&lt;&gt;"",CHAR(10)&amp;""&amp;초입!AC20,""))</x:f>
        <x:v>0.99
1.2
1.9</x:v>
      </x:c>
      <x:c r="V20" s="3" t="str">
        <x:f>IF(초입!AO20="","",초입!AO20)</x:f>
        <x:v xml:space="preserve">26.6.26에 병원에서 윕시 검사 실시, 검사결과 유치원으로 제출 안내완
사회성숙도 추가실시 </x:v>
      </x:c>
      <x:c r="W20" s="3" t="str">
        <x:f>IF(초입!AP20="","",초입!AP20)</x:f>
        <x:v xml:space="preserve">의뢰서 수정공문 요청. / 배치유형, 등본확인 / 6.26에 외부 평가 실시함 / 양식 수정본과 함께 결과 보고서 공문으로 받아야함 </x:v>
      </x:c>
      <x:c r="X20" s="3" t="str">
        <x:f>IF(초입!AD20="","",초입!AD20)</x:f>
        <x:v>010-4745-1367</x:v>
      </x:c>
      <x:c r="Y20" s="3" t="str">
        <x:f>IF(초입!AE20="","",초입!AE20)</x:f>
        <x:v/>
      </x:c>
      <x:c r="Z20" s="3" t="str">
        <x:f>IF(초입!M20="","",초입!M20)</x:f>
        <x:v>경기도 남양주시 덕소로 2번길 39, 덕소강변삼익@ 108동 1502호</x:v>
      </x:c>
      <x:c r="AA20" s="7"/>
      <x:c r="AB20" s="7"/>
      <x:c r="AC20" s="7"/>
    </x:row>
    <x:row r="21" spans="1:29" customFormat="1" ht="105.40000000000000568434">
      <x:c r="A21" s="3">
        <x:f>초입!A21</x:f>
        <x:v>18</x:v>
      </x:c>
      <x:c r="B21" s="3" t="s">
        <x:v>194</x:v>
      </x:c>
      <x:c r="C21" s="3" t="str">
        <x:f>IF(초입!H21&lt;&gt;"","O","")</x:f>
        <x:v>O</x:v>
      </x:c>
      <x:c r="D21" s="3" t="str">
        <x:f>IF(초입!I21&lt;&gt;"","O","")</x:f>
        <x:v/>
      </x:c>
      <x:c r="E21" s="3" t="str">
        <x:f>초입!B21</x:f>
        <x:v>남양주신촌초등학교병설유치원</x:v>
      </x:c>
      <x:c r="F21" s="3" t="str">
        <x:f>IF(초입!C21="","",초입!C21)</x:f>
        <x:v>특수학급</x:v>
      </x:c>
      <x:c r="G21" s="3">
        <x:f>IF(초입!D21="","",초입!D21)</x:f>
        <x:v>3</x:v>
      </x:c>
      <x:c r="H21" s="3" t="str">
        <x:f>IF(초입!E21="","",초입!E21)</x:f>
        <x:v>강민찬</x:v>
      </x:c>
      <x:c r="I21" s="3" t="str">
        <x:f>IF(초입!F21="","",초입!F21)</x:f>
        <x:v>남</x:v>
      </x:c>
      <x:c r="J21" s="3" t="str">
        <x:f>IF(초입!G21="","",초입!G21)</x:f>
        <x:v>2020.01.08.</x:v>
      </x:c>
      <x:c r="K21" s="3" t="str">
        <x:f>IF(초입!J21="","",초입!J21)</x:f>
        <x:v>발달지체
(자폐성장애 가능)</x:v>
      </x:c>
      <x:c r="L21" s="3" t="str">
        <x:f>IF(초입!K21="","",초입!K21)</x:f>
        <x:v/>
      </x:c>
      <x:c r="M21" s="3" t="str">
        <x:f>IF(초입!L21="","",초입!L21)</x:f>
        <x:v/>
      </x:c>
      <x:c r="N21" s="3" t="str">
        <x:f>IF(초입!N21="","",초입!N21)</x:f>
        <x:v>장내초등학교</x:v>
      </x:c>
      <x:c r="O21" s="3" t="str">
        <x:f>IF(초입!O21="","",초입!O21)</x:f>
        <x:v>특수학급</x:v>
      </x:c>
      <x:c r="P21" s="3" t="str">
        <x:f>IF(초입!P21="","",초입!P21)</x:f>
        <x:v/>
      </x:c>
      <x:c r="Q21" s="3">
        <x:f>IF(초입!Q21="","",초입!Q21)</x:f>
        <x:v>0.35999999999999999</x:v>
      </x:c>
      <x:c r="R21" s="3" t="str">
        <x:f>IF(초입!R21="","","1. "&amp;초입!R21&amp;IF(초입!V21&lt;&gt;"",CHAR(10)&amp;"2. "&amp;초입!V21,"")&amp;IF(초입!Z21&lt;&gt;"",CHAR(10)&amp;"3. "&amp;초입!Z21,""))</x:f>
        <x:v>1. 장내초등학교
2. 남양주신촌초등학교
3. 백봉초등학교</x:v>
      </x:c>
      <x:c r="S21" s="3" t="str">
        <x:f>IF(초입!S21="","",""&amp;초입!S21&amp;IF(초입!W21&lt;&gt;"",CHAR(10)&amp;""&amp;초입!W21,"")&amp;IF(초입!AA21&lt;&gt;"",CHAR(10)&amp;""&amp;초입!AA21,""))</x:f>
        <x:v>특수학급
특수학급
특수학급</x:v>
      </x:c>
      <x:c r="T21" s="3" t="str">
        <x:f>IF(초입!T21="","",""&amp;초입!T21&amp;IF(초입!X21&lt;&gt;"",CHAR(10)&amp;""&amp;초입!X21,"")&amp;IF(초입!AB21&lt;&gt;"",CHAR(10)&amp;""&amp;초입!AB21,""))</x:f>
        <x:v/>
      </x:c>
      <x:c r="U21" s="3" t="str">
        <x:f>IF(초입!U21="","",""&amp;초입!U21&amp;IF(초입!Y21&lt;&gt;"",CHAR(10)&amp;""&amp;초입!Y21,"")&amp;IF(초입!AC21&lt;&gt;"",CHAR(10)&amp;""&amp;초입!AC21,""))</x:f>
        <x:v>0.36
0.43
0.55</x:v>
      </x:c>
      <x:c r="V21" s="3" t="str">
        <x:f>IF(초입!AO21="","",초입!AO21)</x:f>
        <x:v>※심리평가보고서(2026.5.14.)
□K-WPPSI-IV: 전체IQ 40 (언어이해 45, 시공간 46, 유동추론 45,        
  작업기억 45, 처리속도 45/매우낮음)
□사회성숙도: SA 2세 4개월, SQ 38.07(매우낮음)
□K-CARS-Ⅱ(ST): 총점 35점(경도에서 중등도 수준의 자폐 관련 행동)
-CBCL, 적응행동검사 추기실시?</x:v>
      </x:c>
      <x:c r="W21" s="3" t="str">
        <x:f>IF(초입!AP21="","",초입!AP21)</x:f>
        <x:v>발달지체로 작성했지만 자폐성장애로 유형 변경 가능성 인지
진단서: 소아기 자폐증(임상적 추정)</x:v>
      </x:c>
      <x:c r="X21" s="3" t="str">
        <x:f>IF(초입!AD21="","",초입!AD21)</x:f>
        <x:v>010-6239-9038</x:v>
      </x:c>
      <x:c r="Y21" s="3" t="str">
        <x:f>IF(초입!AE21="","",초입!AE21)</x:f>
        <x:v/>
      </x:c>
      <x:c r="Z21" s="3" t="str">
        <x:f>IF(초입!M21="","",초입!M21)</x:f>
        <x:v>경기도 남양주시 평내로 89, 1302동 2003호</x:v>
      </x:c>
      <x:c r="AA21" s="7"/>
      <x:c r="AB21" s="7"/>
      <x:c r="AC21" s="7"/>
    </x:row>
    <x:row r="22" spans="1:29" customFormat="1" ht="39.54999999999999715783">
      <x:c r="A22" s="3">
        <x:f>초입!A22</x:f>
        <x:v>19</x:v>
      </x:c>
      <x:c r="B22" s="3" t="s">
        <x:v>194</x:v>
      </x:c>
      <x:c r="C22" s="3" t="str">
        <x:f>IF(초입!H22&lt;&gt;"","O","")</x:f>
        <x:v/>
      </x:c>
      <x:c r="D22" s="3" t="str">
        <x:f>IF(초입!I22&lt;&gt;"","O","")</x:f>
        <x:v>O</x:v>
      </x:c>
      <x:c r="E22" s="3" t="str">
        <x:f>초입!B22</x:f>
        <x:v>시립토평마을어린이집</x:v>
      </x:c>
      <x:c r="F22" s="3" t="str">
        <x:f>IF(초입!C22="","",초입!C22)</x:f>
        <x:v/>
      </x:c>
      <x:c r="G22" s="3">
        <x:f>IF(초입!D22="","",초입!D22)</x:f>
        <x:v>3</x:v>
      </x:c>
      <x:c r="H22" s="3" t="str">
        <x:f>IF(초입!E22="","",초입!E22)</x:f>
        <x:v>박규빈</x:v>
      </x:c>
      <x:c r="I22" s="3" t="str">
        <x:f>IF(초입!F22="","",초입!F22)</x:f>
        <x:v>남</x:v>
      </x:c>
      <x:c r="J22" s="3" t="str">
        <x:f>IF(초입!G22="","",초입!G22)</x:f>
        <x:v>2020.07.17.</x:v>
      </x:c>
      <x:c r="K22" s="3" t="str">
        <x:f>IF(초입!J22="","",초입!J22)</x:f>
        <x:v>자폐성장애</x:v>
      </x:c>
      <x:c r="L22" s="3" t="str">
        <x:f>IF(초입!K22="","",초입!K22)</x:f>
        <x:v>자폐성장애</x:v>
      </x:c>
      <x:c r="M22" s="3" t="str">
        <x:f>IF(초입!L22="","",초입!L22)</x:f>
        <x:v>중증</x:v>
      </x:c>
      <x:c r="N22" s="3" t="str">
        <x:f>IF(초입!N22="","",초입!N22)</x:f>
        <x:v>남양주다산초등학교</x:v>
      </x:c>
      <x:c r="O22" s="3" t="str">
        <x:f>IF(초입!O22="","",초입!O22)</x:f>
        <x:v>특수학급</x:v>
      </x:c>
      <x:c r="P22" s="3" t="str">
        <x:f>IF(초입!P22="","",초입!P22)</x:f>
        <x:v/>
      </x:c>
      <x:c r="Q22" s="3">
        <x:f>IF(초입!Q22="","",초입!Q22)</x:f>
        <x:v>0.307</x:v>
      </x:c>
      <x:c r="R22" s="3" t="str">
        <x:f>IF(초입!R22="","","1. "&amp;초입!R22&amp;IF(초입!V22&lt;&gt;"",CHAR(10)&amp;"2. "&amp;초입!V22,"")&amp;IF(초입!Z22&lt;&gt;"",CHAR(10)&amp;"3. "&amp;초입!Z22,""))</x:f>
        <x:v>1. 남양주다산초등학교
2. 다산새봄초등학교
3. 다산하늘초등학교</x:v>
      </x:c>
      <x:c r="S22" s="3" t="str">
        <x:f>IF(초입!S22="","",""&amp;초입!S22&amp;IF(초입!W22&lt;&gt;"",CHAR(10)&amp;""&amp;초입!W22,"")&amp;IF(초입!AA22&lt;&gt;"",CHAR(10)&amp;""&amp;초입!AA22,""))</x:f>
        <x:v>특수학급
특수학급
특수학급</x:v>
      </x:c>
      <x:c r="T22" s="3" t="str">
        <x:f>IF(초입!T22="","",""&amp;초입!T22&amp;IF(초입!X22&lt;&gt;"",CHAR(10)&amp;""&amp;초입!X22,"")&amp;IF(초입!AB22&lt;&gt;"",CHAR(10)&amp;""&amp;초입!AB22,""))</x:f>
        <x:v/>
      </x:c>
      <x:c r="U22" s="3" t="str">
        <x:f>IF(초입!U22="","",""&amp;초입!U22&amp;IF(초입!Y22&lt;&gt;"",CHAR(10)&amp;""&amp;초입!Y22,"")&amp;IF(초입!AC22&lt;&gt;"",CHAR(10)&amp;""&amp;초입!AC22,""))</x:f>
        <x:v>0.307
0.869
1</x:v>
      </x:c>
      <x:c r="V22" s="3" t="str">
        <x:f>IF(초입!AO22="","",초입!AO22)</x:f>
        <x:v>□ 복지카드: 자폐성장애 중증(~2032.06.19.)</x:v>
      </x:c>
      <x:c r="W22" s="3" t="str">
        <x:f>IF(초입!AP22="","",초입!AP22)</x:f>
        <x:v>도보 통학 기준 / 2,3희망교 바뀜.</x:v>
      </x:c>
      <x:c r="X22" s="3" t="str">
        <x:f>IF(초입!AD22="","",초입!AD22)</x:f>
        <x:v>010-7320-1455</x:v>
      </x:c>
      <x:c r="Y22" s="3" t="str">
        <x:f>IF(초입!AE22="","",초입!AE22)</x:f>
        <x:v/>
      </x:c>
      <x:c r="Z22" s="3" t="str">
        <x:f>IF(초입!M22="","",초입!M22)</x:f>
        <x:v>경기도 남양주시 다산중앙로146번길7, 2202동 1101호(다산동, 다산롯데캐슬)</x:v>
      </x:c>
      <x:c r="AA22" s="7"/>
      <x:c r="AB22" s="7"/>
      <x:c r="AC22" s="7"/>
    </x:row>
    <x:row r="23" spans="1:29" customFormat="1" ht="39.54999999999999715783">
      <x:c r="A23" s="3">
        <x:f>초입!A23</x:f>
        <x:v>20</x:v>
      </x:c>
      <x:c r="B23" s="3" t="s">
        <x:v>194</x:v>
      </x:c>
      <x:c r="C23" s="3" t="str">
        <x:f>IF(초입!H23&lt;&gt;"","O","")</x:f>
        <x:v/>
      </x:c>
      <x:c r="D23" s="3" t="str">
        <x:f>IF(초입!I23&lt;&gt;"","O","")</x:f>
        <x:v>O</x:v>
      </x:c>
      <x:c r="E23" s="3" t="str">
        <x:f>초입!B23</x:f>
        <x:v>시립와부어린이집</x:v>
      </x:c>
      <x:c r="F23" s="3" t="str">
        <x:f>IF(초입!C23="","",초입!C23)</x:f>
        <x:v/>
      </x:c>
      <x:c r="G23" s="3">
        <x:f>IF(초입!D23="","",초입!D23)</x:f>
        <x:v>3</x:v>
      </x:c>
      <x:c r="H23" s="3" t="str">
        <x:f>IF(초입!E23="","",초입!E23)</x:f>
        <x:v>이아윤</x:v>
      </x:c>
      <x:c r="I23" s="3" t="str">
        <x:f>IF(초입!F23="","",초입!F23)</x:f>
        <x:v>여</x:v>
      </x:c>
      <x:c r="J23" s="3" t="str">
        <x:f>IF(초입!G23="","",초입!G23)</x:f>
        <x:v>2020.05.28</x:v>
      </x:c>
      <x:c r="K23" s="3" t="str">
        <x:f>IF(초입!J23="","",초입!J23)</x:f>
        <x:v>자폐성장애</x:v>
      </x:c>
      <x:c r="L23" s="3" t="str">
        <x:f>IF(초입!K23="","",초입!K23)</x:f>
        <x:v>자폐성장애</x:v>
      </x:c>
      <x:c r="M23" s="3" t="str">
        <x:f>IF(초입!L23="","",초입!L23)</x:f>
        <x:v>중증</x:v>
      </x:c>
      <x:c r="N23" s="3" t="str">
        <x:f>IF(초입!N23="","",초입!N23)</x:f>
        <x:v>남양주도곡초등학교</x:v>
      </x:c>
      <x:c r="O23" s="3" t="str">
        <x:f>IF(초입!O23="","",초입!O23)</x:f>
        <x:v>특수학급</x:v>
      </x:c>
      <x:c r="P23" s="3" t="str">
        <x:f>IF(초입!P23="","",초입!P23)</x:f>
        <x:v/>
      </x:c>
      <x:c r="Q23" s="3">
        <x:f>IF(초입!Q23="","",초입!Q23)</x:f>
        <x:v>0.35899999999999999</x:v>
      </x:c>
      <x:c r="R23" s="3" t="str">
        <x:f>IF(초입!R23="","","1. "&amp;초입!R23&amp;IF(초입!V23&lt;&gt;"",CHAR(10)&amp;"2. "&amp;초입!V23,"")&amp;IF(초입!Z23&lt;&gt;"",CHAR(10)&amp;"3. "&amp;초입!Z23,""))</x:f>
        <x:v>1. 남양주도곡초등학교
2. 덕소초등학교
3. 예봉초등학교</x:v>
      </x:c>
      <x:c r="S23" s="3" t="str">
        <x:f>IF(초입!S23="","",""&amp;초입!S23&amp;IF(초입!W23&lt;&gt;"",CHAR(10)&amp;""&amp;초입!W23,"")&amp;IF(초입!AA23&lt;&gt;"",CHAR(10)&amp;""&amp;초입!AA23,""))</x:f>
        <x:v>특수학급
특수학급
특수학급</x:v>
      </x:c>
      <x:c r="T23" s="3" t="str">
        <x:f>IF(초입!T23="","",""&amp;초입!T23&amp;IF(초입!X23&lt;&gt;"",CHAR(10)&amp;""&amp;초입!X23,"")&amp;IF(초입!AB23&lt;&gt;"",CHAR(10)&amp;""&amp;초입!AB23,""))</x:f>
        <x:v/>
      </x:c>
      <x:c r="U23" s="3" t="str">
        <x:f>IF(초입!U23="","",""&amp;초입!U23&amp;IF(초입!Y23&lt;&gt;"",CHAR(10)&amp;""&amp;초입!Y23,"")&amp;IF(초입!AC23&lt;&gt;"",CHAR(10)&amp;""&amp;초입!AC23,""))</x:f>
        <x:v>0.359
0.98
1.8</x:v>
      </x:c>
      <x:c r="V23" s="3" t="str">
        <x:f>IF(초입!AO23="","",초입!AO23)</x:f>
        <x:v>□ 복지카드: 자폐성장애 중증(2032. 07. 20.)</x:v>
      </x:c>
      <x:c r="W23" s="3" t="str">
        <x:f>IF(초입!AP23="","",초입!AP23)</x:f>
        <x:v>복지카드 추가 제출 받아야 / 완료</x:v>
      </x:c>
      <x:c r="X23" s="3" t="str">
        <x:f>IF(초입!AD23="","",초입!AD23)</x:f>
        <x:v>010-4188-6163</x:v>
      </x:c>
      <x:c r="Y23" s="3" t="str">
        <x:f>IF(초입!AE23="","",초입!AE23)</x:f>
        <x:v/>
      </x:c>
      <x:c r="Z23" s="3" t="str">
        <x:f>IF(초입!M23="","",초입!M23)</x:f>
        <x:v>경기도 남양주시 와부읍 덕소로 150, 강변현대아파트 102동 1304호</x:v>
      </x:c>
      <x:c r="AA23" s="7"/>
      <x:c r="AB23" s="7"/>
      <x:c r="AC23" s="7"/>
    </x:row>
    <x:row r="24" spans="1:29" customFormat="1" ht="118.54999999999999715783">
      <x:c r="A24" s="3">
        <x:f>초입!A24</x:f>
        <x:v>21</x:v>
      </x:c>
      <x:c r="B24" s="3" t="s">
        <x:v>194</x:v>
      </x:c>
      <x:c r="C24" s="3" t="str">
        <x:f>IF(초입!H24&lt;&gt;"","O","")</x:f>
        <x:v/>
      </x:c>
      <x:c r="D24" s="3" t="str">
        <x:f>IF(초입!I24&lt;&gt;"","O","")</x:f>
        <x:v>O</x:v>
      </x:c>
      <x:c r="E24" s="3" t="str">
        <x:f>초입!B24</x:f>
        <x:v>동그라미어린이집</x:v>
      </x:c>
      <x:c r="F24" s="3" t="str">
        <x:f>IF(초입!C24="","",초입!C24)</x:f>
        <x:v/>
      </x:c>
      <x:c r="G24" s="3">
        <x:f>IF(초입!D24="","",초입!D24)</x:f>
        <x:v>3</x:v>
      </x:c>
      <x:c r="H24" s="3" t="str">
        <x:f>IF(초입!E24="","",초입!E24)</x:f>
        <x:v>박태연</x:v>
      </x:c>
      <x:c r="I24" s="3" t="str">
        <x:f>IF(초입!F24="","",초입!F24)</x:f>
        <x:v>여</x:v>
      </x:c>
      <x:c r="J24" s="3" t="str">
        <x:f>IF(초입!G24="","",초입!G24)</x:f>
        <x:v>2020.06.25.</x:v>
      </x:c>
      <x:c r="K24" s="3" t="str">
        <x:f>IF(초입!J24="","",초입!J24)</x:f>
        <x:v>지적장애</x:v>
      </x:c>
      <x:c r="L24" s="3" t="str">
        <x:f>IF(초입!K24="","",초입!K24)</x:f>
        <x:v/>
      </x:c>
      <x:c r="M24" s="3" t="str">
        <x:f>IF(초입!L24="","",초입!L24)</x:f>
        <x:v/>
      </x:c>
      <x:c r="N24" s="3" t="str">
        <x:f>IF(초입!N24="","",초입!N24)</x:f>
        <x:v>가곡초등학교</x:v>
      </x:c>
      <x:c r="O24" s="3" t="str">
        <x:f>IF(초입!O24="","",초입!O24)</x:f>
        <x:v>특수학급</x:v>
      </x:c>
      <x:c r="P24" s="3" t="str">
        <x:f>IF(초입!P24="","",초입!P24)</x:f>
        <x:v/>
      </x:c>
      <x:c r="Q24" s="3">
        <x:f>IF(초입!Q24="","",초입!Q24)</x:f>
        <x:v>2.2000000000000002</x:v>
      </x:c>
      <x:c r="R24" s="3" t="str">
        <x:f>IF(초입!R24="","","1. "&amp;초입!R24&amp;IF(초입!V24&lt;&gt;"",CHAR(10)&amp;"2. "&amp;초입!V24,"")&amp;IF(초입!Z24&lt;&gt;"",CHAR(10)&amp;"3. "&amp;초입!Z24,""))</x:f>
        <x:v>1. 가곡초등학교
2. 화도초등학교
3. 남양주송라초등학교</x:v>
      </x:c>
      <x:c r="S24" s="3" t="str">
        <x:f>IF(초입!S24="","",""&amp;초입!S24&amp;IF(초입!W24&lt;&gt;"",CHAR(10)&amp;""&amp;초입!W24,"")&amp;IF(초입!AA24&lt;&gt;"",CHAR(10)&amp;""&amp;초입!AA24,""))</x:f>
        <x:v>특수학급
특수학급
특수학급</x:v>
      </x:c>
      <x:c r="T24" s="3" t="str">
        <x:f>IF(초입!T24="","",""&amp;초입!T24&amp;IF(초입!X24&lt;&gt;"",CHAR(10)&amp;""&amp;초입!X24,"")&amp;IF(초입!AB24&lt;&gt;"",CHAR(10)&amp;""&amp;초입!AB24,""))</x:f>
        <x:v/>
      </x:c>
      <x:c r="U24" s="3" t="str">
        <x:f>IF(초입!U24="","",""&amp;초입!U24&amp;IF(초입!Y24&lt;&gt;"",CHAR(10)&amp;""&amp;초입!Y24,"")&amp;IF(초입!AC24&lt;&gt;"",CHAR(10)&amp;""&amp;초입!AC24,""))</x:f>
        <x:v>2.2
1.3
2.1</x:v>
      </x:c>
      <x:c r="V24" s="3" t="str">
        <x:f>IF(초입!AO24="","",초입!AO24)</x:f>
        <x:v>※심리평가보고서
□ 지능검사 결과(08.04. 결과지 수령 예정),
□ 사회성숙도: SA 3세 11개월, SQ 65.1(경도)
□ 적응행동검사: 표준점수 71 (저조한 수준)
※심리평가보고서(2025.7.1.)(CA 60개월시점)
□PRES: 수용언어 70점 (3세6개월/2%ile) , 표현언어 81.67점 (4세 1
  개월/6%ile)
□U-TAP2: 자음정확도 63.83% (&lt;1%ile/중도)</x:v>
      </x:c>
      <x:c r="W24" s="3" t="str">
        <x:f>IF(초입!AP24="","",초입!AP24)</x:f>
        <x:v>지능검사 결과 8월초 추가 예정</x:v>
      </x:c>
      <x:c r="X24" s="3" t="str">
        <x:f>IF(초입!AD24="","",초입!AD24)</x:f>
        <x:v>010-5092-4027</x:v>
      </x:c>
      <x:c r="Y24" s="3" t="str">
        <x:f>IF(초입!AE24="","",초입!AE24)</x:f>
        <x:v/>
      </x:c>
      <x:c r="Z24" s="3" t="str">
        <x:f>IF(초입!M24="","",초입!M24)</x:f>
        <x:v>경기도 남양주시 화도읍 비룡로 186, 110동 304호</x:v>
      </x:c>
      <x:c r="AA24" s="7"/>
      <x:c r="AB24" s="7"/>
      <x:c r="AC24" s="7"/>
    </x:row>
    <x:row r="25" spans="1:29" customFormat="1" ht="39.54999999999999715783">
      <x:c r="A25" s="3">
        <x:f>초입!A25</x:f>
        <x:v>22</x:v>
      </x:c>
      <x:c r="B25" s="3" t="s">
        <x:v>194</x:v>
      </x:c>
      <x:c r="C25" s="3" t="str">
        <x:f>IF(초입!H25&lt;&gt;"","O","")</x:f>
        <x:v/>
      </x:c>
      <x:c r="D25" s="3" t="str">
        <x:f>IF(초입!I25&lt;&gt;"","O","")</x:f>
        <x:v>O</x:v>
      </x:c>
      <x:c r="E25" s="3" t="str">
        <x:f>초입!B25</x:f>
        <x:v>다산자이폴라리스어린이집</x:v>
      </x:c>
      <x:c r="F25" s="3" t="str">
        <x:f>IF(초입!C25="","",초입!C25)</x:f>
        <x:v/>
      </x:c>
      <x:c r="G25" s="3">
        <x:f>IF(초입!D25="","",초입!D25)</x:f>
        <x:v>3</x:v>
      </x:c>
      <x:c r="H25" s="3" t="str">
        <x:f>IF(초입!E25="","",초입!E25)</x:f>
        <x:v>박재하</x:v>
      </x:c>
      <x:c r="I25" s="3" t="str">
        <x:f>IF(초입!F25="","",초입!F25)</x:f>
        <x:v>남</x:v>
      </x:c>
      <x:c r="J25" s="3" t="str">
        <x:f>IF(초입!G25="","",초입!G25)</x:f>
        <x:v>2020.09.03.</x:v>
      </x:c>
      <x:c r="K25" s="3" t="str">
        <x:f>IF(초입!J25="","",초입!J25)</x:f>
        <x:v>자폐성장애</x:v>
      </x:c>
      <x:c r="L25" s="3" t="str">
        <x:f>IF(초입!K25="","",초입!K25)</x:f>
        <x:v>자폐성장애</x:v>
      </x:c>
      <x:c r="M25" s="3" t="str">
        <x:f>IF(초입!L25="","",초입!L25)</x:f>
        <x:v>중증</x:v>
      </x:c>
      <x:c r="N25" s="3" t="str">
        <x:f>IF(초입!N25="","",초입!N25)</x:f>
        <x:v>다산하늘초등학교</x:v>
      </x:c>
      <x:c r="O25" s="3" t="str">
        <x:f>IF(초입!O25="","",초입!O25)</x:f>
        <x:v>특수학급</x:v>
      </x:c>
      <x:c r="P25" s="3" t="str">
        <x:f>IF(초입!P25="","",초입!P25)</x:f>
        <x:v/>
      </x:c>
      <x:c r="Q25" s="3">
        <x:f>IF(초입!Q25="","",초입!Q25)</x:f>
        <x:v>0.56999999999999995</x:v>
      </x:c>
      <x:c r="R25" s="3" t="str">
        <x:f>IF(초입!R25="","","1. "&amp;초입!R25&amp;IF(초입!V25&lt;&gt;"",CHAR(10)&amp;"2. "&amp;초입!V25,"")&amp;IF(초입!Z25&lt;&gt;"",CHAR(10)&amp;"3. "&amp;초입!Z25,""))</x:f>
        <x:v>1. 다산하늘초등학교
2. 남양주다산초등학교
3. 다산새봄초등학교</x:v>
      </x:c>
      <x:c r="S25" s="3" t="str">
        <x:f>IF(초입!S25="","",""&amp;초입!S25&amp;IF(초입!W25&lt;&gt;"",CHAR(10)&amp;""&amp;초입!W25,"")&amp;IF(초입!AA25&lt;&gt;"",CHAR(10)&amp;""&amp;초입!AA25,""))</x:f>
        <x:v>특수학급
특수학급
특수학급</x:v>
      </x:c>
      <x:c r="T25" s="3" t="str">
        <x:f>IF(초입!T25="","",""&amp;초입!T25&amp;IF(초입!X25&lt;&gt;"",CHAR(10)&amp;""&amp;초입!X25,"")&amp;IF(초입!AB25&lt;&gt;"",CHAR(10)&amp;""&amp;초입!AB25,""))</x:f>
        <x:v/>
      </x:c>
      <x:c r="U25" s="3" t="str">
        <x:f>IF(초입!U25="","",""&amp;초입!U25&amp;IF(초입!Y25&lt;&gt;"",CHAR(10)&amp;""&amp;초입!Y25,"")&amp;IF(초입!AC25&lt;&gt;"",CHAR(10)&amp;""&amp;초입!AC25,""))</x:f>
        <x:v>0.57
1.1
1.8</x:v>
      </x:c>
      <x:c r="V25" s="3" t="str">
        <x:f>IF(초입!AO25="","",초입!AO25)</x:f>
        <x:v>□ 복지카드: 자폐성장애 중증(~2032.06.08.)</x:v>
      </x:c>
      <x:c r="W25" s="3" t="str">
        <x:f>IF(초입!AP25="","",초입!AP25)</x:f>
        <x:v/>
      </x:c>
      <x:c r="X25" s="3" t="str">
        <x:f>IF(초입!AD25="","",초입!AD25)</x:f>
        <x:v>010-3074-5250</x:v>
      </x:c>
      <x:c r="Y25" s="3" t="str">
        <x:f>IF(초입!AE25="","",초입!AE25)</x:f>
        <x:v/>
      </x:c>
      <x:c r="Z25" s="3" t="str">
        <x:f>IF(초입!M25="","",초입!M25)</x:f>
        <x:v>경기도 남양주시 다산순환로 242, 다산자이폴라리스 1404동 603호</x:v>
      </x:c>
      <x:c r="AA25" s="7"/>
      <x:c r="AB25" s="7"/>
      <x:c r="AC25" s="7"/>
    </x:row>
    <x:row r="26" spans="1:29" customFormat="1" ht="39.54999999999999715783">
      <x:c r="A26" s="3">
        <x:f>초입!A26</x:f>
        <x:v>23</x:v>
      </x:c>
      <x:c r="B26" s="3" t="s">
        <x:v>194</x:v>
      </x:c>
      <x:c r="C26" s="3" t="str">
        <x:f>IF(초입!H26&lt;&gt;"","O","")</x:f>
        <x:v/>
      </x:c>
      <x:c r="D26" s="3" t="str">
        <x:f>IF(초입!I26&lt;&gt;"","O","")</x:f>
        <x:v>O</x:v>
      </x:c>
      <x:c r="E26" s="3" t="str">
        <x:f>초입!B26</x:f>
        <x:v>화도어린이집</x:v>
      </x:c>
      <x:c r="F26" s="3" t="str">
        <x:f>IF(초입!C26="","",초입!C26)</x:f>
        <x:v/>
      </x:c>
      <x:c r="G26" s="3">
        <x:f>IF(초입!D26="","",초입!D26)</x:f>
        <x:v>3</x:v>
      </x:c>
      <x:c r="H26" s="3" t="str">
        <x:f>IF(초입!E26="","",초입!E26)</x:f>
        <x:v>조민채</x:v>
      </x:c>
      <x:c r="I26" s="3" t="str">
        <x:f>IF(초입!F26="","",초입!F26)</x:f>
        <x:v>여</x:v>
      </x:c>
      <x:c r="J26" s="3" t="str">
        <x:f>IF(초입!G26="","",초입!G26)</x:f>
        <x:v>2020.06.10.</x:v>
      </x:c>
      <x:c r="K26" s="3" t="str">
        <x:f>IF(초입!J26="","",초입!J26)</x:f>
        <x:v>지적장애</x:v>
      </x:c>
      <x:c r="L26" s="3" t="str">
        <x:f>IF(초입!K26="","",초입!K26)</x:f>
        <x:v>지적뇌병변장애</x:v>
      </x:c>
      <x:c r="M26" s="3" t="str">
        <x:f>IF(초입!L26="","",초입!L26)</x:f>
        <x:v>중증</x:v>
      </x:c>
      <x:c r="N26" s="3" t="str">
        <x:f>IF(초입!N26="","",초입!N26)</x:f>
        <x:v>차산초등학교</x:v>
      </x:c>
      <x:c r="O26" s="3" t="str">
        <x:f>IF(초입!O26="","",초입!O26)</x:f>
        <x:v>특수학급</x:v>
      </x:c>
      <x:c r="P26" s="3" t="str">
        <x:f>IF(초입!P26="","",초입!P26)</x:f>
        <x:v/>
      </x:c>
      <x:c r="Q26" s="3">
        <x:f>IF(초입!Q26="","",초입!Q26)</x:f>
        <x:v>0.40000000000000002</x:v>
      </x:c>
      <x:c r="R26" s="3" t="str">
        <x:f>IF(초입!R26="","","1. "&amp;초입!R26&amp;IF(초입!V26&lt;&gt;"",CHAR(10)&amp;"2. "&amp;초입!V26,"")&amp;IF(초입!Z26&lt;&gt;"",CHAR(10)&amp;"3. "&amp;초입!Z26,""))</x:f>
        <x:v>1. 차산초등학교
2. 창현초등학교
3. 마석초등학교</x:v>
      </x:c>
      <x:c r="S26" s="3" t="str">
        <x:f>IF(초입!S26="","",""&amp;초입!S26&amp;IF(초입!W26&lt;&gt;"",CHAR(10)&amp;""&amp;초입!W26,"")&amp;IF(초입!AA26&lt;&gt;"",CHAR(10)&amp;""&amp;초입!AA26,""))</x:f>
        <x:v>특수학급
특수학급
특수학급</x:v>
      </x:c>
      <x:c r="T26" s="3" t="str">
        <x:f>IF(초입!T26="","",""&amp;초입!T26&amp;IF(초입!X26&lt;&gt;"",CHAR(10)&amp;""&amp;초입!X26,"")&amp;IF(초입!AB26&lt;&gt;"",CHAR(10)&amp;""&amp;초입!AB26,""))</x:f>
        <x:v/>
      </x:c>
      <x:c r="U26" s="3" t="str">
        <x:f>IF(초입!U26="","",""&amp;초입!U26&amp;IF(초입!Y26&lt;&gt;"",CHAR(10)&amp;""&amp;초입!Y26,"")&amp;IF(초입!AC26&lt;&gt;"",CHAR(10)&amp;""&amp;초입!AC26,""))</x:f>
        <x:v>0.4
1.6
2.1</x:v>
      </x:c>
      <x:c r="V26" s="3" t="str">
        <x:f>IF(초입!AO26="","",초입!AO26)</x:f>
        <x:v>□ 복지카드: 지적뇌병변장애 중증(~2026.10.15.)</x:v>
      </x:c>
      <x:c r="W26" s="3" t="str">
        <x:f>IF(초입!AP26="","",초입!AP26)</x:f>
        <x:v>장애인증명서 추가 제출 예정 / 지적,뇌병변에서 지적으로 변경 예정 / 7월중 이메일로 예정. 문자 보냄. / 들어옴</x:v>
      </x:c>
      <x:c r="X26" s="3" t="str">
        <x:f>IF(초입!AD26="","",초입!AD26)</x:f>
        <x:v>010-8485-8640</x:v>
      </x:c>
      <x:c r="Y26" s="3" t="str">
        <x:f>IF(초입!AE26="","",초입!AE26)</x:f>
        <x:v/>
      </x:c>
      <x:c r="Z26" s="3" t="str">
        <x:f>IF(초입!M26="","",초입!M26)</x:f>
        <x:v>경기도 남양주시 화도읍 수레로 1105-27, 204-804</x:v>
      </x:c>
      <x:c r="AA26" s="7"/>
      <x:c r="AB26" s="7"/>
      <x:c r="AC26" s="7"/>
    </x:row>
    <x:row r="27" spans="1:29" customFormat="1" ht="65.84999999999999431566">
      <x:c r="A27" s="3">
        <x:f>초입!A27</x:f>
        <x:v>24</x:v>
      </x:c>
      <x:c r="B27" s="3" t="s">
        <x:v>194</x:v>
      </x:c>
      <x:c r="C27" s="3" t="str">
        <x:f>IF(초입!H27&lt;&gt;"","O","")</x:f>
        <x:v/>
      </x:c>
      <x:c r="D27" s="3" t="str">
        <x:f>IF(초입!I27&lt;&gt;"","O","")</x:f>
        <x:v>O</x:v>
      </x:c>
      <x:c r="E27" s="3" t="str">
        <x:f>초입!B27</x:f>
        <x:v>안델센어린이집</x:v>
      </x:c>
      <x:c r="F27" s="3" t="str">
        <x:f>IF(초입!C27="","",초입!C27)</x:f>
        <x:v/>
      </x:c>
      <x:c r="G27" s="3">
        <x:f>IF(초입!D27="","",초입!D27)</x:f>
        <x:v>3</x:v>
      </x:c>
      <x:c r="H27" s="3" t="str">
        <x:f>IF(초입!E27="","",초입!E27)</x:f>
        <x:v>홍나예</x:v>
      </x:c>
      <x:c r="I27" s="3" t="str">
        <x:f>IF(초입!F27="","",초입!F27)</x:f>
        <x:v>여</x:v>
      </x:c>
      <x:c r="J27" s="3" t="str">
        <x:f>IF(초입!G27="","",초입!G27)</x:f>
        <x:v>2020.02.16.</x:v>
      </x:c>
      <x:c r="K27" s="3" t="str">
        <x:f>IF(초입!J27="","",초입!J27)</x:f>
        <x:v>지적장애
(발달지체로 신청)</x:v>
      </x:c>
      <x:c r="L27" s="3" t="str">
        <x:f>IF(초입!K27="","",초입!K27)</x:f>
        <x:v/>
      </x:c>
      <x:c r="M27" s="3" t="str">
        <x:f>IF(초입!L27="","",초입!L27)</x:f>
        <x:v/>
      </x:c>
      <x:c r="N27" s="3" t="str">
        <x:f>IF(초입!N27="","",초입!N27)</x:f>
        <x:v>교문초등학교</x:v>
      </x:c>
      <x:c r="O27" s="3" t="str">
        <x:f>IF(초입!O27="","",초입!O27)</x:f>
        <x:v>특수학급</x:v>
      </x:c>
      <x:c r="P27" s="3" t="str">
        <x:f>IF(초입!P27="","",초입!P27)</x:f>
        <x:v/>
      </x:c>
      <x:c r="Q27" s="3">
        <x:f>IF(초입!Q27="","",초입!Q27)</x:f>
        <x:v>0.22700000000000001</x:v>
      </x:c>
      <x:c r="R27" s="3" t="str">
        <x:f>IF(초입!R27="","","1. "&amp;초입!R27&amp;IF(초입!V27&lt;&gt;"",CHAR(10)&amp;"2. "&amp;초입!V27,"")&amp;IF(초입!Z27&lt;&gt;"",CHAR(10)&amp;"3. "&amp;초입!Z27,""))</x:f>
        <x:v>1. 교문초등학교
2. 도림초등학교
3. 백문초등학교</x:v>
      </x:c>
      <x:c r="S27" s="3" t="str">
        <x:f>IF(초입!S27="","",""&amp;초입!S27&amp;IF(초입!W27&lt;&gt;"",CHAR(10)&amp;""&amp;초입!W27,"")&amp;IF(초입!AA27&lt;&gt;"",CHAR(10)&amp;""&amp;초입!AA27,""))</x:f>
        <x:v>특수학급
특수학급
특수학급</x:v>
      </x:c>
      <x:c r="T27" s="3" t="str">
        <x:f>IF(초입!T27="","",""&amp;초입!T27&amp;IF(초입!X27&lt;&gt;"",CHAR(10)&amp;""&amp;초입!X27,"")&amp;IF(초입!AB27&lt;&gt;"",CHAR(10)&amp;""&amp;초입!AB27,""))</x:f>
        <x:v/>
      </x:c>
      <x:c r="U27" s="3" t="str">
        <x:f>IF(초입!U27="","",""&amp;초입!U27&amp;IF(초입!Y27&lt;&gt;"",CHAR(10)&amp;""&amp;초입!Y27,"")&amp;IF(초입!AC27&lt;&gt;"",CHAR(10)&amp;""&amp;초입!AC27,""))</x:f>
        <x:v>0.227
0.45
0.9</x:v>
      </x:c>
      <x:c r="V27" s="3" t="str">
        <x:f>IF(초입!AO27="","",초입!AO27)</x:f>
        <x:v>※2026년 7월 9일 검사 실시
□K-WISC-V: 전체IQ 48(언어이해 50, 시공간 70, 유동추론 60, 작업기억 53, 처리속도 55/매우 낮음)
□적응행동검사: 표준점수 70(저조한 수준)
□사회성숙도: SA 3세 0개월, SQ 47.39(중등도)</x:v>
      </x:c>
      <x:c r="W27" s="3" t="str">
        <x:f>IF(초입!AP27="","",초입!AP27)</x:f>
        <x:v/>
      </x:c>
      <x:c r="X27" s="3" t="str">
        <x:f>IF(초입!AD27="","",초입!AD27)</x:f>
        <x:v>010-6622-6482</x:v>
      </x:c>
      <x:c r="Y27" s="3" t="str">
        <x:f>IF(초입!AE27="","",초입!AE27)</x:f>
        <x:v/>
      </x:c>
      <x:c r="Z27" s="3" t="str">
        <x:f>IF(초입!M27="","",초입!M27)</x:f>
        <x:v>경기도 구리시 안골로20번길 8-17, 101호</x:v>
      </x:c>
      <x:c r="AA27" s="7"/>
      <x:c r="AB27" s="7"/>
      <x:c r="AC27" s="7"/>
    </x:row>
    <x:row r="28" spans="1:29" customFormat="1" ht="158.05000000000001136868">
      <x:c r="A28" s="3">
        <x:f>초입!A28</x:f>
        <x:v>25</x:v>
      </x:c>
      <x:c r="B28" s="3" t="s">
        <x:v>194</x:v>
      </x:c>
      <x:c r="C28" s="3" t="str">
        <x:f>IF(초입!H28&lt;&gt;"","O","")</x:f>
        <x:v/>
      </x:c>
      <x:c r="D28" s="3" t="str">
        <x:f>IF(초입!I28&lt;&gt;"","O","")</x:f>
        <x:v>O</x:v>
      </x:c>
      <x:c r="E28" s="3" t="str">
        <x:f>초입!B28</x:f>
        <x:v>진접어린이집</x:v>
      </x:c>
      <x:c r="F28" s="3" t="str">
        <x:f>IF(초입!C28="","",초입!C28)</x:f>
        <x:v/>
      </x:c>
      <x:c r="G28" s="3">
        <x:f>IF(초입!D28="","",초입!D28)</x:f>
        <x:v>3</x:v>
      </x:c>
      <x:c r="H28" s="3" t="str">
        <x:f>IF(초입!E28="","",초입!E28)</x:f>
        <x:v>박서준</x:v>
      </x:c>
      <x:c r="I28" s="3" t="str">
        <x:f>IF(초입!F28="","",초입!F28)</x:f>
        <x:v>남</x:v>
      </x:c>
      <x:c r="J28" s="3" t="str">
        <x:f>IF(초입!G28="","",초입!G28)</x:f>
        <x:v>2020.12.02.</x:v>
      </x:c>
      <x:c r="K28" s="3" t="str">
        <x:f>IF(초입!J28="","",초입!J28)</x:f>
        <x:v>발달지체</x:v>
      </x:c>
      <x:c r="L28" s="3" t="str">
        <x:f>IF(초입!K28="","",초입!K28)</x:f>
        <x:v/>
      </x:c>
      <x:c r="M28" s="3" t="str">
        <x:f>IF(초입!L28="","",초입!L28)</x:f>
        <x:v/>
      </x:c>
      <x:c r="N28" s="3" t="str">
        <x:f>IF(초입!N28="","",초입!N28)</x:f>
        <x:v>광릉초등학교</x:v>
      </x:c>
      <x:c r="O28" s="3" t="str">
        <x:f>IF(초입!O28="","",초입!O28)</x:f>
        <x:v>특수학급</x:v>
      </x:c>
      <x:c r="P28" s="3" t="str">
        <x:f>IF(초입!P28="","",초입!P28)</x:f>
        <x:v/>
      </x:c>
      <x:c r="Q28" s="3">
        <x:f>IF(초입!Q28="","",초입!Q28)</x:f>
        <x:v>0.65400000000000003</x:v>
      </x:c>
      <x:c r="R28" s="3" t="str">
        <x:f>IF(초입!R28="","","1. "&amp;초입!R28&amp;IF(초입!V28&lt;&gt;"",CHAR(10)&amp;"2. "&amp;초입!V28,"")&amp;IF(초입!Z28&lt;&gt;"",CHAR(10)&amp;"3. "&amp;초입!Z28,""))</x:f>
        <x:v>1. 광릉초등학교
2. 부평초등학교
3. 장승초등학교</x:v>
      </x:c>
      <x:c r="S28" s="3" t="str">
        <x:f>IF(초입!S28="","",""&amp;초입!S28&amp;IF(초입!W28&lt;&gt;"",CHAR(10)&amp;""&amp;초입!W28,"")&amp;IF(초입!AA28&lt;&gt;"",CHAR(10)&amp;""&amp;초입!AA28,""))</x:f>
        <x:v>특수학급
특수학급
특수학급</x:v>
      </x:c>
      <x:c r="T28" s="3" t="str">
        <x:f>IF(초입!T28="","",""&amp;초입!T28&amp;IF(초입!X28&lt;&gt;"",CHAR(10)&amp;""&amp;초입!X28,"")&amp;IF(초입!AB28&lt;&gt;"",CHAR(10)&amp;""&amp;초입!AB28,""))</x:f>
        <x:v/>
      </x:c>
      <x:c r="U28" s="3" t="str">
        <x:f>IF(초입!U28="","",""&amp;초입!U28&amp;IF(초입!Y28&lt;&gt;"",CHAR(10)&amp;""&amp;초입!Y28,"")&amp;IF(초입!AC28&lt;&gt;"",CHAR(10)&amp;""&amp;초입!AC28,""))</x:f>
        <x:v>0.654
2.2
3.3</x:v>
      </x:c>
      <x:c r="V28" s="3" t="str">
        <x:f>IF(초입!AO28="","",초입!AO28)</x:f>
        <x:v>※2026년 3월 3일 검사 실시
□K-WPPSI-IV: 전체IQ 80 (언어이해 71, 시공간 120, 유동추론 69,        
  작업기억 89, 처리속도 84/평균 이하)
  *GAI 지표점수 87(평균 이하)
□사회성숙도: SA 3세 9개월, SQ 78.8(경계선)
□적응행동검사: 표준점수 73(저조한 수준)
※2026년 3월 18일 언어검사 실시(검사당시 5세 3개월)
□PRES: 수용언어 31점 (4세4개월/5%ile) , 표현언어 30점 (3세 11
  개월/5%ile), 통합언어 50개월(4세 2개월)
□U-TAP2: 자음정확도 62.77% (-2SD/조음치료 요망)</x:v>
      </x:c>
      <x:c r="W28" s="3" t="str">
        <x:f>IF(초입!AP28="","",초입!AP28)</x:f>
        <x:v>-26년4월 유치 상시 평가결과 활용
-26년4월 상시 부평초병유 배치 후 5월에 바로 취소(방과후 문제)</x:v>
      </x:c>
      <x:c r="X28" s="3" t="str">
        <x:f>IF(초입!AD28="","",초입!AD28)</x:f>
        <x:v>010-5028-2212</x:v>
      </x:c>
      <x:c r="Y28" s="3" t="str">
        <x:f>IF(초입!AE28="","",초입!AE28)</x:f>
        <x:v/>
      </x:c>
      <x:c r="Z28" s="3" t="str">
        <x:f>IF(초입!M28="","",초입!M28)</x:f>
        <x:v>경기도 남양주시 진접읍 진벌로 78-17 진하우스 나동301호</x:v>
      </x:c>
      <x:c r="AA28" s="7"/>
      <x:c r="AB28" s="7"/>
      <x:c r="AC28" s="7"/>
    </x:row>
    <x:row r="29" spans="1:29" customFormat="1" ht="39.54999999999999715783">
      <x:c r="A29" s="3">
        <x:f>초입!A29</x:f>
        <x:v>26</x:v>
      </x:c>
      <x:c r="B29" s="3" t="s">
        <x:v>194</x:v>
      </x:c>
      <x:c r="C29" s="3" t="str">
        <x:f>IF(초입!H29&lt;&gt;"","O","")</x:f>
        <x:v>O</x:v>
      </x:c>
      <x:c r="D29" s="3" t="str">
        <x:f>IF(초입!I29&lt;&gt;"","O","")</x:f>
        <x:v/>
      </x:c>
      <x:c r="E29" s="3" t="str">
        <x:f>초입!B29</x:f>
        <x:v>남양주다산유치원</x:v>
      </x:c>
      <x:c r="F29" s="3" t="str">
        <x:f>IF(초입!C29="","",초입!C29)</x:f>
        <x:v>특수학급</x:v>
      </x:c>
      <x:c r="G29" s="3">
        <x:f>IF(초입!D29="","",초입!D29)</x:f>
        <x:v>3</x:v>
      </x:c>
      <x:c r="H29" s="3" t="str">
        <x:f>IF(초입!E29="","",초입!E29)</x:f>
        <x:v>김기윤</x:v>
      </x:c>
      <x:c r="I29" s="3" t="str">
        <x:f>IF(초입!F29="","",초입!F29)</x:f>
        <x:v>남</x:v>
      </x:c>
      <x:c r="J29" s="3" t="str">
        <x:f>IF(초입!G29="","",초입!G29)</x:f>
        <x:v>2020.04.27.</x:v>
      </x:c>
      <x:c r="K29" s="3" t="str">
        <x:f>IF(초입!J29="","",초입!J29)</x:f>
        <x:v>자폐성장애
(현 발달지체)</x:v>
      </x:c>
      <x:c r="L29" s="3" t="str">
        <x:f>IF(초입!K29="","",초입!K29)</x:f>
        <x:v>자폐성·언어장애</x:v>
      </x:c>
      <x:c r="M29" s="3" t="str">
        <x:f>IF(초입!L29="","",초입!L29)</x:f>
        <x:v>중증</x:v>
      </x:c>
      <x:c r="N29" s="3" t="str">
        <x:f>IF(초입!N29="","",초입!N29)</x:f>
        <x:v>다산새봄초등학교</x:v>
      </x:c>
      <x:c r="O29" s="3" t="str">
        <x:f>IF(초입!O29="","",초입!O29)</x:f>
        <x:v>특수학급</x:v>
      </x:c>
      <x:c r="P29" s="3" t="str">
        <x:f>IF(초입!P29="","",초입!P29)</x:f>
        <x:v/>
      </x:c>
      <x:c r="Q29" s="3">
        <x:f>IF(초입!Q29="","",초입!Q29)</x:f>
        <x:v>0.44</x:v>
      </x:c>
      <x:c r="R29" s="3" t="str">
        <x:f>IF(초입!R29="","","1. "&amp;초입!R29&amp;IF(초입!V29&lt;&gt;"",CHAR(10)&amp;"2. "&amp;초입!V29,"")&amp;IF(초입!Z29&lt;&gt;"",CHAR(10)&amp;"3. "&amp;초입!Z29,""))</x:f>
        <x:v>1. 다산새봄초등학교
2. 남양주다산초등학교
3. 다산하늘초등학교</x:v>
      </x:c>
      <x:c r="S29" s="3" t="str">
        <x:f>IF(초입!S29="","",""&amp;초입!S29&amp;IF(초입!W29&lt;&gt;"",CHAR(10)&amp;""&amp;초입!W29,"")&amp;IF(초입!AA29&lt;&gt;"",CHAR(10)&amp;""&amp;초입!AA29,""))</x:f>
        <x:v>특수학급
특수학급
특수학급</x:v>
      </x:c>
      <x:c r="T29" s="3" t="str">
        <x:f>IF(초입!T29="","",""&amp;초입!T29&amp;IF(초입!X29&lt;&gt;"",CHAR(10)&amp;""&amp;초입!X29,"")&amp;IF(초입!AB29&lt;&gt;"",CHAR(10)&amp;""&amp;초입!AB29,""))</x:f>
        <x:v/>
      </x:c>
      <x:c r="U29" s="3" t="str">
        <x:f>IF(초입!U29="","",""&amp;초입!U29&amp;IF(초입!Y29&lt;&gt;"",CHAR(10)&amp;""&amp;초입!Y29,"")&amp;IF(초입!AC29&lt;&gt;"",CHAR(10)&amp;""&amp;초입!AC29,""))</x:f>
        <x:v>0.44
0.88
1.4</x:v>
      </x:c>
      <x:c r="V29" s="3" t="str">
        <x:f>IF(초입!AO29="","",초입!AO29)</x:f>
        <x:v>□ 복지카드: 자폐성,언어장애 중증(~2027.08.02.)</x:v>
      </x:c>
      <x:c r="W29" s="3" t="str">
        <x:f>IF(초입!AP29="","",초입!AP29)</x:f>
        <x:v>서식1,2,4 수정 완료</x:v>
      </x:c>
      <x:c r="X29" s="3" t="str">
        <x:f>IF(초입!AD29="","",초입!AD29)</x:f>
        <x:v>010-2606-2684</x:v>
      </x:c>
      <x:c r="Y29" s="3" t="str">
        <x:f>IF(초입!AE29="","",초입!AE29)</x:f>
        <x:v/>
      </x:c>
      <x:c r="Z29" s="3" t="str">
        <x:f>IF(초입!M29="","",초입!M29)</x:f>
        <x:v>경기도 남양주시 다산중앙로 82번길 15 다산이편한세상 5102동 2303호</x:v>
      </x:c>
      <x:c r="AA29" s="7"/>
      <x:c r="AB29" s="7"/>
      <x:c r="AC29" s="7"/>
    </x:row>
    <x:row r="30" spans="1:29" customFormat="1" ht="39.54999999999999715783">
      <x:c r="A30" s="3">
        <x:f>초입!A30</x:f>
        <x:v>27</x:v>
      </x:c>
      <x:c r="B30" s="3" t="s">
        <x:v>194</x:v>
      </x:c>
      <x:c r="C30" s="3" t="str">
        <x:f>IF(초입!H30&lt;&gt;"","O","")</x:f>
        <x:v/>
      </x:c>
      <x:c r="D30" s="3" t="str">
        <x:f>IF(초입!I30&lt;&gt;"","O","")</x:f>
        <x:v>O</x:v>
      </x:c>
      <x:c r="E30" s="3" t="str">
        <x:f>초입!B30</x:f>
        <x:v>다움어린이집</x:v>
      </x:c>
      <x:c r="F30" s="3" t="str">
        <x:f>IF(초입!C30="","",초입!C30)</x:f>
        <x:v/>
      </x:c>
      <x:c r="G30" s="3">
        <x:f>IF(초입!D30="","",초입!D30)</x:f>
        <x:v>3</x:v>
      </x:c>
      <x:c r="H30" s="3" t="str">
        <x:f>IF(초입!E30="","",초입!E30)</x:f>
        <x:v>이예찬</x:v>
      </x:c>
      <x:c r="I30" s="3" t="str">
        <x:f>IF(초입!F30="","",초입!F30)</x:f>
        <x:v>남</x:v>
      </x:c>
      <x:c r="J30" s="3" t="str">
        <x:f>IF(초입!G30="","",초입!G30)</x:f>
        <x:v>2019.06.24.</x:v>
      </x:c>
      <x:c r="K30" s="3" t="str">
        <x:f>IF(초입!J30="","",초입!J30)</x:f>
        <x:v>자폐성장애</x:v>
      </x:c>
      <x:c r="L30" s="3" t="str">
        <x:f>IF(초입!K30="","",초입!K30)</x:f>
        <x:v>자폐성장애</x:v>
      </x:c>
      <x:c r="M30" s="3" t="str">
        <x:f>IF(초입!L30="","",초입!L30)</x:f>
        <x:v>심한</x:v>
      </x:c>
      <x:c r="N30" s="3" t="str">
        <x:f>IF(초입!N30="","",초입!N30)</x:f>
        <x:v>천마초등학교</x:v>
      </x:c>
      <x:c r="O30" s="3" t="str">
        <x:f>IF(초입!O30="","",초입!O30)</x:f>
        <x:v>특수학급</x:v>
      </x:c>
      <x:c r="P30" s="3" t="str">
        <x:f>IF(초입!P30="","",초입!P30)</x:f>
        <x:v/>
      </x:c>
      <x:c r="Q30" s="3">
        <x:f>IF(초입!Q30="","",초입!Q30)</x:f>
        <x:v>0.12</x:v>
      </x:c>
      <x:c r="R30" s="3" t="str">
        <x:f>IF(초입!R30="","","1. "&amp;초입!R30&amp;IF(초입!V30&lt;&gt;"",CHAR(10)&amp;"2. "&amp;초입!V30,"")&amp;IF(초입!Z30&lt;&gt;"",CHAR(10)&amp;"3. "&amp;초입!Z30,""))</x:f>
        <x:v>1. 천마초등학교
2. 은솔초등학교
3. 남양주송라초등학교</x:v>
      </x:c>
      <x:c r="S30" s="3" t="str">
        <x:f>IF(초입!S30="","",""&amp;초입!S30&amp;IF(초입!W30&lt;&gt;"",CHAR(10)&amp;""&amp;초입!W30,"")&amp;IF(초입!AA30&lt;&gt;"",CHAR(10)&amp;""&amp;초입!AA30,""))</x:f>
        <x:v>특수학급
특수학급
특수학급</x:v>
      </x:c>
      <x:c r="T30" s="3" t="str">
        <x:f>IF(초입!T30="","",""&amp;초입!T30&amp;IF(초입!X30&lt;&gt;"",CHAR(10)&amp;""&amp;초입!X30,"")&amp;IF(초입!AB30&lt;&gt;"",CHAR(10)&amp;""&amp;초입!AB30,""))</x:f>
        <x:v/>
      </x:c>
      <x:c r="U30" s="3" t="str">
        <x:f>IF(초입!U30="","",""&amp;초입!U30&amp;IF(초입!Y30&lt;&gt;"",CHAR(10)&amp;""&amp;초입!Y30,"")&amp;IF(초입!AC30&lt;&gt;"",CHAR(10)&amp;""&amp;초입!AC30,""))</x:f>
        <x:v>0.12
2.2
2.4</x:v>
      </x:c>
      <x:c r="V30" s="3" t="str">
        <x:f>IF(초입!AO30="","",초입!AO30)</x:f>
        <x:v>□ 장애인증명서: 자폐성장애 심한</x:v>
      </x:c>
      <x:c r="W30" s="3" t="str">
        <x:f>IF(초입!AP30="","",초입!AP30)</x:f>
        <x:v/>
      </x:c>
      <x:c r="X30" s="3" t="str">
        <x:f>IF(초입!AD30="","",초입!AD30)</x:f>
        <x:v>010-3217-6485</x:v>
      </x:c>
      <x:c r="Y30" s="3" t="str">
        <x:f>IF(초입!AE30="","",초입!AE30)</x:f>
        <x:v/>
      </x:c>
      <x:c r="Z30" s="3" t="str">
        <x:f>IF(초입!M30="","",초입!M30)</x:f>
        <x:v>경기도 남양주시 화도읍 먹갓로 28번길 39-12 신강남 가-102호</x:v>
      </x:c>
      <x:c r="AA30" s="7"/>
      <x:c r="AB30" s="7"/>
      <x:c r="AC30" s="7"/>
    </x:row>
    <x:row r="31" spans="1:29" customFormat="1" ht="79.04999999999999715783">
      <x:c r="A31" s="3">
        <x:f>초입!A31</x:f>
        <x:v>28</x:v>
      </x:c>
      <x:c r="B31" s="3" t="s">
        <x:v>194</x:v>
      </x:c>
      <x:c r="C31" s="3" t="str">
        <x:f>IF(초입!H31&lt;&gt;"","O","")</x:f>
        <x:v/>
      </x:c>
      <x:c r="D31" s="3" t="str">
        <x:f>IF(초입!I31&lt;&gt;"","O","")</x:f>
        <x:v>O</x:v>
      </x:c>
      <x:c r="E31" s="3" t="str">
        <x:f>초입!B31</x:f>
        <x:v>남양주덕송초등학교병설유치원</x:v>
      </x:c>
      <x:c r="F31" s="3" t="str">
        <x:f>IF(초입!C31="","",초입!C31)</x:f>
        <x:v/>
      </x:c>
      <x:c r="G31" s="3">
        <x:f>IF(초입!D31="","",초입!D31)</x:f>
        <x:v>3</x:v>
      </x:c>
      <x:c r="H31" s="3" t="str">
        <x:f>IF(초입!E31="","",초입!E31)</x:f>
        <x:v>이지효</x:v>
      </x:c>
      <x:c r="I31" s="3" t="str">
        <x:f>IF(초입!F31="","",초입!F31)</x:f>
        <x:v>여</x:v>
      </x:c>
      <x:c r="J31" s="3" t="str">
        <x:f>IF(초입!G31="","",초입!G31)</x:f>
        <x:v>2020.12.08.</x:v>
      </x:c>
      <x:c r="K31" s="3" t="str">
        <x:f>IF(초입!J31="","",초입!J31)</x:f>
        <x:v>지적장애</x:v>
      </x:c>
      <x:c r="L31" s="3" t="str">
        <x:f>IF(초입!K31="","",초입!K31)</x:f>
        <x:v/>
      </x:c>
      <x:c r="M31" s="3" t="str">
        <x:f>IF(초입!L31="","",초입!L31)</x:f>
        <x:v/>
      </x:c>
      <x:c r="N31" s="3" t="str">
        <x:f>IF(초입!N31="","",초입!N31)</x:f>
        <x:v>남양주덕송초등학교</x:v>
      </x:c>
      <x:c r="O31" s="3" t="str">
        <x:f>IF(초입!O31="","",초입!O31)</x:f>
        <x:v>특수학급</x:v>
      </x:c>
      <x:c r="P31" s="3" t="str">
        <x:f>IF(초입!P31="","",초입!P31)</x:f>
        <x:v/>
      </x:c>
      <x:c r="Q31" s="3">
        <x:f>IF(초입!Q31="","",초입!Q31)</x:f>
        <x:v>0.80000000000000004</x:v>
      </x:c>
      <x:c r="R31" s="3" t="str">
        <x:f>IF(초입!R31="","","1. "&amp;초입!R31&amp;IF(초입!V31&lt;&gt;"",CHAR(10)&amp;"2. "&amp;초입!V31,"")&amp;IF(초입!Z31&lt;&gt;"",CHAR(10)&amp;"3. "&amp;초입!Z31,""))</x:f>
        <x:v>1. 남양주덕송초등학교
2. 샛별초등학교
3. 별가람초등학교</x:v>
      </x:c>
      <x:c r="S31" s="3" t="str">
        <x:f>IF(초입!S31="","",""&amp;초입!S31&amp;IF(초입!W31&lt;&gt;"",CHAR(10)&amp;""&amp;초입!W31,"")&amp;IF(초입!AA31&lt;&gt;"",CHAR(10)&amp;""&amp;초입!AA31,""))</x:f>
        <x:v>특수학급
특수학급
특수학급</x:v>
      </x:c>
      <x:c r="T31" s="3" t="str">
        <x:f>IF(초입!T31="","",""&amp;초입!T31&amp;IF(초입!X31&lt;&gt;"",CHAR(10)&amp;""&amp;초입!X31,"")&amp;IF(초입!AB31&lt;&gt;"",CHAR(10)&amp;""&amp;초입!AB31,""))</x:f>
        <x:v/>
      </x:c>
      <x:c r="U31" s="3" t="str">
        <x:f>IF(초입!U31="","",""&amp;초입!U31&amp;IF(초입!Y31&lt;&gt;"",CHAR(10)&amp;""&amp;초입!Y31,"")&amp;IF(초입!AC31&lt;&gt;"",CHAR(10)&amp;""&amp;초입!AC31,""))</x:f>
        <x:v>0.8
1.5
1.8</x:v>
      </x:c>
      <x:c r="V31" s="3" t="str">
        <x:f>IF(초입!AO31="","",초입!AO31)</x:f>
        <x:v>※심리평가보고서(2025.12.19.)
□K-WPPSI-IV: 전체IQ 59 (언어이해 59, 시공간 82, 유동추론 63,        
  작업기억 73, 처리속도 78/매우낮음)
□사회성숙도: SA 4세 0개월, SQ 80(경계선)
□적응행동검사: 표준점수 56(상당히 저조한 수준)</x:v>
      </x:c>
      <x:c r="W31" s="3" t="str">
        <x:f>IF(초입!AP31="","",초입!AP31)</x:f>
        <x:v>적응행동검사 요청 / 장애유형 기재 / 한셀 장애유형 확인 / 수정공문 완료</x:v>
      </x:c>
      <x:c r="X31" s="3" t="str">
        <x:f>IF(초입!AD31="","",초입!AD31)</x:f>
        <x:v>010-9857-2024</x:v>
      </x:c>
      <x:c r="Y31" s="3" t="str">
        <x:f>IF(초입!AE31="","",초입!AE31)</x:f>
        <x:v/>
      </x:c>
      <x:c r="Z31" s="3" t="str">
        <x:f>IF(초입!M31="","",초입!M31)</x:f>
        <x:v>경기도 남양주시 순화궁로 458-16, 1704동 1204호(별내동, 별내퍼스트포레)</x:v>
      </x:c>
      <x:c r="AA31" s="7"/>
      <x:c r="AB31" s="7"/>
      <x:c r="AC31" s="7"/>
    </x:row>
    <x:row r="32" spans="1:29" customFormat="1" ht="131.69999999999998863132">
      <x:c r="A32" s="3">
        <x:f>초입!A32</x:f>
        <x:v>29</x:v>
      </x:c>
      <x:c r="B32" s="3" t="s">
        <x:v>194</x:v>
      </x:c>
      <x:c r="C32" s="3" t="str">
        <x:f>IF(초입!H32&lt;&gt;"","O","")</x:f>
        <x:v/>
      </x:c>
      <x:c r="D32" s="3" t="str">
        <x:f>IF(초입!I32&lt;&gt;"","O","")</x:f>
        <x:v>O</x:v>
      </x:c>
      <x:c r="E32" s="3" t="str">
        <x:f>초입!B32</x:f>
        <x:v>호평한마음어린이집</x:v>
      </x:c>
      <x:c r="F32" s="3" t="str">
        <x:f>IF(초입!C32="","",초입!C32)</x:f>
        <x:v/>
      </x:c>
      <x:c r="G32" s="3">
        <x:f>IF(초입!D32="","",초입!D32)</x:f>
        <x:v>3</x:v>
      </x:c>
      <x:c r="H32" s="3" t="str">
        <x:f>IF(초입!E32="","",초입!E32)</x:f>
        <x:v>정모건</x:v>
      </x:c>
      <x:c r="I32" s="3" t="str">
        <x:f>IF(초입!F32="","",초입!F32)</x:f>
        <x:v>남</x:v>
      </x:c>
      <x:c r="J32" s="3" t="str">
        <x:f>IF(초입!G32="","",초입!G32)</x:f>
        <x:v>2020.01.15.</x:v>
      </x:c>
      <x:c r="K32" s="3" t="str">
        <x:f>IF(초입!J32="","",초입!J32)</x:f>
        <x:v>발달지체</x:v>
      </x:c>
      <x:c r="L32" s="3" t="str">
        <x:f>IF(초입!K32="","",초입!K32)</x:f>
        <x:v/>
      </x:c>
      <x:c r="M32" s="3" t="str">
        <x:f>IF(초입!L32="","",초입!L32)</x:f>
        <x:v/>
      </x:c>
      <x:c r="N32" s="3" t="str">
        <x:f>IF(초입!N32="","",초입!N32)</x:f>
        <x:v>호평초등학교</x:v>
      </x:c>
      <x:c r="O32" s="3" t="str">
        <x:f>IF(초입!O32="","",초입!O32)</x:f>
        <x:v>특수학급</x:v>
      </x:c>
      <x:c r="P32" s="3" t="str">
        <x:f>IF(초입!P32="","",초입!P32)</x:f>
        <x:v/>
      </x:c>
      <x:c r="Q32" s="3">
        <x:f>IF(초입!Q32="","",초입!Q32)</x:f>
        <x:v>0.34999999999999998</x:v>
      </x:c>
      <x:c r="R32" s="3" t="str">
        <x:f>IF(초입!R32="","","1. "&amp;초입!R32&amp;IF(초입!V32&lt;&gt;"",CHAR(10)&amp;"2. "&amp;초입!V32,"")&amp;IF(초입!Z32&lt;&gt;"",CHAR(10)&amp;"3. "&amp;초입!Z32,""))</x:f>
        <x:v>1. 호평초등학교
2. 판곡초등학교
3. 구룡초등학교</x:v>
      </x:c>
      <x:c r="S32" s="3" t="str">
        <x:f>IF(초입!S32="","",""&amp;초입!S32&amp;IF(초입!W32&lt;&gt;"",CHAR(10)&amp;""&amp;초입!W32,"")&amp;IF(초입!AA32&lt;&gt;"",CHAR(10)&amp;""&amp;초입!AA32,""))</x:f>
        <x:v>특수학급
특수학급
특수학급</x:v>
      </x:c>
      <x:c r="T32" s="3" t="str">
        <x:f>IF(초입!T32="","",""&amp;초입!T32&amp;IF(초입!X32&lt;&gt;"",CHAR(10)&amp;""&amp;초입!X32,"")&amp;IF(초입!AB32&lt;&gt;"",CHAR(10)&amp;""&amp;초입!AB32,""))</x:f>
        <x:v/>
      </x:c>
      <x:c r="U32" s="3" t="str">
        <x:f>IF(초입!U32="","",""&amp;초입!U32&amp;IF(초입!Y32&lt;&gt;"",CHAR(10)&amp;""&amp;초입!Y32,"")&amp;IF(초입!AC32&lt;&gt;"",CHAR(10)&amp;""&amp;초입!AC32,""))</x:f>
        <x:v>0.35
1.9
2.1</x:v>
      </x:c>
      <x:c r="V32" s="3" t="str">
        <x:f>IF(초입!AO32="","",초입!AO32)</x:f>
        <x:v>※심리평가보고서(2025.7.31.)
□K-WPPSI-IV: 전체IQ 43 (언어이해 50, 시공간 46, 유동추론 51,        
  작업기억 79, 처리속도 50/매우낮음)
□K-CARS-Ⅱ(ST): 총점 28.5점(증상이 없거나 최소한의 자폐 관련 행동)
□K-vineland-Ⅱ: 46(낮음/백분위0.1/%ile)
※심리평가보고서(2025.8.7.)
□PRES: 수용언어 25개월 2%ile 미만, 표현언어 23개월 2%ile 미만, 통합언어 24개월, 3년 이상 지연</x:v>
      </x:c>
      <x:c r="W32" s="3" t="str">
        <x:f>IF(초입!AP32="","",초입!AP32)</x:f>
        <x:v>추후 장애등록&amp;장애유형변경 예정</x:v>
      </x:c>
      <x:c r="X32" s="3" t="str">
        <x:f>IF(초입!AD32="","",초입!AD32)</x:f>
        <x:v>010-2045-9252</x:v>
      </x:c>
      <x:c r="Y32" s="3" t="str">
        <x:f>IF(초입!AE32="","",초입!AE32)</x:f>
        <x:v/>
      </x:c>
      <x:c r="Z32" s="3" t="str">
        <x:f>IF(초입!M32="","",초입!M32)</x:f>
        <x:v>경기도 남양주시 천마산로 65-2 103동 1503호(라인그린아파트)</x:v>
      </x:c>
      <x:c r="AA32" s="7"/>
      <x:c r="AB32" s="7"/>
      <x:c r="AC32" s="7"/>
    </x:row>
    <x:row r="33" spans="1:29" customFormat="1" ht="39.54999999999999715783">
      <x:c r="A33" s="3">
        <x:f>초입!A33</x:f>
        <x:v>30</x:v>
      </x:c>
      <x:c r="B33" s="3" t="s">
        <x:v>194</x:v>
      </x:c>
      <x:c r="C33" s="3" t="str">
        <x:f>IF(초입!H33&lt;&gt;"","O","")</x:f>
        <x:v>O</x:v>
      </x:c>
      <x:c r="D33" s="3" t="str">
        <x:f>IF(초입!I33&lt;&gt;"","O","")</x:f>
        <x:v/>
      </x:c>
      <x:c r="E33" s="3" t="str">
        <x:f>초입!B33</x:f>
        <x:v>남양주도담유치원</x:v>
      </x:c>
      <x:c r="F33" s="3" t="str">
        <x:f>IF(초입!C33="","",초입!C33)</x:f>
        <x:v>특수학급</x:v>
      </x:c>
      <x:c r="G33" s="3">
        <x:f>IF(초입!D33="","",초입!D33)</x:f>
        <x:v>3</x:v>
      </x:c>
      <x:c r="H33" s="3" t="str">
        <x:f>IF(초입!E33="","",초입!E33)</x:f>
        <x:v>윤시우</x:v>
      </x:c>
      <x:c r="I33" s="3" t="str">
        <x:f>IF(초입!F33="","",초입!F33)</x:f>
        <x:v>남</x:v>
      </x:c>
      <x:c r="J33" s="3" t="str">
        <x:f>IF(초입!G33="","",초입!G33)</x:f>
        <x:v>2020.01.07.</x:v>
      </x:c>
      <x:c r="K33" s="3" t="str">
        <x:f>IF(초입!J33="","",초입!J33)</x:f>
        <x:v>발달지체</x:v>
      </x:c>
      <x:c r="L33" s="3" t="str">
        <x:f>IF(초입!K33="","",초입!K33)</x:f>
        <x:v/>
      </x:c>
      <x:c r="M33" s="3" t="str">
        <x:f>IF(초입!L33="","",초입!L33)</x:f>
        <x:v/>
      </x:c>
      <x:c r="N33" s="3" t="str">
        <x:f>IF(초입!N33="","",초입!N33)</x:f>
        <x:v>장현초등학교</x:v>
      </x:c>
      <x:c r="O33" s="3" t="str">
        <x:f>IF(초입!O33="","",초입!O33)</x:f>
        <x:v>특수학급</x:v>
      </x:c>
      <x:c r="P33" s="3" t="str">
        <x:f>IF(초입!P33="","",초입!P33)</x:f>
        <x:v/>
      </x:c>
      <x:c r="Q33" s="3">
        <x:f>IF(초입!Q33="","",초입!Q33)</x:f>
        <x:v>0.20000000000000001</x:v>
      </x:c>
      <x:c r="R33" s="3" t="str">
        <x:f>IF(초입!R33="","","1. "&amp;초입!R33&amp;IF(초입!V33&lt;&gt;"",CHAR(10)&amp;"2. "&amp;초입!V33,"")&amp;IF(초입!Z33&lt;&gt;"",CHAR(10)&amp;"3. "&amp;초입!Z33,""))</x:f>
        <x:v>1. 장현초등학교
2. 화봉초등학교
3. 장승초등학교</x:v>
      </x:c>
      <x:c r="S33" s="3" t="str">
        <x:f>IF(초입!S33="","",""&amp;초입!S33&amp;IF(초입!W33&lt;&gt;"",CHAR(10)&amp;""&amp;초입!W33,"")&amp;IF(초입!AA33&lt;&gt;"",CHAR(10)&amp;""&amp;초입!AA33,""))</x:f>
        <x:v>특수학급
특수학급
특수학급</x:v>
      </x:c>
      <x:c r="T33" s="3" t="str">
        <x:f>IF(초입!T33="","",""&amp;초입!T33&amp;IF(초입!X33&lt;&gt;"",CHAR(10)&amp;""&amp;초입!X33,"")&amp;IF(초입!AB33&lt;&gt;"",CHAR(10)&amp;""&amp;초입!AB33,""))</x:f>
        <x:v/>
      </x:c>
      <x:c r="U33" s="3" t="str">
        <x:f>IF(초입!U33="","",""&amp;초입!U33&amp;IF(초입!Y33&lt;&gt;"",CHAR(10)&amp;""&amp;초입!Y33,"")&amp;IF(초입!AC33&lt;&gt;"",CHAR(10)&amp;""&amp;초입!AC33,""))</x:f>
        <x:v>0.2
2.2
2.5</x:v>
      </x:c>
      <x:c r="V33" s="3" t="str">
        <x:f>IF(초입!AO33="","",초입!AO33)</x:f>
        <x:v/>
      </x:c>
      <x:c r="W33" s="3" t="str">
        <x:f>IF(초입!AP33="","",초입!AP33)</x:f>
        <x:v>장애등록X, 특수학급학생, 최근거리교 확인 및 수정, 한셀시트2 추가 요청 / 수정공문 완료</x:v>
      </x:c>
      <x:c r="X33" s="3" t="str">
        <x:f>IF(초입!AD33="","",초입!AD33)</x:f>
        <x:v>010-4903-3602</x:v>
      </x:c>
      <x:c r="Y33" s="3" t="str">
        <x:f>IF(초입!AE33="","",초입!AE33)</x:f>
        <x:v/>
      </x:c>
      <x:c r="Z33" s="3" t="str">
        <x:f>IF(초입!M33="","",초입!M33)</x:f>
        <x:v>경기도 남양주시 진접읍 봉현로 36번길 11-1, 105동 506호(삼신아파트)</x:v>
      </x:c>
      <x:c r="AA33" s="7"/>
      <x:c r="AB33" s="7"/>
      <x:c r="AC33" s="7"/>
    </x:row>
    <x:row r="34" spans="1:29" customFormat="1" ht="39.54999999999999715783">
      <x:c r="A34" s="3">
        <x:f>초입!A34</x:f>
        <x:v>31</x:v>
      </x:c>
      <x:c r="B34" s="3" t="s">
        <x:v>194</x:v>
      </x:c>
      <x:c r="C34" s="3" t="str">
        <x:f>IF(초입!H34&lt;&gt;"","O","")</x:f>
        <x:v>O</x:v>
      </x:c>
      <x:c r="D34" s="3" t="str">
        <x:f>IF(초입!I34&lt;&gt;"","O","")</x:f>
        <x:v/>
      </x:c>
      <x:c r="E34" s="3" t="str">
        <x:f>초입!B34</x:f>
        <x:v>창현유치원</x:v>
      </x:c>
      <x:c r="F34" s="3" t="str">
        <x:f>IF(초입!C34="","",초입!C34)</x:f>
        <x:v>특수학급</x:v>
      </x:c>
      <x:c r="G34" s="3">
        <x:f>IF(초입!D34="","",초입!D34)</x:f>
        <x:v>3</x:v>
      </x:c>
      <x:c r="H34" s="3" t="str">
        <x:f>IF(초입!E34="","",초입!E34)</x:f>
        <x:v>권우주</x:v>
      </x:c>
      <x:c r="I34" s="3" t="str">
        <x:f>IF(초입!F34="","",초입!F34)</x:f>
        <x:v>남</x:v>
      </x:c>
      <x:c r="J34" s="3" t="str">
        <x:f>IF(초입!G34="","",초입!G34)</x:f>
        <x:v>2020.08.23.</x:v>
      </x:c>
      <x:c r="K34" s="3" t="str">
        <x:f>IF(초입!J34="","",초입!J34)</x:f>
        <x:v>발달지체</x:v>
      </x:c>
      <x:c r="L34" s="3" t="str">
        <x:f>IF(초입!K34="","",초입!K34)</x:f>
        <x:v/>
      </x:c>
      <x:c r="M34" s="3" t="str">
        <x:f>IF(초입!L34="","",초입!L34)</x:f>
        <x:v/>
      </x:c>
      <x:c r="N34" s="3" t="str">
        <x:f>IF(초입!N34="","",초입!N34)</x:f>
        <x:v>창현초등학교</x:v>
      </x:c>
      <x:c r="O34" s="3" t="str">
        <x:f>IF(초입!O34="","",초입!O34)</x:f>
        <x:v>특수학급</x:v>
      </x:c>
      <x:c r="P34" s="3" t="str">
        <x:f>IF(초입!P34="","",초입!P34)</x:f>
        <x:v/>
      </x:c>
      <x:c r="Q34" s="3">
        <x:f>IF(초입!Q34="","",초입!Q34)</x:f>
        <x:v>0.58899999999999997</x:v>
      </x:c>
      <x:c r="R34" s="3" t="str">
        <x:f>IF(초입!R34="","","1. "&amp;초입!R34&amp;IF(초입!V34&lt;&gt;"",CHAR(10)&amp;"2. "&amp;초입!V34,"")&amp;IF(초입!Z34&lt;&gt;"",CHAR(10)&amp;"3. "&amp;초입!Z34,""))</x:f>
        <x:v>1. 창현초등학교
2. 은솔초등학교
3. 마석초등학교</x:v>
      </x:c>
      <x:c r="S34" s="3" t="str">
        <x:f>IF(초입!S34="","",""&amp;초입!S34&amp;IF(초입!W34&lt;&gt;"",CHAR(10)&amp;""&amp;초입!W34,"")&amp;IF(초입!AA34&lt;&gt;"",CHAR(10)&amp;""&amp;초입!AA34,""))</x:f>
        <x:v>특수학급
특수학급
특수학급</x:v>
      </x:c>
      <x:c r="T34" s="3" t="str">
        <x:f>IF(초입!T34="","",""&amp;초입!T34&amp;IF(초입!X34&lt;&gt;"",CHAR(10)&amp;""&amp;초입!X34,"")&amp;IF(초입!AB34&lt;&gt;"",CHAR(10)&amp;""&amp;초입!AB34,""))</x:f>
        <x:v/>
      </x:c>
      <x:c r="U34" s="3" t="str">
        <x:f>IF(초입!U34="","",""&amp;초입!U34&amp;IF(초입!Y34&lt;&gt;"",CHAR(10)&amp;""&amp;초입!Y34,"")&amp;IF(초입!AC34&lt;&gt;"",CHAR(10)&amp;""&amp;초입!AC34,""))</x:f>
        <x:v>0.589
1.3
1.3</x:v>
      </x:c>
      <x:c r="V34" s="3" t="str">
        <x:f>IF(초입!AO34="","",초입!AO34)</x:f>
        <x:v/>
      </x:c>
      <x:c r="W34" s="3" t="str">
        <x:f>IF(초입!AP34="","",초입!AP34)</x:f>
        <x:v>서식2 장애명 지체장애로 기재. / 발달지체로 수정공문 들어옴</x:v>
      </x:c>
      <x:c r="X34" s="3" t="str">
        <x:f>IF(초입!AD34="","",초입!AD34)</x:f>
        <x:v>010-4330-0124</x:v>
      </x:c>
      <x:c r="Y34" s="3" t="str">
        <x:f>IF(초입!AE34="","",초입!AE34)</x:f>
        <x:v/>
      </x:c>
      <x:c r="Z34" s="3" t="str">
        <x:f>IF(초입!M34="","",초입!M34)</x:f>
        <x:v>경기도 남양주시 화도읍 녹촌로 51, 신창현두산위브 104동 1101호</x:v>
      </x:c>
      <x:c r="AA34" s="7"/>
      <x:c r="AB34" s="7"/>
      <x:c r="AC34" s="7"/>
    </x:row>
    <x:row r="35" spans="1:29" customFormat="1" ht="39.54999999999999715783">
      <x:c r="A35" s="3">
        <x:f>초입!A35</x:f>
        <x:v>32</x:v>
      </x:c>
      <x:c r="B35" s="3" t="s">
        <x:v>194</x:v>
      </x:c>
      <x:c r="C35" s="3" t="str">
        <x:f>IF(초입!H35&lt;&gt;"","O","")</x:f>
        <x:v>O</x:v>
      </x:c>
      <x:c r="D35" s="3" t="str">
        <x:f>IF(초입!I35&lt;&gt;"","O","")</x:f>
        <x:v/>
      </x:c>
      <x:c r="E35" s="3" t="str">
        <x:f>초입!B35</x:f>
        <x:v>창현유치원</x:v>
      </x:c>
      <x:c r="F35" s="3" t="str">
        <x:f>IF(초입!C35="","",초입!C35)</x:f>
        <x:v>특수학급</x:v>
      </x:c>
      <x:c r="G35" s="3">
        <x:f>IF(초입!D35="","",초입!D35)</x:f>
        <x:v>3</x:v>
      </x:c>
      <x:c r="H35" s="3" t="str">
        <x:f>IF(초입!E35="","",초입!E35)</x:f>
        <x:v>이로운</x:v>
      </x:c>
      <x:c r="I35" s="3" t="str">
        <x:f>IF(초입!F35="","",초입!F35)</x:f>
        <x:v>남</x:v>
      </x:c>
      <x:c r="J35" s="3" t="str">
        <x:f>IF(초입!G35="","",초입!G35)</x:f>
        <x:v>2020.03.07.</x:v>
      </x:c>
      <x:c r="K35" s="3" t="str">
        <x:f>IF(초입!J35="","",초입!J35)</x:f>
        <x:v>자폐성장애</x:v>
      </x:c>
      <x:c r="L35" s="3" t="str">
        <x:f>IF(초입!K35="","",초입!K35)</x:f>
        <x:v/>
      </x:c>
      <x:c r="M35" s="3" t="str">
        <x:f>IF(초입!L35="","",초입!L35)</x:f>
        <x:v/>
      </x:c>
      <x:c r="N35" s="3" t="str">
        <x:f>IF(초입!N35="","",초입!N35)</x:f>
        <x:v>은솔초등학교</x:v>
      </x:c>
      <x:c r="O35" s="3" t="str">
        <x:f>IF(초입!O35="","",초입!O35)</x:f>
        <x:v>특수학급</x:v>
      </x:c>
      <x:c r="P35" s="3" t="str">
        <x:f>IF(초입!P35="","",초입!P35)</x:f>
        <x:v/>
      </x:c>
      <x:c r="Q35" s="3">
        <x:f>IF(초입!Q35="","",초입!Q35)</x:f>
        <x:v>0.25</x:v>
      </x:c>
      <x:c r="R35" s="3" t="str">
        <x:f>IF(초입!R35="","","1. "&amp;초입!R35&amp;IF(초입!V35&lt;&gt;"",CHAR(10)&amp;"2. "&amp;초입!V35,"")&amp;IF(초입!Z35&lt;&gt;"",CHAR(10)&amp;"3. "&amp;초입!Z35,""))</x:f>
        <x:v>1. 은솔초등학교
2. 남양주송라초등학교
3. 창현초등학교</x:v>
      </x:c>
      <x:c r="S35" s="3" t="str">
        <x:f>IF(초입!S35="","",""&amp;초입!S35&amp;IF(초입!W35&lt;&gt;"",CHAR(10)&amp;""&amp;초입!W35,"")&amp;IF(초입!AA35&lt;&gt;"",CHAR(10)&amp;""&amp;초입!AA35,""))</x:f>
        <x:v>특수학급
특수학급
특수학급</x:v>
      </x:c>
      <x:c r="T35" s="3" t="str">
        <x:f>IF(초입!T35="","",""&amp;초입!T35&amp;IF(초입!X35&lt;&gt;"",CHAR(10)&amp;""&amp;초입!X35,"")&amp;IF(초입!AB35&lt;&gt;"",CHAR(10)&amp;""&amp;초입!AB35,""))</x:f>
        <x:v/>
      </x:c>
      <x:c r="U35" s="3" t="str">
        <x:f>IF(초입!U35="","",""&amp;초입!U35&amp;IF(초입!Y35&lt;&gt;"",CHAR(10)&amp;""&amp;초입!Y35,"")&amp;IF(초입!AC35&lt;&gt;"",CHAR(10)&amp;""&amp;초입!AC35,""))</x:f>
        <x:v>0.25
1.1
1.3</x:v>
      </x:c>
      <x:c r="V35" s="3" t="str">
        <x:f>IF(초입!AO35="","",초입!AO35)</x:f>
        <x:v/>
      </x:c>
      <x:c r="W35" s="3" t="str">
        <x:f>IF(초입!AP35="","",초입!AP35)</x:f>
        <x:v>희망교 거리 체크 후 바뀜. (창현,마석&gt;송라,창현)</x:v>
      </x:c>
      <x:c r="X35" s="3" t="str">
        <x:f>IF(초입!AD35="","",초입!AD35)</x:f>
        <x:v>010-8964-0732</x:v>
      </x:c>
      <x:c r="Y35" s="3" t="str">
        <x:f>IF(초입!AE35="","",초입!AE35)</x:f>
        <x:v/>
      </x:c>
      <x:c r="Z35" s="3" t="str">
        <x:f>IF(초입!M35="","",초입!M35)</x:f>
        <x:v>경기도 남양주시 화도읍 경춘보학2길 30, 101-1901(라온프라이빗)</x:v>
      </x:c>
      <x:c r="AA35" s="7"/>
      <x:c r="AB35" s="7"/>
      <x:c r="AC35" s="7"/>
    </x:row>
    <x:row r="36" spans="1:29" customFormat="1" ht="39.54999999999999715783">
      <x:c r="A36" s="3">
        <x:f>초입!A36</x:f>
        <x:v>33</x:v>
      </x:c>
      <x:c r="B36" s="3" t="s">
        <x:v>194</x:v>
      </x:c>
      <x:c r="C36" s="3" t="str">
        <x:f>IF(초입!H36&lt;&gt;"","O","")</x:f>
        <x:v>O</x:v>
      </x:c>
      <x:c r="D36" s="3" t="str">
        <x:f>IF(초입!I36&lt;&gt;"","O","")</x:f>
        <x:v/>
      </x:c>
      <x:c r="E36" s="3" t="str">
        <x:f>초입!B36</x:f>
        <x:v>창현유치원</x:v>
      </x:c>
      <x:c r="F36" s="3" t="str">
        <x:f>IF(초입!C36="","",초입!C36)</x:f>
        <x:v>특수학급</x:v>
      </x:c>
      <x:c r="G36" s="3">
        <x:f>IF(초입!D36="","",초입!D36)</x:f>
        <x:v>3</x:v>
      </x:c>
      <x:c r="H36" s="3" t="str">
        <x:f>IF(초입!E36="","",초입!E36)</x:f>
        <x:v>최은우</x:v>
      </x:c>
      <x:c r="I36" s="3" t="str">
        <x:f>IF(초입!F36="","",초입!F36)</x:f>
        <x:v>남</x:v>
      </x:c>
      <x:c r="J36" s="3" t="str">
        <x:f>IF(초입!G36="","",초입!G36)</x:f>
        <x:v>2020.01.14.</x:v>
      </x:c>
      <x:c r="K36" s="3" t="str">
        <x:f>IF(초입!J36="","",초입!J36)</x:f>
        <x:v>발달지체</x:v>
      </x:c>
      <x:c r="L36" s="3" t="str">
        <x:f>IF(초입!K36="","",초입!K36)</x:f>
        <x:v/>
      </x:c>
      <x:c r="M36" s="3" t="str">
        <x:f>IF(초입!L36="","",초입!L36)</x:f>
        <x:v/>
      </x:c>
      <x:c r="N36" s="3" t="str">
        <x:f>IF(초입!N36="","",초입!N36)</x:f>
        <x:v>마석초등학교</x:v>
      </x:c>
      <x:c r="O36" s="3" t="str">
        <x:f>IF(초입!O36="","",초입!O36)</x:f>
        <x:v>특수학급</x:v>
      </x:c>
      <x:c r="P36" s="3" t="str">
        <x:f>IF(초입!P36="","",초입!P36)</x:f>
        <x:v/>
      </x:c>
      <x:c r="Q36" s="3">
        <x:f>IF(초입!Q36="","",초입!Q36)</x:f>
        <x:v>0.76000000000000001</x:v>
      </x:c>
      <x:c r="R36" s="3" t="str">
        <x:f>IF(초입!R36="","","1. "&amp;초입!R36&amp;IF(초입!V36&lt;&gt;"",CHAR(10)&amp;"2. "&amp;초입!V36,"")&amp;IF(초입!Z36&lt;&gt;"",CHAR(10)&amp;"3. "&amp;초입!Z36,""))</x:f>
        <x:v>1. 마석초등학교
2. 창현초등학교
3. 은솔초등학교</x:v>
      </x:c>
      <x:c r="S36" s="3" t="str">
        <x:f>IF(초입!S36="","",""&amp;초입!S36&amp;IF(초입!W36&lt;&gt;"",CHAR(10)&amp;""&amp;초입!W36,"")&amp;IF(초입!AA36&lt;&gt;"",CHAR(10)&amp;""&amp;초입!AA36,""))</x:f>
        <x:v>특수학급
특수학급
특수학급</x:v>
      </x:c>
      <x:c r="T36" s="3" t="str">
        <x:f>IF(초입!T36="","",""&amp;초입!T36&amp;IF(초입!X36&lt;&gt;"",CHAR(10)&amp;""&amp;초입!X36,"")&amp;IF(초입!AB36&lt;&gt;"",CHAR(10)&amp;""&amp;초입!AB36,""))</x:f>
        <x:v/>
      </x:c>
      <x:c r="U36" s="3" t="str">
        <x:f>IF(초입!U36="","",""&amp;초입!U36&amp;IF(초입!Y36&lt;&gt;"",CHAR(10)&amp;""&amp;초입!Y36,"")&amp;IF(초입!AC36&lt;&gt;"",CHAR(10)&amp;""&amp;초입!AC36,""))</x:f>
        <x:v>0.76
0.32
1.3</x:v>
      </x:c>
      <x:c r="V36" s="3" t="str">
        <x:f>IF(초입!AO36="","",초입!AO36)</x:f>
        <x:v/>
      </x:c>
      <x:c r="W36" s="3" t="str">
        <x:f>IF(초입!AP36="","",초입!AP36)</x:f>
        <x:v>장애유형, 특수학교 희망교 수정 요청 / 최근거리는 창현초이지만, 학구가 마석초등학교임 / 발달지체로 서식1,2 수정공문 들어옴</x:v>
      </x:c>
      <x:c r="X36" s="3" t="str">
        <x:f>IF(초입!AD36="","",초입!AD36)</x:f>
        <x:v>010-5555-9213</x:v>
      </x:c>
      <x:c r="Y36" s="3" t="str">
        <x:f>IF(초입!AE36="","",초입!AE36)</x:f>
        <x:v/>
      </x:c>
      <x:c r="Z36" s="3" t="str">
        <x:f>IF(초입!M36="","",초입!M36)</x:f>
        <x:v>경기도 남양주시 화도읍 창현로 45, 104동 601호(신창현도뮤토아파트)</x:v>
      </x:c>
      <x:c r="AA36" s="7"/>
      <x:c r="AB36" s="7"/>
      <x:c r="AC36" s="7"/>
    </x:row>
    <x:row r="37" spans="1:29" customFormat="1" ht="39.54999999999999715783">
      <x:c r="A37" s="3">
        <x:f>초입!A37</x:f>
        <x:v>34</x:v>
      </x:c>
      <x:c r="B37" s="3" t="s">
        <x:v>194</x:v>
      </x:c>
      <x:c r="C37" s="3" t="str">
        <x:f>IF(초입!H37&lt;&gt;"","O","")</x:f>
        <x:v>O</x:v>
      </x:c>
      <x:c r="D37" s="3" t="str">
        <x:f>IF(초입!I37&lt;&gt;"","O","")</x:f>
        <x:v/>
      </x:c>
      <x:c r="E37" s="3" t="str">
        <x:f>초입!B37</x:f>
        <x:v>부양초등학교병설유치원</x:v>
      </x:c>
      <x:c r="F37" s="3" t="str">
        <x:f>IF(초입!C37="","",초입!C37)</x:f>
        <x:v>일반학급</x:v>
      </x:c>
      <x:c r="G37" s="3">
        <x:f>IF(초입!D37="","",초입!D37)</x:f>
        <x:v>3</x:v>
      </x:c>
      <x:c r="H37" s="3" t="str">
        <x:f>IF(초입!E37="","",초입!E37)</x:f>
        <x:v>서민재</x:v>
      </x:c>
      <x:c r="I37" s="3" t="str">
        <x:f>IF(초입!F37="","",초입!F37)</x:f>
        <x:v>남</x:v>
      </x:c>
      <x:c r="J37" s="3" t="str">
        <x:f>IF(초입!G37="","",초입!G37)</x:f>
        <x:v>2020.12.07.</x:v>
      </x:c>
      <x:c r="K37" s="3" t="str">
        <x:f>IF(초입!J37="","",초입!J37)</x:f>
        <x:v>발달지체</x:v>
      </x:c>
      <x:c r="L37" s="3" t="str">
        <x:f>IF(초입!K37="","",초입!K37)</x:f>
        <x:v/>
      </x:c>
      <x:c r="M37" s="3" t="str">
        <x:f>IF(초입!L37="","",초입!L37)</x:f>
        <x:v/>
      </x:c>
      <x:c r="N37" s="3" t="str">
        <x:f>IF(초입!N37="","",초입!N37)</x:f>
        <x:v>부양초등학교</x:v>
      </x:c>
      <x:c r="O37" s="3" t="str">
        <x:f>IF(초입!O37="","",초입!O37)</x:f>
        <x:v>특수학급</x:v>
      </x:c>
      <x:c r="P37" s="3" t="str">
        <x:f>IF(초입!P37="","",초입!P37)</x:f>
        <x:v/>
      </x:c>
      <x:c r="Q37" s="3">
        <x:f>IF(초입!Q37="","",초입!Q37)</x:f>
        <x:v>0.46999999999999997</x:v>
      </x:c>
      <x:c r="R37" s="3" t="str">
        <x:f>IF(초입!R37="","","1. "&amp;초입!R37&amp;IF(초입!V37&lt;&gt;"",CHAR(10)&amp;"2. "&amp;초입!V37,"")&amp;IF(초입!Z37&lt;&gt;"",CHAR(10)&amp;"3. "&amp;초입!Z37,""))</x:f>
        <x:v>1. 부양초등학교
2. 백문초등학교
3. 토평초등학교</x:v>
      </x:c>
      <x:c r="S37" s="3" t="str">
        <x:f>IF(초입!S37="","",""&amp;초입!S37&amp;IF(초입!W37&lt;&gt;"",CHAR(10)&amp;""&amp;초입!W37,"")&amp;IF(초입!AA37&lt;&gt;"",CHAR(10)&amp;""&amp;초입!AA37,""))</x:f>
        <x:v>특수학급
특수학급
특수학급</x:v>
      </x:c>
      <x:c r="T37" s="3" t="str">
        <x:f>IF(초입!T37="","",""&amp;초입!T37&amp;IF(초입!X37&lt;&gt;"",CHAR(10)&amp;""&amp;초입!X37,"")&amp;IF(초입!AB37&lt;&gt;"",CHAR(10)&amp;""&amp;초입!AB37,""))</x:f>
        <x:v/>
      </x:c>
      <x:c r="U37" s="3" t="str">
        <x:f>IF(초입!U37="","",""&amp;초입!U37&amp;IF(초입!Y37&lt;&gt;"",CHAR(10)&amp;""&amp;초입!Y37,"")&amp;IF(초입!AC37&lt;&gt;"",CHAR(10)&amp;""&amp;초입!AC37,""))</x:f>
        <x:v>0.47
0.97
1.1</x:v>
      </x:c>
      <x:c r="V37" s="3" t="str">
        <x:f>IF(초입!AO37="","",초입!AO37)</x:f>
        <x:v/>
      </x:c>
      <x:c r="W37" s="3" t="str">
        <x:f>IF(초입!AP37="","",초입!AP37)</x:f>
        <x:v>주소 확인자 서명 누락. 수정요청. / 수정완료</x:v>
      </x:c>
      <x:c r="X37" s="3" t="str">
        <x:f>IF(초입!AD37="","",초입!AD37)</x:f>
        <x:v>010-7737-6854</x:v>
      </x:c>
      <x:c r="Y37" s="3" t="str">
        <x:f>IF(초입!AE37="","",초입!AE37)</x:f>
        <x:v/>
      </x:c>
      <x:c r="Z37" s="3" t="str">
        <x:f>IF(초입!M37="","",초입!M37)</x:f>
        <x:v>경기도 구리시 체육관로 66 대림한숲@ 105-1407</x:v>
      </x:c>
      <x:c r="AA37" s="7"/>
      <x:c r="AB37" s="7"/>
      <x:c r="AC37" s="7"/>
    </x:row>
    <x:row r="38" spans="1:29" customFormat="1" ht="65.84999999999999431566">
      <x:c r="A38" s="3">
        <x:f>초입!A38</x:f>
        <x:v>35</x:v>
      </x:c>
      <x:c r="B38" s="3" t="s">
        <x:v>194</x:v>
      </x:c>
      <x:c r="C38" s="3" t="str">
        <x:f>IF(초입!H38&lt;&gt;"","O","")</x:f>
        <x:v/>
      </x:c>
      <x:c r="D38" s="3" t="str">
        <x:f>IF(초입!I38&lt;&gt;"","O","")</x:f>
        <x:v>O</x:v>
      </x:c>
      <x:c r="E38" s="3" t="str">
        <x:f>초입!B38</x:f>
        <x:v>일본사이타마시립특별지원학교</x:v>
      </x:c>
      <x:c r="F38" s="3" t="str">
        <x:f>IF(초입!C38="","",초입!C38)</x:f>
        <x:v/>
      </x:c>
      <x:c r="G38" s="3">
        <x:f>IF(초입!D38="","",초입!D38)</x:f>
        <x:v>1</x:v>
      </x:c>
      <x:c r="H38" s="3" t="str">
        <x:f>IF(초입!E38="","",초입!E38)</x:f>
        <x:v>양세린</x:v>
      </x:c>
      <x:c r="I38" s="3" t="str">
        <x:f>IF(초입!F38="","",초입!F38)</x:f>
        <x:v>여</x:v>
      </x:c>
      <x:c r="J38" s="3" t="str">
        <x:f>IF(초입!G38="","",초입!G38)</x:f>
        <x:v>2019.12.30.</x:v>
      </x:c>
      <x:c r="K38" s="3" t="str">
        <x:f>IF(초입!J38="","",초입!J38)</x:f>
        <x:v>지적장애</x:v>
      </x:c>
      <x:c r="L38" s="3" t="str">
        <x:f>IF(초입!K38="","",초입!K38)</x:f>
        <x:v/>
      </x:c>
      <x:c r="M38" s="3" t="str">
        <x:f>IF(초입!L38="","",초입!L38)</x:f>
        <x:v/>
      </x:c>
      <x:c r="N38" s="3" t="str">
        <x:f>IF(초입!N38="","",초입!N38)</x:f>
        <x:v>다산별빛초등학교</x:v>
      </x:c>
      <x:c r="O38" s="3" t="str">
        <x:f>IF(초입!O38="","",초입!O38)</x:f>
        <x:v>특수학급</x:v>
      </x:c>
      <x:c r="P38" s="3" t="str">
        <x:f>IF(초입!P38="","",초입!P38)</x:f>
        <x:v/>
      </x:c>
      <x:c r="Q38" s="3">
        <x:f>IF(초입!Q38="","",초입!Q38)</x:f>
        <x:v>0.32100000000000001</x:v>
      </x:c>
      <x:c r="R38" s="3" t="str">
        <x:f>IF(초입!R38="","","1. "&amp;초입!R38&amp;IF(초입!V38&lt;&gt;"",CHAR(10)&amp;"2. "&amp;초입!V38,"")&amp;IF(초입!Z38&lt;&gt;"",CHAR(10)&amp;"3. "&amp;초입!Z38,""))</x:f>
        <x:v>1. 다산별빛초등학교
2. 다산새봄초등학교
3. 금교초등학교</x:v>
      </x:c>
      <x:c r="S38" s="3" t="str">
        <x:f>IF(초입!S38="","",""&amp;초입!S38&amp;IF(초입!W38&lt;&gt;"",CHAR(10)&amp;""&amp;초입!W38,"")&amp;IF(초입!AA38&lt;&gt;"",CHAR(10)&amp;""&amp;초입!AA38,""))</x:f>
        <x:v>특수학급
특수학급
특수학급</x:v>
      </x:c>
      <x:c r="T38" s="3" t="str">
        <x:f>IF(초입!T38="","",""&amp;초입!T38&amp;IF(초입!X38&lt;&gt;"",CHAR(10)&amp;""&amp;초입!X38,"")&amp;IF(초입!AB38&lt;&gt;"",CHAR(10)&amp;""&amp;초입!AB38,""))</x:f>
        <x:v/>
      </x:c>
      <x:c r="U38" s="3" t="str">
        <x:f>IF(초입!U38="","",""&amp;초입!U38&amp;IF(초입!Y38&lt;&gt;"",CHAR(10)&amp;""&amp;초입!Y38,"")&amp;IF(초입!AC38&lt;&gt;"",CHAR(10)&amp;""&amp;초입!AC38,""))</x:f>
        <x:v>0.321
0.7
0.833</x:v>
      </x:c>
      <x:c r="V38" s="3" t="str">
        <x:f>IF(초입!AO38="","",초입!AO38)</x:f>
        <x:v>※2026년 1월 22일 검사 실시
□ K-WPPSI-Ⅳ: 전체IQ 41(언어이해 50, 시공간 46, 유동추론 45, 작업기억 45, 처리속도 45/매우 낮음)
□ 사회성숙도: SA 2세8개월, SQ 44.66(중등도)
□ 적응행동: 표준점수 51(상당히 저조한 수준)</x:v>
      </x:c>
      <x:c r="W38" s="3" t="str">
        <x:f>IF(초입!AP38="","",초입!AP38)</x:f>
        <x:v>특수학교를 희망하나 일본에 거주 중이라, 7~8월 중 심층관찰 일정 협의 예정</x:v>
      </x:c>
      <x:c r="X38" s="3" t="str">
        <x:f>IF(초입!AD38="","",초입!AD38)</x:f>
        <x:v>010-8175-2518</x:v>
      </x:c>
      <x:c r="Y38" s="3" t="str">
        <x:f>IF(초입!AE38="","",초입!AE38)</x:f>
        <x:v/>
      </x:c>
      <x:c r="Z38" s="3" t="str">
        <x:f>IF(초입!M38="","",초입!M38)</x:f>
        <x:v>경기도 남양주시 다산중앙로82번길 106, 6401동 2605호</x:v>
      </x:c>
      <x:c r="AA38" s="7"/>
      <x:c r="AB38" s="7"/>
      <x:c r="AC38" s="7"/>
    </x:row>
    <x:row r="39" spans="1:29" customFormat="1" ht="39.54999999999999715783">
      <x:c r="A39" s="3">
        <x:f>초입!A39</x:f>
        <x:v>36</x:v>
      </x:c>
      <x:c r="B39" s="3" t="s">
        <x:v>194</x:v>
      </x:c>
      <x:c r="C39" s="3" t="str">
        <x:f>IF(초입!H39&lt;&gt;"","O","")</x:f>
        <x:v/>
      </x:c>
      <x:c r="D39" s="3" t="str">
        <x:f>IF(초입!I39&lt;&gt;"","O","")</x:f>
        <x:v>O</x:v>
      </x:c>
      <x:c r="E39" s="3" t="str">
        <x:f>초입!B39</x:f>
        <x:v>시립하나어린이집</x:v>
      </x:c>
      <x:c r="F39" s="3" t="str">
        <x:f>IF(초입!C39="","",초입!C39)</x:f>
        <x:v/>
      </x:c>
      <x:c r="G39" s="3">
        <x:f>IF(초입!D39="","",초입!D39)</x:f>
        <x:v>3</x:v>
      </x:c>
      <x:c r="H39" s="3" t="str">
        <x:f>IF(초입!E39="","",초입!E39)</x:f>
        <x:v>윤하진</x:v>
      </x:c>
      <x:c r="I39" s="3" t="str">
        <x:f>IF(초입!F39="","",초입!F39)</x:f>
        <x:v>남</x:v>
      </x:c>
      <x:c r="J39" s="3" t="str">
        <x:f>IF(초입!G39="","",초입!G39)</x:f>
        <x:v>2018.02.11.</x:v>
      </x:c>
      <x:c r="K39" s="3" t="str">
        <x:f>IF(초입!J39="","",초입!J39)</x:f>
        <x:v>중도중복장애</x:v>
      </x:c>
      <x:c r="L39" s="3" t="str">
        <x:f>IF(초입!K39="","",초입!K39)</x:f>
        <x:v>지적·뇌병변장애</x:v>
      </x:c>
      <x:c r="M39" s="3" t="str">
        <x:f>IF(초입!L39="","",초입!L39)</x:f>
        <x:v>중증</x:v>
      </x:c>
      <x:c r="N39" s="3" t="str">
        <x:f>IF(초입!N39="","",초입!N39)</x:f>
        <x:v>남양주송라초등학교</x:v>
      </x:c>
      <x:c r="O39" s="3" t="str">
        <x:f>IF(초입!O39="","",초입!O39)</x:f>
        <x:v>특수학급</x:v>
      </x:c>
      <x:c r="P39" s="3" t="str">
        <x:f>IF(초입!P39="","",초입!P39)</x:f>
        <x:v/>
      </x:c>
      <x:c r="Q39" s="3">
        <x:f>IF(초입!Q39="","",초입!Q39)</x:f>
        <x:v>0.629</x:v>
      </x:c>
      <x:c r="R39" s="3" t="str">
        <x:f>IF(초입!R39="","","1. "&amp;초입!R39&amp;IF(초입!V39&lt;&gt;"",CHAR(10)&amp;"2. "&amp;초입!V39,"")&amp;IF(초입!Z39&lt;&gt;"",CHAR(10)&amp;"3. "&amp;초입!Z39,""))</x:f>
        <x:v>1. 남양주송라초등학교
2. 마석초등학교
3. 은솔초등학교</x:v>
      </x:c>
      <x:c r="S39" s="3" t="str">
        <x:f>IF(초입!S39="","",""&amp;초입!S39&amp;IF(초입!W39&lt;&gt;"",CHAR(10)&amp;""&amp;초입!W39,"")&amp;IF(초입!AA39&lt;&gt;"",CHAR(10)&amp;""&amp;초입!AA39,""))</x:f>
        <x:v>특수학급
특수학급
특수학급</x:v>
      </x:c>
      <x:c r="T39" s="3" t="str">
        <x:f>IF(초입!T39="","",""&amp;초입!T39&amp;IF(초입!X39&lt;&gt;"",CHAR(10)&amp;""&amp;초입!X39,"")&amp;IF(초입!AB39&lt;&gt;"",CHAR(10)&amp;""&amp;초입!AB39,""))</x:f>
        <x:v/>
      </x:c>
      <x:c r="U39" s="3" t="str">
        <x:f>IF(초입!U39="","",""&amp;초입!U39&amp;IF(초입!Y39&lt;&gt;"",CHAR(10)&amp;""&amp;초입!Y39,"")&amp;IF(초입!AC39&lt;&gt;"",CHAR(10)&amp;""&amp;초입!AC39,""))</x:f>
        <x:v>0.629
1.3
1.4</x:v>
      </x:c>
      <x:c r="V39" s="3" t="str">
        <x:f>IF(초입!AO39="","",초입!AO39)</x:f>
        <x:v>□ 복지카드: 지적·뇌병변장애 중증(~2030.10.24.)
□ 장애인증명서(지적장애 심한장애, 뇌병변 심한장애, 2019.07.05.)</x:v>
      </x:c>
      <x:c r="W39" s="3" t="str">
        <x:f>IF(초입!AP39="","",초입!AP39)</x:f>
        <x:v>장애인증명서 확인 필요 / 제출완료</x:v>
      </x:c>
      <x:c r="X39" s="3" t="str">
        <x:f>IF(초입!AD39="","",초입!AD39)</x:f>
        <x:v>010-4310-8179</x:v>
      </x:c>
      <x:c r="Y39" s="3" t="str">
        <x:f>IF(초입!AE39="","",초입!AE39)</x:f>
        <x:v/>
      </x:c>
      <x:c r="Z39" s="3" t="str">
        <x:f>IF(초입!M39="","",초입!M39)</x:f>
        <x:v>경기도 남양주시 화도읍 비룡로 56-8, 101동 1802호</x:v>
      </x:c>
      <x:c r="AA39" s="7"/>
      <x:c r="AB39" s="7"/>
      <x:c r="AC39" s="7"/>
    </x:row>
    <x:row r="40" spans="1:29" customFormat="1" ht="39.54999999999999715783">
      <x:c r="A40" s="3">
        <x:f>초입!A40</x:f>
        <x:v>37</x:v>
      </x:c>
      <x:c r="B40" s="3" t="s">
        <x:v>194</x:v>
      </x:c>
      <x:c r="C40" s="3" t="str">
        <x:f>IF(초입!H40&lt;&gt;"","O","")</x:f>
        <x:v>O</x:v>
      </x:c>
      <x:c r="D40" s="3" t="str">
        <x:f>IF(초입!I40&lt;&gt;"","O","")</x:f>
        <x:v/>
      </x:c>
      <x:c r="E40" s="3" t="str">
        <x:f>초입!B40</x:f>
        <x:v>평내초등학교병설유치원</x:v>
      </x:c>
      <x:c r="F40" s="3" t="str">
        <x:f>IF(초입!C40="","",초입!C40)</x:f>
        <x:v>순회학급</x:v>
      </x:c>
      <x:c r="G40" s="3">
        <x:f>IF(초입!D40="","",초입!D40)</x:f>
        <x:v>3</x:v>
      </x:c>
      <x:c r="H40" s="3" t="str">
        <x:f>IF(초입!E40="","",초입!E40)</x:f>
        <x:v>김보라</x:v>
      </x:c>
      <x:c r="I40" s="3" t="str">
        <x:f>IF(초입!F40="","",초입!F40)</x:f>
        <x:v>여</x:v>
      </x:c>
      <x:c r="J40" s="3" t="str">
        <x:f>IF(초입!G40="","",초입!G40)</x:f>
        <x:v>2020.08.28.</x:v>
      </x:c>
      <x:c r="K40" s="3" t="str">
        <x:f>IF(초입!J40="","",초입!J40)</x:f>
        <x:v>지체장애</x:v>
      </x:c>
      <x:c r="L40" s="3" t="str">
        <x:f>IF(초입!K40="","",초입!K40)</x:f>
        <x:v>뇌병변</x:v>
      </x:c>
      <x:c r="M40" s="3" t="str">
        <x:f>IF(초입!L40="","",초입!L40)</x:f>
        <x:v>중증</x:v>
      </x:c>
      <x:c r="N40" s="3" t="str">
        <x:f>IF(초입!N40="","",초입!N40)</x:f>
        <x:v>창현초등학교</x:v>
      </x:c>
      <x:c r="O40" s="3" t="str">
        <x:f>IF(초입!O40="","",초입!O40)</x:f>
        <x:v>특수학급</x:v>
      </x:c>
      <x:c r="P40" s="3" t="str">
        <x:f>IF(초입!P40="","",초입!P40)</x:f>
        <x:v/>
      </x:c>
      <x:c r="Q40" s="3">
        <x:f>IF(초입!Q40="","",초입!Q40)</x:f>
        <x:v>0.31</x:v>
      </x:c>
      <x:c r="R40" s="3" t="str">
        <x:f>IF(초입!R40="","","1. "&amp;초입!R40&amp;IF(초입!V40&lt;&gt;"",CHAR(10)&amp;"2. "&amp;초입!V40,"")&amp;IF(초입!Z40&lt;&gt;"",CHAR(10)&amp;"3. "&amp;초입!Z40,""))</x:f>
        <x:v>1. 마석초등학교
2. 평동초등학교
3. 남양주동곡초등학교</x:v>
      </x:c>
      <x:c r="S40" s="3" t="str">
        <x:f>IF(초입!S40="","",""&amp;초입!S40&amp;IF(초입!W40&lt;&gt;"",CHAR(10)&amp;""&amp;초입!W40,"")&amp;IF(초입!AA40&lt;&gt;"",CHAR(10)&amp;""&amp;초입!AA40,""))</x:f>
        <x:v>순회학급
순회학급
순회학급</x:v>
      </x:c>
      <x:c r="T40" s="3" t="str">
        <x:f>IF(초입!T40="","",""&amp;초입!T40&amp;IF(초입!X40&lt;&gt;"",CHAR(10)&amp;""&amp;초입!X40,"")&amp;IF(초입!AB40&lt;&gt;"",CHAR(10)&amp;""&amp;초입!AB40,""))</x:f>
        <x:v/>
      </x:c>
      <x:c r="U40" s="3" t="str">
        <x:f>IF(초입!U40="","",""&amp;초입!U40&amp;IF(초입!Y40&lt;&gt;"",CHAR(10)&amp;""&amp;초입!Y40,"")&amp;IF(초입!AC40&lt;&gt;"",CHAR(10)&amp;""&amp;초입!AC40,""))</x:f>
        <x:v>0.984
6.1
11</x:v>
      </x:c>
      <x:c r="V40" s="3" t="str">
        <x:f>IF(초입!AO40="","",초입!AO40)</x:f>
        <x:v>□ 장애인증명서: 뇌병변 심한</x:v>
      </x:c>
      <x:c r="W40" s="3" t="str">
        <x:f>IF(초입!AP40="","",초입!AP40)</x:f>
        <x:v>순회학급</x:v>
      </x:c>
      <x:c r="X40" s="3" t="str">
        <x:f>IF(초입!AD40="","",초입!AD40)</x:f>
        <x:v>010-6547-0279</x:v>
      </x:c>
      <x:c r="Y40" s="3" t="str">
        <x:f>IF(초입!AE40="","",초입!AE40)</x:f>
        <x:v/>
      </x:c>
      <x:c r="Z40" s="3" t="str">
        <x:f>IF(초입!M40="","",초입!M40)</x:f>
        <x:v>경기도 남양주시 화도읍 녹촌로20, 101동1103호(신한토탈아파트)</x:v>
      </x:c>
      <x:c r="AA40" s="7"/>
      <x:c r="AB40" s="7"/>
      <x:c r="AC40" s="7"/>
    </x:row>
    <x:row r="41" spans="1:29" customFormat="1" ht="26.35000000000000142109">
      <x:c r="A41" s="3">
        <x:f>초입!A41</x:f>
        <x:v>38</x:v>
      </x:c>
      <x:c r="B41" s="3" t="s">
        <x:v>194</x:v>
      </x:c>
      <x:c r="C41" s="3" t="str">
        <x:f>IF(초입!H41&lt;&gt;"","O","")</x:f>
        <x:v>O</x:v>
      </x:c>
      <x:c r="D41" s="3" t="str">
        <x:f>IF(초입!I41&lt;&gt;"","O","")</x:f>
        <x:v/>
      </x:c>
      <x:c r="E41" s="3" t="str">
        <x:f>초입!B41</x:f>
        <x:v>남양주송라초등학교병설유치원</x:v>
      </x:c>
      <x:c r="F41" s="3" t="str">
        <x:f>IF(초입!C41="","",초입!C41)</x:f>
        <x:v>특수학급</x:v>
      </x:c>
      <x:c r="G41" s="3">
        <x:f>IF(초입!D41="","",초입!D41)</x:f>
        <x:v>3</x:v>
      </x:c>
      <x:c r="H41" s="3" t="str">
        <x:f>IF(초입!E41="","",초입!E41)</x:f>
        <x:v>김시원</x:v>
      </x:c>
      <x:c r="I41" s="3" t="str">
        <x:f>IF(초입!F41="","",초입!F41)</x:f>
        <x:v>남</x:v>
      </x:c>
      <x:c r="J41" s="3" t="str">
        <x:f>IF(초입!G41="","",초입!G41)</x:f>
        <x:v>2020.07.04.</x:v>
      </x:c>
      <x:c r="K41" s="3" t="str">
        <x:f>IF(초입!J41="","",초입!J41)</x:f>
        <x:v>발달지체</x:v>
      </x:c>
      <x:c r="L41" s="3" t="str">
        <x:f>IF(초입!K41="","",초입!K41)</x:f>
        <x:v>언어장애</x:v>
      </x:c>
      <x:c r="M41" s="3" t="str">
        <x:f>IF(초입!L41="","",초입!L41)</x:f>
        <x:v>중증</x:v>
      </x:c>
      <x:c r="N41" s="3" t="str">
        <x:f>IF(초입!N41="","",초입!N41)</x:f>
        <x:v>화도초등학교</x:v>
      </x:c>
      <x:c r="O41" s="3" t="str">
        <x:f>IF(초입!O41="","",초입!O41)</x:f>
        <x:v>일반학급</x:v>
      </x:c>
      <x:c r="P41" s="3" t="str">
        <x:f>IF(초입!P41="","",초입!P41)</x:f>
        <x:v/>
      </x:c>
      <x:c r="Q41" s="3">
        <x:f>IF(초입!Q41="","",초입!Q41)</x:f>
        <x:v>0.79000000000000004</x:v>
      </x:c>
      <x:c r="R41" s="3" t="str">
        <x:f>IF(초입!R41="","","1. "&amp;초입!R41&amp;IF(초입!V41&lt;&gt;"",CHAR(10)&amp;"2. "&amp;초입!V41,"")&amp;IF(초입!Z41&lt;&gt;"",CHAR(10)&amp;"3. "&amp;초입!Z41,""))</x:f>
        <x:v/>
      </x:c>
      <x:c r="S41" s="3" t="str">
        <x:f>IF(초입!S41="","",""&amp;초입!S41&amp;IF(초입!W41&lt;&gt;"",CHAR(10)&amp;""&amp;초입!W41,"")&amp;IF(초입!AA41&lt;&gt;"",CHAR(10)&amp;""&amp;초입!AA41,""))</x:f>
        <x:v/>
      </x:c>
      <x:c r="T41" s="3" t="str">
        <x:f>IF(초입!T41="","",""&amp;초입!T41&amp;IF(초입!X41&lt;&gt;"",CHAR(10)&amp;""&amp;초입!X41,"")&amp;IF(초입!AB41&lt;&gt;"",CHAR(10)&amp;""&amp;초입!AB41,""))</x:f>
        <x:v/>
      </x:c>
      <x:c r="U41" s="3" t="str">
        <x:f>IF(초입!U41="","",""&amp;초입!U41&amp;IF(초입!Y41&lt;&gt;"",CHAR(10)&amp;""&amp;초입!Y41,"")&amp;IF(초입!AC41&lt;&gt;"",CHAR(10)&amp;""&amp;초입!AC41,""))</x:f>
        <x:v/>
      </x:c>
      <x:c r="V41" s="3" t="str">
        <x:f>IF(초입!AO41="","",초입!AO41)</x:f>
        <x:v>□ 복지카드: 언어장애 심한(~2027.04.18.)</x:v>
      </x:c>
      <x:c r="W41" s="3" t="str">
        <x:f>IF(초입!AP41="","",초입!AP41)</x:f>
        <x:v/>
      </x:c>
      <x:c r="X41" s="3" t="str">
        <x:f>IF(초입!AD41="","",초입!AD41)</x:f>
        <x:v>010-7524-3737</x:v>
      </x:c>
      <x:c r="Y41" s="3" t="str">
        <x:f>IF(초입!AE41="","",초입!AE41)</x:f>
        <x:v/>
      </x:c>
      <x:c r="Z41" s="3" t="str">
        <x:f>IF(초입!M41="","",초입!M41)</x:f>
        <x:v>경기도 남양주시 화도읍 비룡로116번길35, 305동 303호(마석역신도브래뉴3차아파트)</x:v>
      </x:c>
      <x:c r="AA41" s="7"/>
      <x:c r="AB41" s="7"/>
      <x:c r="AC41" s="7"/>
    </x:row>
    <x:row r="42" spans="1:29" customFormat="1" ht="39.54999999999999715783">
      <x:c r="A42" s="3">
        <x:f>초입!A42</x:f>
        <x:v>39</x:v>
      </x:c>
      <x:c r="B42" s="3" t="s">
        <x:v>194</x:v>
      </x:c>
      <x:c r="C42" s="3" t="str">
        <x:f>IF(초입!H42&lt;&gt;"","O","")</x:f>
        <x:v>O</x:v>
      </x:c>
      <x:c r="D42" s="3" t="str">
        <x:f>IF(초입!I42&lt;&gt;"","O","")</x:f>
        <x:v/>
      </x:c>
      <x:c r="E42" s="3" t="str">
        <x:f>초입!B42</x:f>
        <x:v>남양주월산초등학교병설유치원</x:v>
      </x:c>
      <x:c r="F42" s="3" t="str">
        <x:f>IF(초입!C42="","",초입!C42)</x:f>
        <x:v>특수학급</x:v>
      </x:c>
      <x:c r="G42" s="3">
        <x:f>IF(초입!D42="","",초입!D42)</x:f>
        <x:v>3</x:v>
      </x:c>
      <x:c r="H42" s="3" t="str">
        <x:f>IF(초입!E42="","",초입!E42)</x:f>
        <x:v>조이언</x:v>
      </x:c>
      <x:c r="I42" s="3" t="str">
        <x:f>IF(초입!F42="","",초입!F42)</x:f>
        <x:v>남</x:v>
      </x:c>
      <x:c r="J42" s="3" t="str">
        <x:f>IF(초입!G42="","",초입!G42)</x:f>
        <x:v>2020.11.18.</x:v>
      </x:c>
      <x:c r="K42" s="3" t="str">
        <x:f>IF(초입!J42="","",초입!J42)</x:f>
        <x:v>발달지체</x:v>
      </x:c>
      <x:c r="L42" s="3" t="str">
        <x:f>IF(초입!K42="","",초입!K42)</x:f>
        <x:v/>
      </x:c>
      <x:c r="M42" s="3" t="str">
        <x:f>IF(초입!L42="","",초입!L42)</x:f>
        <x:v/>
      </x:c>
      <x:c r="N42" s="3" t="str">
        <x:f>IF(초입!N42="","",초입!N42)</x:f>
        <x:v>화도초등학교</x:v>
      </x:c>
      <x:c r="O42" s="3" t="str">
        <x:f>IF(초입!O42="","",초입!O42)</x:f>
        <x:v>특수학급</x:v>
      </x:c>
      <x:c r="P42" s="3" t="str">
        <x:f>IF(초입!P42="","",초입!P42)</x:f>
        <x:v/>
      </x:c>
      <x:c r="Q42" s="3">
        <x:f>IF(초입!Q42="","",초입!Q42)</x:f>
        <x:v>0.79000000000000004</x:v>
      </x:c>
      <x:c r="R42" s="3" t="str">
        <x:f>IF(초입!R42="","","1. "&amp;초입!R42&amp;IF(초입!V42&lt;&gt;"",CHAR(10)&amp;"2. "&amp;초입!V42,"")&amp;IF(초입!Z42&lt;&gt;"",CHAR(10)&amp;"3. "&amp;초입!Z42,""))</x:f>
        <x:v>1. 화도초등학교
2. 남양주송라초등학교
3. 마석초등학교</x:v>
      </x:c>
      <x:c r="S42" s="3" t="str">
        <x:f>IF(초입!S42="","",""&amp;초입!S42&amp;IF(초입!W42&lt;&gt;"",CHAR(10)&amp;""&amp;초입!W42,"")&amp;IF(초입!AA42&lt;&gt;"",CHAR(10)&amp;""&amp;초입!AA42,""))</x:f>
        <x:v>특수학급
특수학급
특수학급</x:v>
      </x:c>
      <x:c r="T42" s="3" t="str">
        <x:f>IF(초입!T42="","",""&amp;초입!T42&amp;IF(초입!X42&lt;&gt;"",CHAR(10)&amp;""&amp;초입!X42,"")&amp;IF(초입!AB42&lt;&gt;"",CHAR(10)&amp;""&amp;초입!AB42,""))</x:f>
        <x:v/>
      </x:c>
      <x:c r="U42" s="3" t="str">
        <x:f>IF(초입!U42="","",""&amp;초입!U42&amp;IF(초입!Y42&lt;&gt;"",CHAR(10)&amp;""&amp;초입!Y42,"")&amp;IF(초입!AC42&lt;&gt;"",CHAR(10)&amp;""&amp;초입!AC42,""))</x:f>
        <x:v>0.79
2.1
2.5</x:v>
      </x:c>
      <x:c r="V42" s="3" t="str">
        <x:f>IF(초입!AO42="","",초입!AO42)</x:f>
        <x:v/>
      </x:c>
      <x:c r="W42" s="3" t="str">
        <x:f>IF(초입!AP42="","",초입!AP42)</x:f>
        <x:v/>
      </x:c>
      <x:c r="X42" s="3" t="str">
        <x:f>IF(초입!AD42="","",초입!AD42)</x:f>
        <x:v>010-4355-5715</x:v>
      </x:c>
      <x:c r="Y42" s="3" t="str">
        <x:f>IF(초입!AE42="","",초입!AE42)</x:f>
        <x:v/>
      </x:c>
      <x:c r="Z42" s="3" t="str">
        <x:f>IF(초입!M42="","",초입!M42)</x:f>
        <x:v>경기도 남양주시 화도읍 비룡로 116번길35, 304동 903호 신도브래뉴3차</x:v>
      </x:c>
      <x:c r="AA42" s="7"/>
      <x:c r="AB42" s="7"/>
      <x:c r="AC42" s="7"/>
    </x:row>
    <x:row r="43" spans="1:29" customFormat="1" ht="39.54999999999999715783">
      <x:c r="A43" s="3">
        <x:f>초입!A43</x:f>
        <x:v>40</x:v>
      </x:c>
      <x:c r="B43" s="3" t="s">
        <x:v>194</x:v>
      </x:c>
      <x:c r="C43" s="3" t="str">
        <x:f>IF(초입!H43&lt;&gt;"","O","")</x:f>
        <x:v>O</x:v>
      </x:c>
      <x:c r="D43" s="3" t="str">
        <x:f>IF(초입!I43&lt;&gt;"","O","")</x:f>
        <x:v/>
      </x:c>
      <x:c r="E43" s="3" t="str">
        <x:f>초입!B43</x:f>
        <x:v>덕소초등학교병설유치원</x:v>
      </x:c>
      <x:c r="F43" s="3" t="str">
        <x:f>IF(초입!C43="","",초입!C43)</x:f>
        <x:v>일반학급</x:v>
      </x:c>
      <x:c r="G43" s="3">
        <x:f>IF(초입!D43="","",초입!D43)</x:f>
        <x:v>3</x:v>
      </x:c>
      <x:c r="H43" s="3" t="str">
        <x:f>IF(초입!E43="","",초입!E43)</x:f>
        <x:v>박경민</x:v>
      </x:c>
      <x:c r="I43" s="3" t="str">
        <x:f>IF(초입!F43="","",초입!F43)</x:f>
        <x:v>남</x:v>
      </x:c>
      <x:c r="J43" s="3" t="str">
        <x:f>IF(초입!G43="","",초입!G43)</x:f>
        <x:v>2020.02.15.</x:v>
      </x:c>
      <x:c r="K43" s="3" t="str">
        <x:f>IF(초입!J43="","",초입!J43)</x:f>
        <x:v>자폐성장애</x:v>
      </x:c>
      <x:c r="L43" s="3" t="str">
        <x:f>IF(초입!K43="","",초입!K43)</x:f>
        <x:v>자폐성장애</x:v>
      </x:c>
      <x:c r="M43" s="3" t="str">
        <x:f>IF(초입!L43="","",초입!L43)</x:f>
        <x:v>중증</x:v>
      </x:c>
      <x:c r="N43" s="3" t="str">
        <x:f>IF(초입!N43="","",초입!N43)</x:f>
        <x:v>덕소초등학교</x:v>
      </x:c>
      <x:c r="O43" s="3" t="str">
        <x:f>IF(초입!O43="","",초입!O43)</x:f>
        <x:v>특수학급</x:v>
      </x:c>
      <x:c r="P43" s="3" t="str">
        <x:f>IF(초입!P43="","",초입!P43)</x:f>
        <x:v/>
      </x:c>
      <x:c r="Q43" s="3">
        <x:f>IF(초입!Q43="","",초입!Q43)</x:f>
        <x:v>0.34000000000000002</x:v>
      </x:c>
      <x:c r="R43" s="3" t="str">
        <x:f>IF(초입!R43="","","1. "&amp;초입!R43&amp;IF(초입!V43&lt;&gt;"",CHAR(10)&amp;"2. "&amp;초입!V43,"")&amp;IF(초입!Z43&lt;&gt;"",CHAR(10)&amp;"3. "&amp;초입!Z43,""))</x:f>
        <x:v>1. 덕소초등학교
2. 예봉초등학교
3. 남양주도곡초등학교</x:v>
      </x:c>
      <x:c r="S43" s="3" t="str">
        <x:f>IF(초입!S43="","",""&amp;초입!S43&amp;IF(초입!W43&lt;&gt;"",CHAR(10)&amp;""&amp;초입!W43,"")&amp;IF(초입!AA43&lt;&gt;"",CHAR(10)&amp;""&amp;초입!AA43,""))</x:f>
        <x:v>특수학급
특수학급
특수학급</x:v>
      </x:c>
      <x:c r="T43" s="3" t="str">
        <x:f>IF(초입!T43="","",""&amp;초입!T43&amp;IF(초입!X43&lt;&gt;"",CHAR(10)&amp;""&amp;초입!X43,"")&amp;IF(초입!AB43&lt;&gt;"",CHAR(10)&amp;""&amp;초입!AB43,""))</x:f>
        <x:v/>
      </x:c>
      <x:c r="U43" s="3" t="str">
        <x:f>IF(초입!U43="","",""&amp;초입!U43&amp;IF(초입!Y43&lt;&gt;"",CHAR(10)&amp;""&amp;초입!Y43,"")&amp;IF(초입!AC43&lt;&gt;"",CHAR(10)&amp;""&amp;초입!AC43,""))</x:f>
        <x:v>0.34
1.4
1.4</x:v>
      </x:c>
      <x:c r="V43" s="3" t="str">
        <x:f>IF(초입!AO43="","",초입!AO43)</x:f>
        <x:v>□ 복지카드: 자폐성장애 중증(~2028.12.27.)</x:v>
      </x:c>
      <x:c r="W43" s="3" t="str">
        <x:f>IF(초입!AP43="","",초입!AP43)</x:f>
        <x:v/>
      </x:c>
      <x:c r="X43" s="3" t="str">
        <x:f>IF(초입!AD43="","",초입!AD43)</x:f>
        <x:v>010-3972-5994</x:v>
      </x:c>
      <x:c r="Y43" s="3" t="str">
        <x:f>IF(초입!AE43="","",초입!AE43)</x:f>
        <x:v/>
      </x:c>
      <x:c r="Z43" s="3" t="str">
        <x:f>IF(초입!M43="","",초입!M43)</x:f>
        <x:v>경기도 남양주시 와부읍 덕소로 71번길 9-18</x:v>
      </x:c>
      <x:c r="AA43" s="7"/>
      <x:c r="AB43" s="7"/>
      <x:c r="AC43" s="7"/>
    </x:row>
    <x:row r="44" spans="1:29" customFormat="1" ht="39.54999999999999715783">
      <x:c r="A44" s="3">
        <x:f>초입!A44</x:f>
        <x:v>41</x:v>
      </x:c>
      <x:c r="B44" s="3" t="s">
        <x:v>194</x:v>
      </x:c>
      <x:c r="C44" s="3" t="str">
        <x:f>IF(초입!H44&lt;&gt;"","O","")</x:f>
        <x:v/>
      </x:c>
      <x:c r="D44" s="3" t="str">
        <x:f>IF(초입!I44&lt;&gt;"","O","")</x:f>
        <x:v>O</x:v>
      </x:c>
      <x:c r="E44" s="3" t="str">
        <x:f>초입!B44</x:f>
        <x:v>시립행복모아어린이집</x:v>
      </x:c>
      <x:c r="F44" s="3" t="str">
        <x:f>IF(초입!C44="","",초입!C44)</x:f>
        <x:v/>
      </x:c>
      <x:c r="G44" s="3">
        <x:f>IF(초입!D44="","",초입!D44)</x:f>
        <x:v>3</x:v>
      </x:c>
      <x:c r="H44" s="3" t="str">
        <x:f>IF(초입!E44="","",초입!E44)</x:f>
        <x:v>김하린</x:v>
      </x:c>
      <x:c r="I44" s="3" t="str">
        <x:f>IF(초입!F44="","",초입!F44)</x:f>
        <x:v>여</x:v>
      </x:c>
      <x:c r="J44" s="3" t="str">
        <x:f>IF(초입!G44="","",초입!G44)</x:f>
        <x:v>2020.09.02.</x:v>
      </x:c>
      <x:c r="K44" s="3" t="str">
        <x:f>IF(초입!J44="","",초입!J44)</x:f>
        <x:v>중도중복장애</x:v>
      </x:c>
      <x:c r="L44" s="3" t="str">
        <x:f>IF(초입!K44="","",초입!K44)</x:f>
        <x:v>뇌병변장애</x:v>
      </x:c>
      <x:c r="M44" s="3" t="str">
        <x:f>IF(초입!L44="","",초입!L44)</x:f>
        <x:v>중증</x:v>
      </x:c>
      <x:c r="N44" s="3" t="str">
        <x:f>IF(초입!N44="","",초입!N44)</x:f>
        <x:v>도심초등학교</x:v>
      </x:c>
      <x:c r="O44" s="3" t="str">
        <x:f>IF(초입!O44="","",초입!O44)</x:f>
        <x:v>특수학급</x:v>
      </x:c>
      <x:c r="P44" s="3" t="str">
        <x:f>IF(초입!P44="","",초입!P44)</x:f>
        <x:v/>
      </x:c>
      <x:c r="Q44" s="3">
        <x:f>IF(초입!Q44="","",초입!Q44)</x:f>
        <x:v>1.5</x:v>
      </x:c>
      <x:c r="R44" s="3" t="str">
        <x:f>IF(초입!R44="","","1. "&amp;초입!R44&amp;IF(초입!V44&lt;&gt;"",CHAR(10)&amp;"2. "&amp;초입!V44,"")&amp;IF(초입!Z44&lt;&gt;"",CHAR(10)&amp;"3. "&amp;초입!Z44,""))</x:f>
        <x:v>1. 도심초등학교
2. 남양주도곡초등학교
3. 덕소초등학교</x:v>
      </x:c>
      <x:c r="S44" s="3" t="str">
        <x:f>IF(초입!S44="","",""&amp;초입!S44&amp;IF(초입!W44&lt;&gt;"",CHAR(10)&amp;""&amp;초입!W44,"")&amp;IF(초입!AA44&lt;&gt;"",CHAR(10)&amp;""&amp;초입!AA44,""))</x:f>
        <x:v>특수학급
특수학급
특수학급</x:v>
      </x:c>
      <x:c r="T44" s="3" t="str">
        <x:f>IF(초입!T44="","",""&amp;초입!T44&amp;IF(초입!X44&lt;&gt;"",CHAR(10)&amp;""&amp;초입!X44,"")&amp;IF(초입!AB44&lt;&gt;"",CHAR(10)&amp;""&amp;초입!AB44,""))</x:f>
        <x:v/>
      </x:c>
      <x:c r="U44" s="3" t="str">
        <x:f>IF(초입!U44="","",""&amp;초입!U44&amp;IF(초입!Y44&lt;&gt;"",CHAR(10)&amp;""&amp;초입!Y44,"")&amp;IF(초입!AC44&lt;&gt;"",CHAR(10)&amp;""&amp;초입!AC44,""))</x:f>
        <x:v>1.5
0.994
2</x:v>
      </x:c>
      <x:c r="V44" s="3" t="str">
        <x:f>IF(초입!AO44="","",초입!AO44)</x:f>
        <x:v>□ 복지카드: 뇌병변장애 중증(~2029.02.14.)
□ 장애인증명서(지적장애 심한 장애, 뇌병변 심한 장애, 2026.06.12.)</x:v>
      </x:c>
      <x:c r="W44" s="3" t="str">
        <x:f>IF(초입!AP44="","",초입!AP44)</x:f>
        <x:v>*학구(도심초)가 최근거리교가 아님</x:v>
      </x:c>
      <x:c r="X44" s="3" t="str">
        <x:f>IF(초입!AD44="","",초입!AD44)</x:f>
        <x:v>010-4410-6462</x:v>
      </x:c>
      <x:c r="Y44" s="3" t="str">
        <x:f>IF(초입!AE44="","",초입!AE44)</x:f>
        <x:v/>
      </x:c>
      <x:c r="Z44" s="3" t="str">
        <x:f>IF(초입!M44="","",초입!M44)</x:f>
        <x:v>경기도 남양주시 와부읍 덕소로 270, 113동 405호</x:v>
      </x:c>
      <x:c r="AA44" s="7"/>
      <x:c r="AB44" s="7"/>
      <x:c r="AC44" s="7"/>
    </x:row>
    <x:row r="45" spans="1:29" customFormat="1" ht="144.90000000000000568434">
      <x:c r="A45" s="3">
        <x:f>초입!A45</x:f>
        <x:v>42</x:v>
      </x:c>
      <x:c r="B45" s="3" t="s">
        <x:v>194</x:v>
      </x:c>
      <x:c r="C45" s="3" t="str">
        <x:f>IF(초입!H45&lt;&gt;"","O","")</x:f>
        <x:v/>
      </x:c>
      <x:c r="D45" s="3" t="str">
        <x:f>IF(초입!I45&lt;&gt;"","O","")</x:f>
        <x:v>O</x:v>
      </x:c>
      <x:c r="E45" s="3" t="str">
        <x:f>초입!B45</x:f>
        <x:v>랄라키즈어린이집</x:v>
      </x:c>
      <x:c r="F45" s="3" t="str">
        <x:f>IF(초입!C45="","",초입!C45)</x:f>
        <x:v/>
      </x:c>
      <x:c r="G45" s="3">
        <x:f>IF(초입!D45="","",초입!D45)</x:f>
        <x:v>3</x:v>
      </x:c>
      <x:c r="H45" s="3" t="str">
        <x:f>IF(초입!E45="","",초입!E45)</x:f>
        <x:v>임준호</x:v>
      </x:c>
      <x:c r="I45" s="3" t="str">
        <x:f>IF(초입!F45="","",초입!F45)</x:f>
        <x:v>남</x:v>
      </x:c>
      <x:c r="J45" s="3" t="str">
        <x:f>IF(초입!G45="","",초입!G45)</x:f>
        <x:v>2020.04.17.</x:v>
      </x:c>
      <x:c r="K45" s="3" t="str">
        <x:f>IF(초입!J45="","",초입!J45)</x:f>
        <x:v>자폐성장애</x:v>
      </x:c>
      <x:c r="L45" s="3" t="str">
        <x:f>IF(초입!K45="","",초입!K45)</x:f>
        <x:v/>
      </x:c>
      <x:c r="M45" s="3" t="str">
        <x:f>IF(초입!L45="","",초입!L45)</x:f>
        <x:v/>
      </x:c>
      <x:c r="N45" s="3" t="str">
        <x:f>IF(초입!N45="","",초입!N45)</x:f>
        <x:v>화접초등학교</x:v>
      </x:c>
      <x:c r="O45" s="3" t="str">
        <x:f>IF(초입!O45="","",초입!O45)</x:f>
        <x:v>특수학급</x:v>
      </x:c>
      <x:c r="P45" s="3" t="str">
        <x:f>IF(초입!P45="","",초입!P45)</x:f>
        <x:v/>
      </x:c>
      <x:c r="Q45" s="3">
        <x:f>IF(초입!Q45="","",초입!Q45)</x:f>
        <x:v>0.83199999999999996</x:v>
      </x:c>
      <x:c r="R45" s="3" t="str">
        <x:f>IF(초입!R45="","","1. "&amp;초입!R45&amp;IF(초입!V45&lt;&gt;"",CHAR(10)&amp;"2. "&amp;초입!V45,"")&amp;IF(초입!Z45&lt;&gt;"",CHAR(10)&amp;"3. "&amp;초입!Z45,""))</x:f>
        <x:v>1. 한별초등학교
2. 화접초등학교
3. 별가람초등학교</x:v>
      </x:c>
      <x:c r="S45" s="3" t="str">
        <x:f>IF(초입!S45="","",""&amp;초입!S45&amp;IF(초입!W45&lt;&gt;"",CHAR(10)&amp;""&amp;초입!W45,"")&amp;IF(초입!AA45&lt;&gt;"",CHAR(10)&amp;""&amp;초입!AA45,""))</x:f>
        <x:v>특수학급
특수학급
특수학급</x:v>
      </x:c>
      <x:c r="T45" s="3" t="str">
        <x:f>IF(초입!T45="","",""&amp;초입!T45&amp;IF(초입!X45&lt;&gt;"",CHAR(10)&amp;""&amp;초입!X45,"")&amp;IF(초입!AB45&lt;&gt;"",CHAR(10)&amp;""&amp;초입!AB45,""))</x:f>
        <x:v/>
      </x:c>
      <x:c r="U45" s="3" t="str">
        <x:f>IF(초입!U45="","",""&amp;초입!U45&amp;IF(초입!Y45&lt;&gt;"",CHAR(10)&amp;""&amp;초입!Y45,"")&amp;IF(초입!AC45&lt;&gt;"",CHAR(10)&amp;""&amp;초입!AC45,""))</x:f>
        <x:v>0.699
0.832
1.9</x:v>
      </x:c>
      <x:c r="V45" s="3" t="str">
        <x:f>IF(초입!AO45="","",초입!AO45)</x:f>
        <x:v>※심리평가보고서(2026.03.16.)
□ADOS-2: 총점26 (높음)(모듈1 시행, cut off 16)
□사회성숙도: SA 2세 4개월, SQ 38(매우낮음)
□K-CARS 2: 총점 39점(중도 수준의 자폐 관련 행동)
---
※2026년 7월 13일 검사 실시
□K-WISC-V: 전체IQ 40(언어이해 50, 시공간 50, 유동추론 50, 작업기억 53, 처리속도 55/매우 낮음)
□적응행동검사: 표준점수 70(저조한 수준)
□CBCL: 문제행동총점 63T(준임상범위), 
내재화 61T(준임상범위), 외현화 61T(준임상범위)</x:v>
      </x:c>
      <x:c r="W45" s="3" t="str">
        <x:f>IF(초입!AP45="","",초입!AP45)</x:f>
        <x:v/>
      </x:c>
      <x:c r="X45" s="3" t="str">
        <x:f>IF(초입!AD45="","",초입!AD45)</x:f>
        <x:v>010-7224-2726</x:v>
      </x:c>
      <x:c r="Y45" s="3" t="str">
        <x:f>IF(초입!AE45="","",초입!AE45)</x:f>
        <x:v/>
      </x:c>
      <x:c r="Z45" s="3" t="str">
        <x:f>IF(초입!M45="","",초입!M45)</x:f>
        <x:v>경기도 남양주시 순화궁로 18, 4107동 302호(신안인스빌)</x:v>
      </x:c>
      <x:c r="AA45" s="7"/>
      <x:c r="AB45" s="7"/>
      <x:c r="AC45" s="7"/>
    </x:row>
    <x:row r="46" spans="1:29" customFormat="1" ht="39.54999999999999715783">
      <x:c r="A46" s="3">
        <x:f>초입!A46</x:f>
        <x:v>43</x:v>
      </x:c>
      <x:c r="B46" s="3" t="s">
        <x:v>194</x:v>
      </x:c>
      <x:c r="C46" s="3" t="str">
        <x:f>IF(초입!H46&lt;&gt;"","O","")</x:f>
        <x:v>O</x:v>
      </x:c>
      <x:c r="D46" s="3" t="str">
        <x:f>IF(초입!I46&lt;&gt;"","O","")</x:f>
        <x:v/>
      </x:c>
      <x:c r="E46" s="3" t="str">
        <x:f>초입!B46</x:f>
        <x:v>구지초등학교병설유치원</x:v>
      </x:c>
      <x:c r="F46" s="3" t="str">
        <x:f>IF(초입!C46="","",초입!C46)</x:f>
        <x:v>특수학급</x:v>
      </x:c>
      <x:c r="G46" s="3">
        <x:f>IF(초입!D46="","",초입!D46)</x:f>
        <x:v>3</x:v>
      </x:c>
      <x:c r="H46" s="3" t="str">
        <x:f>IF(초입!E46="","",초입!E46)</x:f>
        <x:v>김시율</x:v>
      </x:c>
      <x:c r="I46" s="3" t="str">
        <x:f>IF(초입!F46="","",초입!F46)</x:f>
        <x:v>여</x:v>
      </x:c>
      <x:c r="J46" s="3" t="str">
        <x:f>IF(초입!G46="","",초입!G46)</x:f>
        <x:v>2020.08.12.</x:v>
      </x:c>
      <x:c r="K46" s="3" t="str">
        <x:f>IF(초입!J46="","",초입!J46)</x:f>
        <x:v>자폐성장애</x:v>
      </x:c>
      <x:c r="L46" s="3" t="str">
        <x:f>IF(초입!K46="","",초입!K46)</x:f>
        <x:v>자폐성장애</x:v>
      </x:c>
      <x:c r="M46" s="3" t="str">
        <x:f>IF(초입!L46="","",초입!L46)</x:f>
        <x:v>중증</x:v>
      </x:c>
      <x:c r="N46" s="3" t="str">
        <x:f>IF(초입!N46="","",초입!N46)</x:f>
        <x:v>구리초등학교</x:v>
      </x:c>
      <x:c r="O46" s="3" t="str">
        <x:f>IF(초입!O46="","",초입!O46)</x:f>
        <x:v>특수학급</x:v>
      </x:c>
      <x:c r="P46" s="3" t="str">
        <x:f>IF(초입!P46="","",초입!P46)</x:f>
        <x:v/>
      </x:c>
      <x:c r="Q46" s="3">
        <x:f>IF(초입!Q46="","",초입!Q46)</x:f>
        <x:v>0.14599999999999999</x:v>
      </x:c>
      <x:c r="R46" s="3" t="str">
        <x:f>IF(초입!R46="","","1. "&amp;초입!R46&amp;IF(초입!V46&lt;&gt;"",CHAR(10)&amp;"2. "&amp;초입!V46,"")&amp;IF(초입!Z46&lt;&gt;"",CHAR(10)&amp;"3. "&amp;초입!Z46,""))</x:f>
        <x:v>1. 구리초등학교
2. 구지초등학교
3. 동구초등학교</x:v>
      </x:c>
      <x:c r="S46" s="3" t="str">
        <x:f>IF(초입!S46="","",""&amp;초입!S46&amp;IF(초입!W46&lt;&gt;"",CHAR(10)&amp;""&amp;초입!W46,"")&amp;IF(초입!AA46&lt;&gt;"",CHAR(10)&amp;""&amp;초입!AA46,""))</x:f>
        <x:v>특수학급
특수학급
특수학급</x:v>
      </x:c>
      <x:c r="T46" s="3" t="str">
        <x:f>IF(초입!T46="","",""&amp;초입!T46&amp;IF(초입!X46&lt;&gt;"",CHAR(10)&amp;""&amp;초입!X46,"")&amp;IF(초입!AB46&lt;&gt;"",CHAR(10)&amp;""&amp;초입!AB46,""))</x:f>
        <x:v/>
      </x:c>
      <x:c r="U46" s="3" t="str">
        <x:f>IF(초입!U46="","",""&amp;초입!U46&amp;IF(초입!Y46&lt;&gt;"",CHAR(10)&amp;""&amp;초입!Y46,"")&amp;IF(초입!AC46&lt;&gt;"",CHAR(10)&amp;""&amp;초입!AC46,""))</x:f>
        <x:v>0.146
1.2
1.4</x:v>
      </x:c>
      <x:c r="V46" s="3" t="str">
        <x:f>IF(초입!AO46="","",초입!AO46)</x:f>
        <x:v>□ 복지카드: 자폐성장애 중증(~2031.12.30.)</x:v>
      </x:c>
      <x:c r="W46" s="3" t="str">
        <x:f>IF(초입!AP46="","",초입!AP46)</x:f>
        <x:v/>
      </x:c>
      <x:c r="X46" s="3" t="str">
        <x:f>IF(초입!AD46="","",초입!AD46)</x:f>
        <x:v>010-5116-2446</x:v>
      </x:c>
      <x:c r="Y46" s="3" t="str">
        <x:f>IF(초입!AE46="","",초입!AE46)</x:f>
        <x:v>한미선</x:v>
      </x:c>
      <x:c r="Z46" s="3" t="str">
        <x:f>IF(초입!M46="","",초입!M46)</x:f>
        <x:v>경기도 구리시 경춘로 276번길 21, 105동202호</x:v>
      </x:c>
      <x:c r="AA46" s="7"/>
      <x:c r="AB46" s="7"/>
      <x:c r="AC46" s="7"/>
    </x:row>
    <x:row r="47" spans="1:29" customFormat="1" ht="39.54999999999999715783">
      <x:c r="A47" s="3">
        <x:f>초입!A47</x:f>
        <x:v>44</x:v>
      </x:c>
      <x:c r="B47" s="3" t="s">
        <x:v>194</x:v>
      </x:c>
      <x:c r="C47" s="3" t="str">
        <x:f>IF(초입!H47&lt;&gt;"","O","")</x:f>
        <x:v>O</x:v>
      </x:c>
      <x:c r="D47" s="3" t="str">
        <x:f>IF(초입!I47&lt;&gt;"","O","")</x:f>
        <x:v/>
      </x:c>
      <x:c r="E47" s="3" t="str">
        <x:f>초입!B47</x:f>
        <x:v>구지초등학교병설유치원</x:v>
      </x:c>
      <x:c r="F47" s="3" t="str">
        <x:f>IF(초입!C47="","",초입!C47)</x:f>
        <x:v>특수학급</x:v>
      </x:c>
      <x:c r="G47" s="3">
        <x:f>IF(초입!D47="","",초입!D47)</x:f>
        <x:v>3</x:v>
      </x:c>
      <x:c r="H47" s="3" t="str">
        <x:f>IF(초입!E47="","",초입!E47)</x:f>
        <x:v>장바다</x:v>
      </x:c>
      <x:c r="I47" s="3" t="str">
        <x:f>IF(초입!F47="","",초입!F47)</x:f>
        <x:v>남</x:v>
      </x:c>
      <x:c r="J47" s="3" t="str">
        <x:f>IF(초입!G47="","",초입!G47)</x:f>
        <x:v>2020.09.04.</x:v>
      </x:c>
      <x:c r="K47" s="3" t="str">
        <x:f>IF(초입!J47="","",초입!J47)</x:f>
        <x:v>발달지체</x:v>
      </x:c>
      <x:c r="L47" s="3" t="str">
        <x:f>IF(초입!K47="","",초입!K47)</x:f>
        <x:v/>
      </x:c>
      <x:c r="M47" s="3" t="str">
        <x:f>IF(초입!L47="","",초입!L47)</x:f>
        <x:v/>
      </x:c>
      <x:c r="N47" s="3" t="str">
        <x:f>IF(초입!N47="","",초입!N47)</x:f>
        <x:v>동구초등학교</x:v>
      </x:c>
      <x:c r="O47" s="3" t="str">
        <x:f>IF(초입!O47="","",초입!O47)</x:f>
        <x:v>특수학급</x:v>
      </x:c>
      <x:c r="P47" s="3" t="str">
        <x:f>IF(초입!P47="","",초입!P47)</x:f>
        <x:v/>
      </x:c>
      <x:c r="Q47" s="3">
        <x:f>IF(초입!Q47="","",초입!Q47)</x:f>
        <x:v>0.22</x:v>
      </x:c>
      <x:c r="R47" s="3" t="str">
        <x:f>IF(초입!R47="","","1. "&amp;초입!R47&amp;IF(초입!V47&lt;&gt;"",CHAR(10)&amp;"2. "&amp;초입!V47,"")&amp;IF(초입!Z47&lt;&gt;"",CHAR(10)&amp;"3. "&amp;초입!Z47,""))</x:f>
        <x:v>1. 구지초등학교
2. 동구초등학교
3. 동인초등학교</x:v>
      </x:c>
      <x:c r="S47" s="3" t="str">
        <x:f>IF(초입!S47="","",""&amp;초입!S47&amp;IF(초입!W47&lt;&gt;"",CHAR(10)&amp;""&amp;초입!W47,"")&amp;IF(초입!AA47&lt;&gt;"",CHAR(10)&amp;""&amp;초입!AA47,""))</x:f>
        <x:v>특수학급
특수학급
특수학급</x:v>
      </x:c>
      <x:c r="T47" s="3" t="str">
        <x:f>IF(초입!T47="","",""&amp;초입!T47&amp;IF(초입!X47&lt;&gt;"",CHAR(10)&amp;""&amp;초입!X47,"")&amp;IF(초입!AB47&lt;&gt;"",CHAR(10)&amp;""&amp;초입!AB47,""))</x:f>
        <x:v/>
      </x:c>
      <x:c r="U47" s="3" t="str">
        <x:f>IF(초입!U47="","",""&amp;초입!U47&amp;IF(초입!Y47&lt;&gt;"",CHAR(10)&amp;""&amp;초입!Y47,"")&amp;IF(초입!AC47&lt;&gt;"",CHAR(10)&amp;""&amp;초입!AC47,""))</x:f>
        <x:v>0.428
0.22
1.4</x:v>
      </x:c>
      <x:c r="V47" s="3" t="str">
        <x:f>IF(초입!AO47="","",초입!AO47)</x:f>
        <x:v/>
      </x:c>
      <x:c r="W47" s="3" t="str">
        <x:f>IF(초입!AP47="","",초입!AP47)</x:f>
        <x:v>최근거리는 동구초지만, 현재 재원중인 구지초병유의 또래 관계 유지 및 원만한 학교 적응을 위해 구지초를 1희망으로 신청 / 1,2희망교는 도보</x:v>
      </x:c>
      <x:c r="X47" s="3" t="str">
        <x:f>IF(초입!AD47="","",초입!AD47)</x:f>
        <x:v>010-3009-4806</x:v>
      </x:c>
      <x:c r="Y47" s="3" t="str">
        <x:f>IF(초입!AE47="","",초입!AE47)</x:f>
        <x:v>한미선</x:v>
      </x:c>
      <x:c r="Z47" s="3" t="str">
        <x:f>IF(초입!M47="","",초입!M47)</x:f>
        <x:v>경기도 구리시 건원대로 92, 104동 1603호</x:v>
      </x:c>
      <x:c r="AA47" s="7"/>
      <x:c r="AB47" s="7"/>
      <x:c r="AC47" s="7"/>
    </x:row>
    <x:row r="48" spans="1:29" customFormat="1" ht="79.04999999999999715783">
      <x:c r="A48" s="3">
        <x:f>초입!A48</x:f>
        <x:v>45</x:v>
      </x:c>
      <x:c r="B48" s="3" t="s">
        <x:v>194</x:v>
      </x:c>
      <x:c r="C48" s="3" t="str">
        <x:f>IF(초입!H48&lt;&gt;"","O","")</x:f>
        <x:v>O</x:v>
      </x:c>
      <x:c r="D48" s="3" t="str">
        <x:f>IF(초입!I48&lt;&gt;"","O","")</x:f>
        <x:v/>
      </x:c>
      <x:c r="E48" s="3" t="str">
        <x:f>초입!B48</x:f>
        <x:v>남양주별빛유치원</x:v>
      </x:c>
      <x:c r="F48" s="3" t="str">
        <x:f>IF(초입!C48="","",초입!C48)</x:f>
        <x:v>특수학급</x:v>
      </x:c>
      <x:c r="G48" s="3">
        <x:f>IF(초입!D48="","",초입!D48)</x:f>
        <x:v>3</x:v>
      </x:c>
      <x:c r="H48" s="3" t="str">
        <x:f>IF(초입!E48="","",초입!E48)</x:f>
        <x:v>민서연</x:v>
      </x:c>
      <x:c r="I48" s="3" t="str">
        <x:f>IF(초입!F48="","",초입!F48)</x:f>
        <x:v>여</x:v>
      </x:c>
      <x:c r="J48" s="3" t="str">
        <x:f>IF(초입!G48="","",초입!G48)</x:f>
        <x:v>2020.06.08.</x:v>
      </x:c>
      <x:c r="K48" s="3" t="str">
        <x:f>IF(초입!J48="","",초입!J48)</x:f>
        <x:v>자폐성장애
(현 발달지체)</x:v>
      </x:c>
      <x:c r="L48" s="3" t="str">
        <x:f>IF(초입!K48="","",초입!K48)</x:f>
        <x:v/>
      </x:c>
      <x:c r="M48" s="3" t="str">
        <x:f>IF(초입!L48="","",초입!L48)</x:f>
        <x:v/>
      </x:c>
      <x:c r="N48" s="3" t="str">
        <x:f>IF(초입!N48="","",초입!N48)</x:f>
        <x:v>화접초등학교</x:v>
      </x:c>
      <x:c r="O48" s="3" t="str">
        <x:f>IF(초입!O48="","",초입!O48)</x:f>
        <x:v>특수학급</x:v>
      </x:c>
      <x:c r="P48" s="3" t="str">
        <x:f>IF(초입!P48="","",초입!P48)</x:f>
        <x:v/>
      </x:c>
      <x:c r="Q48" s="3">
        <x:f>IF(초입!Q48="","",초입!Q48)</x:f>
        <x:v>1.6000000000000001</x:v>
      </x:c>
      <x:c r="R48" s="3" t="str">
        <x:f>IF(초입!R48="","","1. "&amp;초입!R48&amp;IF(초입!V48&lt;&gt;"",CHAR(10)&amp;"2. "&amp;초입!V48,"")&amp;IF(초입!Z48&lt;&gt;"",CHAR(10)&amp;"3. "&amp;초입!Z48,""))</x:f>
        <x:v>1. 별가람초등학교
2. 화접초등학교
3. 샛별초등학교</x:v>
      </x:c>
      <x:c r="S48" s="3" t="str">
        <x:f>IF(초입!S48="","",""&amp;초입!S48&amp;IF(초입!W48&lt;&gt;"",CHAR(10)&amp;""&amp;초입!W48,"")&amp;IF(초입!AA48&lt;&gt;"",CHAR(10)&amp;""&amp;초입!AA48,""))</x:f>
        <x:v>특수학급
특수학급
특수학급</x:v>
      </x:c>
      <x:c r="T48" s="3" t="str">
        <x:f>IF(초입!T48="","",""&amp;초입!T48&amp;IF(초입!X48&lt;&gt;"",CHAR(10)&amp;""&amp;초입!X48,"")&amp;IF(초입!AB48&lt;&gt;"",CHAR(10)&amp;""&amp;초입!AB48,""))</x:f>
        <x:v/>
      </x:c>
      <x:c r="U48" s="3" t="str">
        <x:f>IF(초입!U48="","",""&amp;초입!U48&amp;IF(초입!Y48&lt;&gt;"",CHAR(10)&amp;""&amp;초입!Y48,"")&amp;IF(초입!AC48&lt;&gt;"",CHAR(10)&amp;""&amp;초입!AC48,""))</x:f>
        <x:v>2.3
1.6
1.9</x:v>
      </x:c>
      <x:c r="V48" s="3" t="str">
        <x:f>IF(초입!AO48="","",초입!AO48)</x:f>
        <x:v>※심리평가보고서(2026.06.08.)
□ K-WPPSI-Ⅳ: 전체IQ 51(언어이해 45, 시공간 76, 유동추론 45, 작업기억 45, 처리속도 73/매우 낮음)
□사회성숙도: SA 4세 3개월, SQ 72.6(경계선)
□K-CARS 2: 총점 29점(증상이 없거나 최소한의 자폐 관련 행동)</x:v>
      </x:c>
      <x:c r="W48" s="3" t="str">
        <x:f>IF(초입!AP48="","",초입!AP48)</x:f>
        <x:v>자폐로 유형변경, 서식1 서식2 수정해서 공문 추가 받음
*보호자는 자폐 기각되면 발달지체 유지 희망
*최근거리교 미희망 의견서 첨부</x:v>
      </x:c>
      <x:c r="X48" s="3" t="str">
        <x:f>IF(초입!AD48="","",초입!AD48)</x:f>
        <x:v>010-8324-3699</x:v>
      </x:c>
      <x:c r="Y48" s="3" t="str">
        <x:f>IF(초입!AE48="","",초입!AE48)</x:f>
        <x:v>황민지</x:v>
      </x:c>
      <x:c r="Z48" s="3" t="str">
        <x:f>IF(초입!M48="","",초입!M48)</x:f>
        <x:v>경기도 남양주시 식송2로 6-14, 202호</x:v>
      </x:c>
      <x:c r="AA48" s="7"/>
      <x:c r="AB48" s="7"/>
      <x:c r="AC48" s="7"/>
    </x:row>
    <x:row r="49" spans="1:29" customFormat="1" ht="52.70000000000000284217">
      <x:c r="A49" s="3">
        <x:f>초입!A49</x:f>
        <x:v>46</x:v>
      </x:c>
      <x:c r="B49" s="3" t="s">
        <x:v>194</x:v>
      </x:c>
      <x:c r="C49" s="3" t="str">
        <x:f>IF(초입!H49&lt;&gt;"","O","")</x:f>
        <x:v/>
      </x:c>
      <x:c r="D49" s="3" t="str">
        <x:f>IF(초입!I49&lt;&gt;"","O","")</x:f>
        <x:v>O</x:v>
      </x:c>
      <x:c r="E49" s="3" t="str">
        <x:f>초입!B49</x:f>
        <x:v>시립와부어린이집</x:v>
      </x:c>
      <x:c r="F49" s="3" t="str">
        <x:f>IF(초입!C49="","",초입!C49)</x:f>
        <x:v/>
      </x:c>
      <x:c r="G49" s="3">
        <x:f>IF(초입!D49="","",초입!D49)</x:f>
        <x:v>3</x:v>
      </x:c>
      <x:c r="H49" s="3" t="str">
        <x:f>IF(초입!E49="","",초입!E49)</x:f>
        <x:v>이유나</x:v>
      </x:c>
      <x:c r="I49" s="3" t="str">
        <x:f>IF(초입!F49="","",초입!F49)</x:f>
        <x:v>여</x:v>
      </x:c>
      <x:c r="J49" s="3" t="str">
        <x:f>IF(초입!G49="","",초입!G49)</x:f>
        <x:v>2020.08.27.</x:v>
      </x:c>
      <x:c r="K49" s="3" t="str">
        <x:f>IF(초입!J49="","",초입!J49)</x:f>
        <x:v>지적장애</x:v>
      </x:c>
      <x:c r="L49" s="3" t="str">
        <x:f>IF(초입!K49="","",초입!K49)</x:f>
        <x:v>뇌병변장애</x:v>
      </x:c>
      <x:c r="M49" s="3" t="str">
        <x:f>IF(초입!L49="","",초입!L49)</x:f>
        <x:v>중증</x:v>
      </x:c>
      <x:c r="N49" s="3" t="str">
        <x:f>IF(초입!N49="","",초입!N49)</x:f>
        <x:v>덕소초등학교</x:v>
      </x:c>
      <x:c r="O49" s="3" t="str">
        <x:f>IF(초입!O49="","",초입!O49)</x:f>
        <x:v>특수학급</x:v>
      </x:c>
      <x:c r="P49" s="3" t="str">
        <x:f>IF(초입!P49="","",초입!P49)</x:f>
        <x:v/>
      </x:c>
      <x:c r="Q49" s="3">
        <x:f>IF(초입!Q49="","",초입!Q49)</x:f>
        <x:v>0.53000000000000003</x:v>
      </x:c>
      <x:c r="R49" s="3" t="str">
        <x:f>IF(초입!R49="","","1. "&amp;초입!R49&amp;IF(초입!V49&lt;&gt;"",CHAR(10)&amp;"2. "&amp;초입!V49,"")&amp;IF(초입!Z49&lt;&gt;"",CHAR(10)&amp;"3. "&amp;초입!Z49,""))</x:f>
        <x:v>1. 덕소초등학교
2. 남양주도곡초등학교
3. 예봉초등학교</x:v>
      </x:c>
      <x:c r="S49" s="3" t="str">
        <x:f>IF(초입!S49="","",""&amp;초입!S49&amp;IF(초입!W49&lt;&gt;"",CHAR(10)&amp;""&amp;초입!W49,"")&amp;IF(초입!AA49&lt;&gt;"",CHAR(10)&amp;""&amp;초입!AA49,""))</x:f>
        <x:v>특수학급
특수학급
특수학급</x:v>
      </x:c>
      <x:c r="T49" s="3" t="str">
        <x:f>IF(초입!T49="","",""&amp;초입!T49&amp;IF(초입!X49&lt;&gt;"",CHAR(10)&amp;""&amp;초입!X49,"")&amp;IF(초입!AB49&lt;&gt;"",CHAR(10)&amp;""&amp;초입!AB49,""))</x:f>
        <x:v/>
      </x:c>
      <x:c r="U49" s="3" t="str">
        <x:f>IF(초입!U49="","",""&amp;초입!U49&amp;IF(초입!Y49&lt;&gt;"",CHAR(10)&amp;""&amp;초입!Y49,"")&amp;IF(초입!AC49&lt;&gt;"",CHAR(10)&amp;""&amp;초입!AC49,""))</x:f>
        <x:v>0.53
1.3
1.3</x:v>
      </x:c>
      <x:c r="V49" s="3" t="str">
        <x:f>IF(초입!AO49="","",초입!AO49)</x:f>
        <x:v>□ 복지카드: 뇌병변장애 중증(~2026.12.01.)</x:v>
      </x:c>
      <x:c r="W49" s="3" t="str">
        <x:f>IF(초입!AP49="","",초입!AP49)</x:f>
        <x:v>올해 7월 중 지적장애 복지카드 발급 위한 절차 시작예정, 10월까지 검사결과는 나올 것이라고는 하셨지만, 센터에서 검사를 받는 것도 번거롭진 않다고 하셔서 논의가 필요함.</x:v>
      </x:c>
      <x:c r="X49" s="3" t="str">
        <x:f>IF(초입!AD49="","",초입!AD49)</x:f>
        <x:v>010-8864-1920</x:v>
      </x:c>
      <x:c r="Y49" s="3" t="str">
        <x:f>IF(초입!AE49="","",초입!AE49)</x:f>
        <x:v/>
      </x:c>
      <x:c r="Z49" s="3" t="str">
        <x:f>IF(초입!M49="","",초입!M49)</x:f>
        <x:v>경기도 남양주시 와부읍 덕소로 72, 101동 2402호</x:v>
      </x:c>
      <x:c r="AA49" s="7"/>
      <x:c r="AB49" s="7"/>
      <x:c r="AC49" s="7"/>
    </x:row>
    <x:row r="50" spans="1:29" customFormat="1" ht="39.54999999999999715783">
      <x:c r="A50" s="3">
        <x:f>초입!A50</x:f>
        <x:v>47</x:v>
      </x:c>
      <x:c r="B50" s="3" t="s">
        <x:v>194</x:v>
      </x:c>
      <x:c r="C50" s="3" t="str">
        <x:f>IF(초입!H50&lt;&gt;"","O","")</x:f>
        <x:v>O</x:v>
      </x:c>
      <x:c r="D50" s="3" t="str">
        <x:f>IF(초입!I50&lt;&gt;"","O","")</x:f>
        <x:v/>
      </x:c>
      <x:c r="E50" s="3" t="str">
        <x:f>초입!B50</x:f>
        <x:v>경은학교</x:v>
      </x:c>
      <x:c r="F50" s="3" t="str">
        <x:f>IF(초입!C50="","",초입!C50)</x:f>
        <x:v>특수학교</x:v>
      </x:c>
      <x:c r="G50" s="3">
        <x:f>IF(초입!D50="","",초입!D50)</x:f>
        <x:v>3</x:v>
      </x:c>
      <x:c r="H50" s="3" t="str">
        <x:f>IF(초입!E50="","",초입!E50)</x:f>
        <x:v>김하람</x:v>
      </x:c>
      <x:c r="I50" s="3" t="str">
        <x:f>IF(초입!F50="","",초입!F50)</x:f>
        <x:v>남</x:v>
      </x:c>
      <x:c r="J50" s="3" t="str">
        <x:f>IF(초입!G50="","",초입!G50)</x:f>
        <x:v>2020.03.15.</x:v>
      </x:c>
      <x:c r="K50" s="3" t="str">
        <x:f>IF(초입!J50="","",초입!J50)</x:f>
        <x:v>자폐성장애
(현 발달지체)</x:v>
      </x:c>
      <x:c r="L50" s="3" t="str">
        <x:f>IF(초입!K50="","",초입!K50)</x:f>
        <x:v>자폐성장애</x:v>
      </x:c>
      <x:c r="M50" s="3" t="str">
        <x:f>IF(초입!L50="","",초입!L50)</x:f>
        <x:v>중증</x:v>
      </x:c>
      <x:c r="N50" s="3" t="str">
        <x:f>IF(초입!N50="","",초입!N50)</x:f>
        <x:v>별내초등학교</x:v>
      </x:c>
      <x:c r="O50" s="3" t="str">
        <x:f>IF(초입!O50="","",초입!O50)</x:f>
        <x:v>특수학급</x:v>
      </x:c>
      <x:c r="P50" s="3" t="str">
        <x:f>IF(초입!P50="","",초입!P50)</x:f>
        <x:v/>
      </x:c>
      <x:c r="Q50" s="3">
        <x:f>IF(초입!Q50="","",초입!Q50)</x:f>
        <x:v>0.71099999999999997</x:v>
      </x:c>
      <x:c r="R50" s="3" t="str">
        <x:f>IF(초입!R50="","","1. "&amp;초입!R50&amp;IF(초입!V50&lt;&gt;"",CHAR(10)&amp;"2. "&amp;초입!V50,"")&amp;IF(초입!Z50&lt;&gt;"",CHAR(10)&amp;"3. "&amp;초입!Z50,""))</x:f>
        <x:v>1. 별내초등학교
2. 샛별초등학교
3. 남양주덕송초등학교</x:v>
      </x:c>
      <x:c r="S50" s="3" t="str">
        <x:f>IF(초입!S50="","",""&amp;초입!S50&amp;IF(초입!W50&lt;&gt;"",CHAR(10)&amp;""&amp;초입!W50,"")&amp;IF(초입!AA50&lt;&gt;"",CHAR(10)&amp;""&amp;초입!AA50,""))</x:f>
        <x:v>특수학급
특수학급
특수학급</x:v>
      </x:c>
      <x:c r="T50" s="3" t="str">
        <x:f>IF(초입!T50="","",""&amp;초입!T50&amp;IF(초입!X50&lt;&gt;"",CHAR(10)&amp;""&amp;초입!X50,"")&amp;IF(초입!AB50&lt;&gt;"",CHAR(10)&amp;""&amp;초입!AB50,""))</x:f>
        <x:v/>
      </x:c>
      <x:c r="U50" s="3" t="str">
        <x:f>IF(초입!U50="","",""&amp;초입!U50&amp;IF(초입!Y50&lt;&gt;"",CHAR(10)&amp;""&amp;초입!Y50,"")&amp;IF(초입!AC50&lt;&gt;"",CHAR(10)&amp;""&amp;초입!AC50,""))</x:f>
        <x:v>0.711
5.5
6.2</x:v>
      </x:c>
      <x:c r="V50" s="3" t="str">
        <x:f>IF(초입!AO50="","",초입!AO50)</x:f>
        <x:v>□ 복지카드: 자폐성장애 중증(~2031.10.03.)</x:v>
      </x:c>
      <x:c r="W50" s="3" t="str">
        <x:f>IF(초입!AP50="","",초입!AP50)</x:f>
        <x:v>자폐로 장애유형 변경 요청 / 배치희망교 2,3순위 고산에서 샛별, 덕송으로 변경 요청 / 수정공문 완료</x:v>
      </x:c>
      <x:c r="X50" s="3" t="str">
        <x:f>IF(초입!AD50="","",초입!AD50)</x:f>
        <x:v>010-4860-5847</x:v>
      </x:c>
      <x:c r="Y50" s="3" t="str">
        <x:f>IF(초입!AE50="","",초입!AE50)</x:f>
        <x:v>손신애</x:v>
      </x:c>
      <x:c r="Z50" s="3" t="str">
        <x:f>IF(초입!M50="","",초입!M50)</x:f>
        <x:v>경기도 남양주시 별내면 68번길 24, 402동 2001호</x:v>
      </x:c>
      <x:c r="AA50" s="7"/>
      <x:c r="AB50" s="7"/>
      <x:c r="AC50" s="7"/>
    </x:row>
    <x:row r="51" spans="1:29" customFormat="1" ht="39.54999999999999715783">
      <x:c r="A51" s="3">
        <x:f>초입!A51</x:f>
        <x:v>48</x:v>
      </x:c>
      <x:c r="B51" s="3" t="s">
        <x:v>194</x:v>
      </x:c>
      <x:c r="C51" s="3" t="str">
        <x:f>IF(초입!H51&lt;&gt;"","O","")</x:f>
        <x:v>O</x:v>
      </x:c>
      <x:c r="D51" s="3" t="str">
        <x:f>IF(초입!I51&lt;&gt;"","O","")</x:f>
        <x:v/>
      </x:c>
      <x:c r="E51" s="3" t="str">
        <x:f>초입!B51</x:f>
        <x:v>다산하늘초등학교병설유치원</x:v>
      </x:c>
      <x:c r="F51" s="3" t="str">
        <x:f>IF(초입!C51="","",초입!C51)</x:f>
        <x:v>특수학급</x:v>
      </x:c>
      <x:c r="G51" s="3">
        <x:f>IF(초입!D51="","",초입!D51)</x:f>
        <x:v>3</x:v>
      </x:c>
      <x:c r="H51" s="3" t="str">
        <x:f>IF(초입!E51="","",초입!E51)</x:f>
        <x:v>배건률</x:v>
      </x:c>
      <x:c r="I51" s="3" t="str">
        <x:f>IF(초입!F51="","",초입!F51)</x:f>
        <x:v>남</x:v>
      </x:c>
      <x:c r="J51" s="3" t="str">
        <x:f>IF(초입!G51="","",초입!G51)</x:f>
        <x:v>2020.09.19.</x:v>
      </x:c>
      <x:c r="K51" s="3" t="str">
        <x:f>IF(초입!J51="","",초입!J51)</x:f>
        <x:v>발달지체</x:v>
      </x:c>
      <x:c r="L51" s="3" t="str">
        <x:f>IF(초입!K51="","",초입!K51)</x:f>
        <x:v/>
      </x:c>
      <x:c r="M51" s="3" t="str">
        <x:f>IF(초입!L51="","",초입!L51)</x:f>
        <x:v/>
      </x:c>
      <x:c r="N51" s="3" t="str">
        <x:f>IF(초입!N51="","",초입!N51)</x:f>
        <x:v>다산가람초등학교</x:v>
      </x:c>
      <x:c r="O51" s="3" t="str">
        <x:f>IF(초입!O51="","",초입!O51)</x:f>
        <x:v>특수학급</x:v>
      </x:c>
      <x:c r="P51" s="3" t="str">
        <x:f>IF(초입!P51="","",초입!P51)</x:f>
        <x:v/>
      </x:c>
      <x:c r="Q51" s="3">
        <x:f>IF(초입!Q51="","",초입!Q51)</x:f>
        <x:v>0.40000000000000002</x:v>
      </x:c>
      <x:c r="R51" s="3" t="str">
        <x:f>IF(초입!R51="","","1. "&amp;초입!R51&amp;IF(초입!V51&lt;&gt;"",CHAR(10)&amp;"2. "&amp;초입!V51,"")&amp;IF(초입!Z51&lt;&gt;"",CHAR(10)&amp;"3. "&amp;초입!Z51,""))</x:f>
        <x:v>1. 다산하늘초등학교
2. 다산가람초등학교
3. 다산새봄초등학교</x:v>
      </x:c>
      <x:c r="S51" s="3" t="str">
        <x:f>IF(초입!S51="","",""&amp;초입!S51&amp;IF(초입!W51&lt;&gt;"",CHAR(10)&amp;""&amp;초입!W51,"")&amp;IF(초입!AA51&lt;&gt;"",CHAR(10)&amp;""&amp;초입!AA51,""))</x:f>
        <x:v>특수학급
특수학급
특수학급</x:v>
      </x:c>
      <x:c r="T51" s="3" t="str">
        <x:f>IF(초입!T51="","",""&amp;초입!T51&amp;IF(초입!X51&lt;&gt;"",CHAR(10)&amp;""&amp;초입!X51,"")&amp;IF(초입!AB51&lt;&gt;"",CHAR(10)&amp;""&amp;초입!AB51,""))</x:f>
        <x:v/>
      </x:c>
      <x:c r="U51" s="3" t="str">
        <x:f>IF(초입!U51="","",""&amp;초입!U51&amp;IF(초입!Y51&lt;&gt;"",CHAR(10)&amp;""&amp;초입!Y51,"")&amp;IF(초입!AC51&lt;&gt;"",CHAR(10)&amp;""&amp;초입!AC51,""))</x:f>
        <x:v>0.911
0.4
0.92</x:v>
      </x:c>
      <x:c r="V51" s="3" t="str">
        <x:f>IF(초입!AO51="","",초입!AO51)</x:f>
        <x:v/>
      </x:c>
      <x:c r="W51" s="3" t="str">
        <x:f>IF(초입!AP51="","",초입!AP51)</x:f>
        <x:v>최근거리교 병설유치원과의 다툼도 있었고, 현재 다니고 있는 병설유치원의 학교가 익숙해서 적응에 이점 / 객관적 증빙서류는 없음</x:v>
      </x:c>
      <x:c r="X51" s="3" t="str">
        <x:f>IF(초입!AD51="","",초입!AD51)</x:f>
        <x:v>010-7256-7277</x:v>
      </x:c>
      <x:c r="Y51" s="3" t="str">
        <x:f>IF(초입!AE51="","",초입!AE51)</x:f>
        <x:v>정동희</x:v>
      </x:c>
      <x:c r="Z51" s="3" t="str">
        <x:f>IF(초입!M51="","",초입!M51)</x:f>
        <x:v>경기도 남양주시 다산중앙로 123번길 29, 3403동 604호(다산역 자연앤푸르지오)</x:v>
      </x:c>
      <x:c r="AA51" s="7"/>
      <x:c r="AB51" s="7"/>
      <x:c r="AC51" s="7"/>
    </x:row>
    <x:row r="52" spans="1:29" customFormat="1" ht="79.04999999999999715783">
      <x:c r="A52" s="3">
        <x:f>초입!A52</x:f>
        <x:v>49</x:v>
      </x:c>
      <x:c r="B52" s="3" t="s">
        <x:v>194</x:v>
      </x:c>
      <x:c r="C52" s="3" t="str">
        <x:f>IF(초입!H52&lt;&gt;"","O","")</x:f>
        <x:v/>
      </x:c>
      <x:c r="D52" s="3" t="str">
        <x:f>IF(초입!I52&lt;&gt;"","O","")</x:f>
        <x:v>O</x:v>
      </x:c>
      <x:c r="E52" s="3" t="str">
        <x:f>초입!B52</x:f>
        <x:v>시립토평마을어린이집</x:v>
      </x:c>
      <x:c r="F52" s="3" t="str">
        <x:f>IF(초입!C52="","",초입!C52)</x:f>
        <x:v/>
      </x:c>
      <x:c r="G52" s="3">
        <x:f>IF(초입!D52="","",초입!D52)</x:f>
        <x:v>3</x:v>
      </x:c>
      <x:c r="H52" s="3" t="str">
        <x:f>IF(초입!E52="","",초입!E52)</x:f>
        <x:v>강규리</x:v>
      </x:c>
      <x:c r="I52" s="3" t="str">
        <x:f>IF(초입!F52="","",초입!F52)</x:f>
        <x:v>여</x:v>
      </x:c>
      <x:c r="J52" s="3" t="str">
        <x:f>IF(초입!G52="","",초입!G52)</x:f>
        <x:v>2020.06.22.</x:v>
      </x:c>
      <x:c r="K52" s="3" t="str">
        <x:f>IF(초입!J52="","",초입!J52)</x:f>
        <x:v>자폐성장애
(발달지체??)</x:v>
      </x:c>
      <x:c r="L52" s="3" t="str">
        <x:f>IF(초입!K52="","",초입!K52)</x:f>
        <x:v/>
      </x:c>
      <x:c r="M52" s="3" t="str">
        <x:f>IF(초입!L52="","",초입!L52)</x:f>
        <x:v/>
      </x:c>
      <x:c r="N52" s="3" t="str">
        <x:f>IF(초입!N52="","",초입!N52)</x:f>
        <x:v>인창초등학교</x:v>
      </x:c>
      <x:c r="O52" s="3" t="str">
        <x:f>IF(초입!O52="","",초입!O52)</x:f>
        <x:v>일반학교</x:v>
      </x:c>
      <x:c r="P52" s="3" t="str">
        <x:f>IF(초입!P52="","",초입!P52)</x:f>
        <x:v/>
      </x:c>
      <x:c r="Q52" s="3">
        <x:f>IF(초입!Q52="","",초입!Q52)</x:f>
        <x:v>0.63400000000000001</x:v>
      </x:c>
      <x:c r="R52" s="3" t="str">
        <x:f>IF(초입!R52="","","1. "&amp;초입!R52&amp;IF(초입!V52&lt;&gt;"",CHAR(10)&amp;"2. "&amp;초입!V52,"")&amp;IF(초입!Z52&lt;&gt;"",CHAR(10)&amp;"3. "&amp;초입!Z52,""))</x:f>
        <x:v>1. 인창초등학교</x:v>
      </x:c>
      <x:c r="S52" s="3" t="str">
        <x:f>IF(초입!S52="","",""&amp;초입!S52&amp;IF(초입!W52&lt;&gt;"",CHAR(10)&amp;""&amp;초입!W52,"")&amp;IF(초입!AA52&lt;&gt;"",CHAR(10)&amp;""&amp;초입!AA52,""))</x:f>
        <x:v>일반학급</x:v>
      </x:c>
      <x:c r="T52" s="3" t="str">
        <x:f>IF(초입!T52="","",""&amp;초입!T52&amp;IF(초입!X52&lt;&gt;"",CHAR(10)&amp;""&amp;초입!X52,"")&amp;IF(초입!AB52&lt;&gt;"",CHAR(10)&amp;""&amp;초입!AB52,""))</x:f>
        <x:v/>
      </x:c>
      <x:c r="U52" s="3" t="str">
        <x:f>IF(초입!U52="","",""&amp;초입!U52&amp;IF(초입!Y52&lt;&gt;"",CHAR(10)&amp;""&amp;초입!Y52,"")&amp;IF(초입!AC52&lt;&gt;"",CHAR(10)&amp;""&amp;초입!AC52,""))</x:f>
        <x:v>0.634</x:v>
      </x:c>
      <x:c r="V52" s="3" t="str">
        <x:f>IF(초입!AO52="","",초입!AO52)</x:f>
        <x:v>※2026년 6월 16일 검사 실시
□ K-WPPSI-Ⅳ: 전체IQ 84(언어이해 103, 시공간 93, 유동추론 72, 작업기억 58, 처리속도 84/평균 하)
□ 사회성숙도: SA 5세2개월, SQ 87.8()
□CARS(HF): 총점 33.5점(경도에서 중등도 수준의 자폐 관련 행동)</x:v>
      </x:c>
      <x:c r="W52" s="3" t="str">
        <x:f>IF(초입!AP52="","",초입!AP52)</x:f>
        <x:v>풀배터리 7.3.에 검사결과 나오고 바로 제출 예정 / 완료</x:v>
      </x:c>
      <x:c r="X52" s="3" t="str">
        <x:f>IF(초입!AD52="","",초입!AD52)</x:f>
        <x:v>010-9990-0433</x:v>
      </x:c>
      <x:c r="Y52" s="3" t="str">
        <x:f>IF(초입!AE52="","",초입!AE52)</x:f>
        <x:v/>
      </x:c>
      <x:c r="Z52" s="3" t="str">
        <x:f>IF(초입!M52="","",초입!M52)</x:f>
        <x:v>경기도 구리시 경춘로 207 롯데캐슬시그니처 106-1201</x:v>
      </x:c>
      <x:c r="AA52" s="7"/>
      <x:c r="AB52" s="7"/>
      <x:c r="AC52" s="7"/>
    </x:row>
    <x:row r="53" spans="1:29" customFormat="1" ht="39.54999999999999715783">
      <x:c r="A53" s="3">
        <x:f>초입!A53</x:f>
        <x:v>50</x:v>
      </x:c>
      <x:c r="B53" s="3" t="s">
        <x:v>194</x:v>
      </x:c>
      <x:c r="C53" s="3" t="str">
        <x:f>IF(초입!H53&lt;&gt;"","O","")</x:f>
        <x:v/>
      </x:c>
      <x:c r="D53" s="3" t="str">
        <x:f>IF(초입!I53&lt;&gt;"","O","")</x:f>
        <x:v>O</x:v>
      </x:c>
      <x:c r="E53" s="3" t="str">
        <x:f>초입!B53</x:f>
        <x:v>시립미사어린이집</x:v>
      </x:c>
      <x:c r="F53" s="3" t="str">
        <x:f>IF(초입!C53="","",초입!C53)</x:f>
        <x:v/>
      </x:c>
      <x:c r="G53" s="3">
        <x:f>IF(초입!D53="","",초입!D53)</x:f>
        <x:v>3</x:v>
      </x:c>
      <x:c r="H53" s="3" t="str">
        <x:f>IF(초입!E53="","",초입!E53)</x:f>
        <x:v>박교빈</x:v>
      </x:c>
      <x:c r="I53" s="3" t="str">
        <x:f>IF(초입!F53="","",초입!F53)</x:f>
        <x:v>남</x:v>
      </x:c>
      <x:c r="J53" s="3" t="str">
        <x:f>IF(초입!G53="","",초입!G53)</x:f>
        <x:v>2020.10.19.</x:v>
      </x:c>
      <x:c r="K53" s="3" t="str">
        <x:f>IF(초입!J53="","",초입!J53)</x:f>
        <x:v>지적장애</x:v>
      </x:c>
      <x:c r="L53" s="3" t="str">
        <x:f>IF(초입!K53="","",초입!K53)</x:f>
        <x:v>지적·뇌병변장애</x:v>
      </x:c>
      <x:c r="M53" s="3" t="str">
        <x:f>IF(초입!L53="","",초입!L53)</x:f>
        <x:v>심한</x:v>
      </x:c>
      <x:c r="N53" s="3" t="str">
        <x:f>IF(초입!N53="","",초입!N53)</x:f>
        <x:v>백문초등학교</x:v>
      </x:c>
      <x:c r="O53" s="3" t="str">
        <x:f>IF(초입!O53="","",초입!O53)</x:f>
        <x:v>특수학급</x:v>
      </x:c>
      <x:c r="P53" s="3" t="str">
        <x:f>IF(초입!P53="","",초입!P53)</x:f>
        <x:v/>
      </x:c>
      <x:c r="Q53" s="3">
        <x:f>IF(초입!Q53="","",초입!Q53)</x:f>
        <x:v>0.81000000000000005</x:v>
      </x:c>
      <x:c r="R53" s="3" t="str">
        <x:f>IF(초입!R53="","","1. "&amp;초입!R53&amp;IF(초입!V53&lt;&gt;"",CHAR(10)&amp;"2. "&amp;초입!V53,"")&amp;IF(초입!Z53&lt;&gt;"",CHAR(10)&amp;"3. "&amp;초입!Z53,""))</x:f>
        <x:v>1. 백문초등학교
2. 도림초등학교
3. 교문초등학교</x:v>
      </x:c>
      <x:c r="S53" s="3" t="str">
        <x:f>IF(초입!S53="","",""&amp;초입!S53&amp;IF(초입!W53&lt;&gt;"",CHAR(10)&amp;""&amp;초입!W53,"")&amp;IF(초입!AA53&lt;&gt;"",CHAR(10)&amp;""&amp;초입!AA53,""))</x:f>
        <x:v>특수학급
특수학급
특수학급</x:v>
      </x:c>
      <x:c r="T53" s="3" t="str">
        <x:f>IF(초입!T53="","",""&amp;초입!T53&amp;IF(초입!X53&lt;&gt;"",CHAR(10)&amp;""&amp;초입!X53,"")&amp;IF(초입!AB53&lt;&gt;"",CHAR(10)&amp;""&amp;초입!AB53,""))</x:f>
        <x:v/>
      </x:c>
      <x:c r="U53" s="3" t="str">
        <x:f>IF(초입!U53="","",""&amp;초입!U53&amp;IF(초입!Y53&lt;&gt;"",CHAR(10)&amp;""&amp;초입!Y53,"")&amp;IF(초입!AC53&lt;&gt;"",CHAR(10)&amp;""&amp;초입!AC53,""))</x:f>
        <x:v>0.81
0.88
1.1</x:v>
      </x:c>
      <x:c r="V53" s="3" t="str">
        <x:f>IF(초입!AO53="","",초입!AO53)</x:f>
        <x:v>□ 장애인증명서: 지적장애 심한·뇌병변장애 심하지 않은 
(취득일: 2024.01.05.)</x:v>
      </x:c>
      <x:c r="W53" s="3" t="str">
        <x:f>IF(초입!AP53="","",초입!AP53)</x:f>
        <x:v>복지카드 유효기한은 2027년 2월이나 장애인증명서 제출</x:v>
      </x:c>
      <x:c r="X53" s="3" t="str">
        <x:f>IF(초입!AD53="","",초입!AD53)</x:f>
        <x:v>010-7640-7460</x:v>
      </x:c>
      <x:c r="Y53" s="3" t="str">
        <x:f>IF(초입!AE53="","",초입!AE53)</x:f>
        <x:v/>
      </x:c>
      <x:c r="Z53" s="3" t="str">
        <x:f>IF(초입!M53="","",초입!M53)</x:f>
        <x:v>경기도 구리시 장자대로37번길 55, 106동 1101호</x:v>
      </x:c>
      <x:c r="AA53" s="7"/>
      <x:c r="AB53" s="7"/>
      <x:c r="AC53" s="7"/>
    </x:row>
    <x:row r="54" spans="1:29" customFormat="1" ht="39.54999999999999715783">
      <x:c r="A54" s="3">
        <x:f>초입!A54</x:f>
        <x:v>51</x:v>
      </x:c>
      <x:c r="B54" s="3" t="s">
        <x:v>194</x:v>
      </x:c>
      <x:c r="C54" s="3" t="str">
        <x:f>IF(초입!H54&lt;&gt;"","O","")</x:f>
        <x:v/>
      </x:c>
      <x:c r="D54" s="3" t="str">
        <x:f>IF(초입!I54&lt;&gt;"","O","")</x:f>
        <x:v>O</x:v>
      </x:c>
      <x:c r="E54" s="3" t="str">
        <x:f>초입!B54</x:f>
        <x:v>영진햇살어린이집</x:v>
      </x:c>
      <x:c r="F54" s="3" t="str">
        <x:f>IF(초입!C54="","",초입!C54)</x:f>
        <x:v/>
      </x:c>
      <x:c r="G54" s="3">
        <x:f>IF(초입!D54="","",초입!D54)</x:f>
        <x:v>3</x:v>
      </x:c>
      <x:c r="H54" s="3" t="str">
        <x:f>IF(초입!E54="","",초입!E54)</x:f>
        <x:v>최민재</x:v>
      </x:c>
      <x:c r="I54" s="3" t="str">
        <x:f>IF(초입!F54="","",초입!F54)</x:f>
        <x:v>남</x:v>
      </x:c>
      <x:c r="J54" s="3" t="str">
        <x:f>IF(초입!G54="","",초입!G54)</x:f>
        <x:v>2020.01.10.</x:v>
      </x:c>
      <x:c r="K54" s="3" t="str">
        <x:f>IF(초입!J54="","",초입!J54)</x:f>
        <x:v>자폐성장애</x:v>
      </x:c>
      <x:c r="L54" s="3" t="str">
        <x:f>IF(초입!K54="","",초입!K54)</x:f>
        <x:v>자폐성장애</x:v>
      </x:c>
      <x:c r="M54" s="3" t="str">
        <x:f>IF(초입!L54="","",초입!L54)</x:f>
        <x:v>심한</x:v>
      </x:c>
      <x:c r="N54" s="3" t="str">
        <x:f>IF(초입!N54="","",초입!N54)</x:f>
        <x:v>마석초등학교</x:v>
      </x:c>
      <x:c r="O54" s="3" t="str">
        <x:f>IF(초입!O54="","",초입!O54)</x:f>
        <x:v>특수학급</x:v>
      </x:c>
      <x:c r="P54" s="3" t="str">
        <x:f>IF(초입!P54="","",초입!P54)</x:f>
        <x:v/>
      </x:c>
      <x:c r="Q54" s="3">
        <x:f>IF(초입!Q54="","",초입!Q54)</x:f>
        <x:v>0.311</x:v>
      </x:c>
      <x:c r="R54" s="3" t="str">
        <x:f>IF(초입!R54="","","1. "&amp;초입!R54&amp;IF(초입!V54&lt;&gt;"",CHAR(10)&amp;"2. "&amp;초입!V54,"")&amp;IF(초입!Z54&lt;&gt;"",CHAR(10)&amp;"3. "&amp;초입!Z54,""))</x:f>
        <x:v>1. 마석초등학교
2. 창현초등학교
3. 남양주송라초등학교</x:v>
      </x:c>
      <x:c r="S54" s="3" t="str">
        <x:f>IF(초입!S54="","",""&amp;초입!S54&amp;IF(초입!W54&lt;&gt;"",CHAR(10)&amp;""&amp;초입!W54,"")&amp;IF(초입!AA54&lt;&gt;"",CHAR(10)&amp;""&amp;초입!AA54,""))</x:f>
        <x:v>특수학급
특수학급
특수학급</x:v>
      </x:c>
      <x:c r="T54" s="3" t="str">
        <x:f>IF(초입!T54="","",""&amp;초입!T54&amp;IF(초입!X54&lt;&gt;"",CHAR(10)&amp;""&amp;초입!X54,"")&amp;IF(초입!AB54&lt;&gt;"",CHAR(10)&amp;""&amp;초입!AB54,""))</x:f>
        <x:v/>
      </x:c>
      <x:c r="U54" s="3" t="str">
        <x:f>IF(초입!U54="","",""&amp;초입!U54&amp;IF(초입!Y54&lt;&gt;"",CHAR(10)&amp;""&amp;초입!Y54,"")&amp;IF(초입!AC54&lt;&gt;"",CHAR(10)&amp;""&amp;초입!AC54,""))</x:f>
        <x:v>0.311
0.768
0.858</x:v>
      </x:c>
      <x:c r="V54" s="3" t="str">
        <x:f>IF(초입!AO54="","",초입!AO54)</x:f>
        <x:v>□ 복지카드: 자폐성장애 중증(~2032.1.17.)</x:v>
      </x:c>
      <x:c r="W54" s="3" t="str">
        <x:f>IF(초입!AP54="","",초입!AP54)</x:f>
        <x:v>특수학교 기각되면 취학유예 예정</x:v>
      </x:c>
      <x:c r="X54" s="3" t="str">
        <x:f>IF(초입!AD54="","",초입!AD54)</x:f>
        <x:v>010-3361-0124</x:v>
      </x:c>
      <x:c r="Y54" s="3" t="str">
        <x:f>IF(초입!AE54="","",초입!AE54)</x:f>
        <x:v/>
      </x:c>
      <x:c r="Z54" s="3" t="str">
        <x:f>IF(초입!M54="","",초입!M54)</x:f>
        <x:v>경기도 남양주시 화도읍 경춘로 1922번길 16, 202호</x:v>
      </x:c>
      <x:c r="AA54" s="7"/>
      <x:c r="AB54" s="7"/>
      <x:c r="AC54" s="7"/>
    </x:row>
    <x:row r="55" spans="1:29" customFormat="1" ht="131.69999999999998863132">
      <x:c r="A55" s="3">
        <x:f>초입!A55</x:f>
        <x:v>52</x:v>
      </x:c>
      <x:c r="B55" s="3" t="s">
        <x:v>194</x:v>
      </x:c>
      <x:c r="C55" s="3" t="str">
        <x:f>IF(초입!H55&lt;&gt;"","O","")</x:f>
        <x:v/>
      </x:c>
      <x:c r="D55" s="3" t="str">
        <x:f>IF(초입!I55&lt;&gt;"","O","")</x:f>
        <x:v>O</x:v>
      </x:c>
      <x:c r="E55" s="3" t="str">
        <x:f>초입!B55</x:f>
        <x:v>시립갈매어린이집</x:v>
      </x:c>
      <x:c r="F55" s="3" t="str">
        <x:f>IF(초입!C55="","",초입!C55)</x:f>
        <x:v/>
      </x:c>
      <x:c r="G55" s="3">
        <x:f>IF(초입!D55="","",초입!D55)</x:f>
        <x:v>3</x:v>
      </x:c>
      <x:c r="H55" s="3" t="str">
        <x:f>IF(초입!E55="","",초입!E55)</x:f>
        <x:v>구현모</x:v>
      </x:c>
      <x:c r="I55" s="3" t="str">
        <x:f>IF(초입!F55="","",초입!F55)</x:f>
        <x:v>남</x:v>
      </x:c>
      <x:c r="J55" s="3" t="str">
        <x:f>IF(초입!G55="","",초입!G55)</x:f>
        <x:v>2020.09.26.</x:v>
      </x:c>
      <x:c r="K55" s="3" t="str">
        <x:f>IF(초입!J55="","",초입!J55)</x:f>
        <x:v>지적장애</x:v>
      </x:c>
      <x:c r="L55" s="3" t="str">
        <x:f>IF(초입!K55="","",초입!K55)</x:f>
        <x:v/>
      </x:c>
      <x:c r="M55" s="3" t="str">
        <x:f>IF(초입!L55="","",초입!L55)</x:f>
        <x:v/>
      </x:c>
      <x:c r="N55" s="3" t="str">
        <x:f>IF(초입!N55="","",초입!N55)</x:f>
        <x:v>화접초등학교</x:v>
      </x:c>
      <x:c r="O55" s="3" t="str">
        <x:f>IF(초입!O55="","",초입!O55)</x:f>
        <x:v>특수학급</x:v>
      </x:c>
      <x:c r="P55" s="3" t="str">
        <x:f>IF(초입!P55="","",초입!P55)</x:f>
        <x:v/>
      </x:c>
      <x:c r="Q55" s="3">
        <x:f>IF(초입!Q55="","",초입!Q55)</x:f>
        <x:v>2</x:v>
      </x:c>
      <x:c r="R55" s="3" t="str">
        <x:f>IF(초입!R55="","","1. "&amp;초입!R55&amp;IF(초입!V55&lt;&gt;"",CHAR(10)&amp;"2. "&amp;초입!V55,"")&amp;IF(초입!Z55&lt;&gt;"",CHAR(10)&amp;"3. "&amp;초입!Z55,""))</x:f>
        <x:v>1. 화접초등학교
2. 한별초등하교
3. 별가람초등학교</x:v>
      </x:c>
      <x:c r="S55" s="3" t="str">
        <x:f>IF(초입!S55="","",""&amp;초입!S55&amp;IF(초입!W55&lt;&gt;"",CHAR(10)&amp;""&amp;초입!W55,"")&amp;IF(초입!AA55&lt;&gt;"",CHAR(10)&amp;""&amp;초입!AA55,""))</x:f>
        <x:v>특수학급
특수학급
특수학급</x:v>
      </x:c>
      <x:c r="T55" s="3" t="str">
        <x:f>IF(초입!T55="","",""&amp;초입!T55&amp;IF(초입!X55&lt;&gt;"",CHAR(10)&amp;""&amp;초입!X55,"")&amp;IF(초입!AB55&lt;&gt;"",CHAR(10)&amp;""&amp;초입!AB55,""))</x:f>
        <x:v/>
      </x:c>
      <x:c r="U55" s="3" t="str">
        <x:f>IF(초입!U55="","",""&amp;초입!U55&amp;IF(초입!Y55&lt;&gt;"",CHAR(10)&amp;""&amp;초입!Y55,"")&amp;IF(초입!AC55&lt;&gt;"",CHAR(10)&amp;""&amp;초입!AC55,""))</x:f>
        <x:v>2
1.8
3.2</x:v>
      </x:c>
      <x:c r="V55" s="3" t="str">
        <x:f>IF(초입!AO55="","",초입!AO55)</x:f>
        <x:v>※2026년 1월 5일 검사 실시
□ K-WPPSI-Ⅳ: 전체IQ 45(언어이해 50, 시공간 46, 유동추론 51, 작업기억 52, 처리속도 55/매우 낮음)
□ 사회성숙도: SA 3세7개월, SQ 69(훈련가능 지적장애 수준)
□CARS: 총점 22.5점(증상이 없거나 최소한의 자폐 관련 행동)
※2026년 6월 일 검사 실시
□ 적응행동: 표준점수( 수준) -  유아용으로 다시 받을 예정</x:v>
      </x:c>
      <x:c r="W55" s="3" t="str">
        <x:f>IF(초입!AP55="","",초입!AP55)</x:f>
        <x:v>*학생 등본상 거주지와 보호자 등본상 거주지가 다르나 보호자는 학생과 구리남양주에서 실거주 중임. 등본과 가족관계증명서 추가제출 완료
*화접초 학구
*복지카드 7.22.수 10시 방문 예정</x:v>
      </x:c>
      <x:c r="X55" s="3" t="str">
        <x:f>IF(초입!AD55="","",초입!AD55)</x:f>
        <x:v>010-8619-9799</x:v>
      </x:c>
      <x:c r="Y55" s="3" t="str">
        <x:f>IF(초입!AE55="","",초입!AE55)</x:f>
        <x:v/>
      </x:c>
      <x:c r="Z55" s="3" t="str">
        <x:f>IF(초입!M55="","",초입!M55)</x:f>
        <x:v>경기도 남양주시 불암산로97번길 22-27</x:v>
      </x:c>
      <x:c r="AA55" s="7"/>
      <x:c r="AB55" s="7"/>
      <x:c r="AC55" s="7"/>
    </x:row>
    <x:row r="56" spans="1:29" customFormat="1" ht="26.35000000000000142109">
      <x:c r="A56" s="3">
        <x:f>초입!A56</x:f>
        <x:v>53</x:v>
      </x:c>
      <x:c r="B56" s="3" t="s">
        <x:v>194</x:v>
      </x:c>
      <x:c r="C56" s="3" t="str">
        <x:f>IF(초입!H56&lt;&gt;"","O","")</x:f>
        <x:v/>
      </x:c>
      <x:c r="D56" s="3" t="str">
        <x:f>IF(초입!I56&lt;&gt;"","O","")</x:f>
        <x:v>O</x:v>
      </x:c>
      <x:c r="E56" s="3" t="str">
        <x:f>초입!B56</x:f>
        <x:v>진접예랑어린이집</x:v>
      </x:c>
      <x:c r="F56" s="3" t="str">
        <x:f>IF(초입!C56="","",초입!C56)</x:f>
        <x:v/>
      </x:c>
      <x:c r="G56" s="3">
        <x:f>IF(초입!D56="","",초입!D56)</x:f>
        <x:v>3</x:v>
      </x:c>
      <x:c r="H56" s="3" t="str">
        <x:f>IF(초입!E56="","",초입!E56)</x:f>
        <x:v>엄주환</x:v>
      </x:c>
      <x:c r="I56" s="3" t="str">
        <x:f>IF(초입!F56="","",초입!F56)</x:f>
        <x:v>남</x:v>
      </x:c>
      <x:c r="J56" s="3" t="str">
        <x:f>IF(초입!G56="","",초입!G56)</x:f>
        <x:v>2020.01.20.</x:v>
      </x:c>
      <x:c r="K56" s="3" t="str">
        <x:f>IF(초입!J56="","",초입!J56)</x:f>
        <x:v>자폐성장애</x:v>
      </x:c>
      <x:c r="L56" s="3" t="str">
        <x:f>IF(초입!K56="","",초입!K56)</x:f>
        <x:v>자폐성장애</x:v>
      </x:c>
      <x:c r="M56" s="3" t="str">
        <x:f>IF(초입!L56="","",초입!L56)</x:f>
        <x:v>중증</x:v>
      </x:c>
      <x:c r="N56" s="3" t="str">
        <x:f>IF(초입!N56="","",초입!N56)</x:f>
        <x:v>주곡초등학교</x:v>
      </x:c>
      <x:c r="O56" s="3" t="str">
        <x:f>IF(초입!O56="","",초입!O56)</x:f>
        <x:v>특수학급</x:v>
      </x:c>
      <x:c r="P56" s="3" t="str">
        <x:f>IF(초입!P56="","",초입!P56)</x:f>
        <x:v/>
      </x:c>
      <x:c r="Q56" s="3">
        <x:f>IF(초입!Q56="","",초입!Q56)</x:f>
        <x:v>0.11</x:v>
      </x:c>
      <x:c r="R56" s="3" t="str">
        <x:f>IF(초입!R56="","","1. "&amp;초입!R56&amp;IF(초입!V56&lt;&gt;"",CHAR(10)&amp;"2. "&amp;초입!V56,"")&amp;IF(초입!Z56&lt;&gt;"",CHAR(10)&amp;"3. "&amp;초입!Z56,""))</x:f>
        <x:v>1. 주곡초등학교
2. 주곡초등학교</x:v>
      </x:c>
      <x:c r="S56" s="3" t="str">
        <x:f>IF(초입!S56="","",""&amp;초입!S56&amp;IF(초입!W56&lt;&gt;"",CHAR(10)&amp;""&amp;초입!W56,"")&amp;IF(초입!AA56&lt;&gt;"",CHAR(10)&amp;""&amp;초입!AA56,""))</x:f>
        <x:v>특수학급
일반학급</x:v>
      </x:c>
      <x:c r="T56" s="3" t="str">
        <x:f>IF(초입!T56="","",""&amp;초입!T56&amp;IF(초입!X56&lt;&gt;"",CHAR(10)&amp;""&amp;초입!X56,"")&amp;IF(초입!AB56&lt;&gt;"",CHAR(10)&amp;""&amp;초입!AB56,""))</x:f>
        <x:v/>
      </x:c>
      <x:c r="U56" s="3" t="str">
        <x:f>IF(초입!U56="","",""&amp;초입!U56&amp;IF(초입!Y56&lt;&gt;"",CHAR(10)&amp;""&amp;초입!Y56,"")&amp;IF(초입!AC56&lt;&gt;"",CHAR(10)&amp;""&amp;초입!AC56,""))</x:f>
        <x:v>0.11
0.11</x:v>
      </x:c>
      <x:c r="V56" s="3" t="str">
        <x:f>IF(초입!AO56="","",초입!AO56)</x:f>
        <x:v>□ 복지카드: 자폐성장애 중증(~2031.04.05.)</x:v>
      </x:c>
      <x:c r="W56" s="3" t="str">
        <x:f>IF(초입!AP56="","",초입!AP56)</x:f>
        <x:v>이미 주곡초에 재학 중인 형제자매와 동일교 입학을 원하여 등본 추가 제출</x:v>
      </x:c>
      <x:c r="X56" s="3" t="str">
        <x:f>IF(초입!AD56="","",초입!AD56)</x:f>
        <x:v>010-3839-7969</x:v>
      </x:c>
      <x:c r="Y56" s="3" t="str">
        <x:f>IF(초입!AE56="","",초입!AE56)</x:f>
        <x:v/>
      </x:c>
      <x:c r="Z56" s="3" t="str">
        <x:f>IF(초입!M56="","",초입!M56)</x:f>
        <x:v>경기도 남양주시 진접읍 주곡로 109, 루나빌리지 가동 202호</x:v>
      </x:c>
      <x:c r="AA56" s="7"/>
      <x:c r="AB56" s="7"/>
      <x:c r="AC56" s="7"/>
    </x:row>
    <x:row r="57" spans="1:29" customFormat="1" ht="26.35000000000000142109">
      <x:c r="A57" s="3">
        <x:f>초입!A57</x:f>
        <x:v>54</x:v>
      </x:c>
      <x:c r="B57" s="3" t="s">
        <x:v>194</x:v>
      </x:c>
      <x:c r="C57" s="3" t="str">
        <x:f>IF(초입!H57&lt;&gt;"","O","")</x:f>
        <x:v/>
      </x:c>
      <x:c r="D57" s="3" t="str">
        <x:f>IF(초입!I57&lt;&gt;"","O","")</x:f>
        <x:v>O</x:v>
      </x:c>
      <x:c r="E57" s="3" t="str">
        <x:f>초입!B57</x:f>
        <x:v>해오름어린이집</x:v>
      </x:c>
      <x:c r="F57" s="3" t="str">
        <x:f>IF(초입!C57="","",초입!C57)</x:f>
        <x:v/>
      </x:c>
      <x:c r="G57" s="3">
        <x:f>IF(초입!D57="","",초입!D57)</x:f>
        <x:v>3</x:v>
      </x:c>
      <x:c r="H57" s="3" t="str">
        <x:f>IF(초입!E57="","",초입!E57)</x:f>
        <x:v>조하준</x:v>
      </x:c>
      <x:c r="I57" s="3" t="str">
        <x:f>IF(초입!F57="","",초입!F57)</x:f>
        <x:v>남</x:v>
      </x:c>
      <x:c r="J57" s="3" t="str">
        <x:f>IF(초입!G57="","",초입!G57)</x:f>
        <x:v>2020.01.30.</x:v>
      </x:c>
      <x:c r="K57" s="3" t="str">
        <x:f>IF(초입!J57="","",초입!J57)</x:f>
        <x:v>자폐성장애</x:v>
      </x:c>
      <x:c r="L57" s="3" t="str">
        <x:f>IF(초입!K57="","",초입!K57)</x:f>
        <x:v>자폐성장애</x:v>
      </x:c>
      <x:c r="M57" s="3" t="str">
        <x:f>IF(초입!L57="","",초입!L57)</x:f>
        <x:v>중증</x:v>
      </x:c>
      <x:c r="N57" s="3" t="str">
        <x:f>IF(초입!N57="","",초입!N57)</x:f>
        <x:v>부평초등학교</x:v>
      </x:c>
      <x:c r="O57" s="3" t="str">
        <x:f>IF(초입!O57="","",초입!O57)</x:f>
        <x:v>일반학급</x:v>
      </x:c>
      <x:c r="P57" s="3" t="str">
        <x:f>IF(초입!P57="","",초입!P57)</x:f>
        <x:v/>
      </x:c>
      <x:c r="Q57" s="3">
        <x:f>IF(초입!Q57="","",초입!Q57)</x:f>
        <x:v>0.44</x:v>
      </x:c>
      <x:c r="R57" s="3" t="str">
        <x:f>IF(초입!R57="","","1. "&amp;초입!R57&amp;IF(초입!V57&lt;&gt;"",CHAR(10)&amp;"2. "&amp;초입!V57,"")&amp;IF(초입!Z57&lt;&gt;"",CHAR(10)&amp;"3. "&amp;초입!Z57,""))</x:f>
        <x:v>1. 부평초등학교</x:v>
      </x:c>
      <x:c r="S57" s="3" t="str">
        <x:f>IF(초입!S57="","",""&amp;초입!S57&amp;IF(초입!W57&lt;&gt;"",CHAR(10)&amp;""&amp;초입!W57,"")&amp;IF(초입!AA57&lt;&gt;"",CHAR(10)&amp;""&amp;초입!AA57,""))</x:f>
        <x:v>일반학급</x:v>
      </x:c>
      <x:c r="T57" s="3" t="str">
        <x:f>IF(초입!T57="","",""&amp;초입!T57&amp;IF(초입!X57&lt;&gt;"",CHAR(10)&amp;""&amp;초입!X57,"")&amp;IF(초입!AB57&lt;&gt;"",CHAR(10)&amp;""&amp;초입!AB57,""))</x:f>
        <x:v/>
      </x:c>
      <x:c r="U57" s="3" t="str">
        <x:f>IF(초입!U57="","",""&amp;초입!U57&amp;IF(초입!Y57&lt;&gt;"",CHAR(10)&amp;""&amp;초입!Y57,"")&amp;IF(초입!AC57&lt;&gt;"",CHAR(10)&amp;""&amp;초입!AC57,""))</x:f>
        <x:v>0.44</x:v>
      </x:c>
      <x:c r="V57" s="3" t="str">
        <x:f>IF(초입!AO57="","",초입!AO57)</x:f>
        <x:v>□ 복지카드: 자폐성장애 중증(~2032.01.17.)</x:v>
      </x:c>
      <x:c r="W57" s="3" t="str">
        <x:f>IF(초입!AP57="","",초입!AP57)</x:f>
        <x:v/>
      </x:c>
      <x:c r="X57" s="3" t="str">
        <x:f>IF(초입!AD57="","",초입!AD57)</x:f>
        <x:v>010-7238-8113</x:v>
      </x:c>
      <x:c r="Y57" s="3" t="str">
        <x:f>IF(초입!AE57="","",초입!AE57)</x:f>
        <x:v/>
      </x:c>
      <x:c r="Z57" s="3" t="str">
        <x:f>IF(초입!M57="","",초입!M57)</x:f>
        <x:v>경기도 남양주시 진접읍 부평로 41, 203동 401호</x:v>
      </x:c>
      <x:c r="AA57" s="7"/>
      <x:c r="AB57" s="7"/>
      <x:c r="AC57" s="7"/>
    </x:row>
    <x:row r="58" spans="1:29" customFormat="1" ht="39.54999999999999715783">
      <x:c r="A58" s="3">
        <x:f>초입!A58</x:f>
        <x:v>55</x:v>
      </x:c>
      <x:c r="B58" s="3" t="s">
        <x:v>194</x:v>
      </x:c>
      <x:c r="C58" s="3" t="str">
        <x:f>IF(초입!H58&lt;&gt;"","O","")</x:f>
        <x:v>O</x:v>
      </x:c>
      <x:c r="D58" s="3" t="str">
        <x:f>IF(초입!I58&lt;&gt;"","O","")</x:f>
        <x:v/>
      </x:c>
      <x:c r="E58" s="3" t="str">
        <x:f>초입!B58</x:f>
        <x:v>다산하늘빛유치원</x:v>
      </x:c>
      <x:c r="F58" s="3" t="str">
        <x:f>IF(초입!C58="","",초입!C58)</x:f>
        <x:v>특수학급</x:v>
      </x:c>
      <x:c r="G58" s="3">
        <x:f>IF(초입!D58="","",초입!D58)</x:f>
        <x:v>3</x:v>
      </x:c>
      <x:c r="H58" s="3" t="str">
        <x:f>IF(초입!E58="","",초입!E58)</x:f>
        <x:v>강윤채</x:v>
      </x:c>
      <x:c r="I58" s="3" t="str">
        <x:f>IF(초입!F58="","",초입!F58)</x:f>
        <x:v>여</x:v>
      </x:c>
      <x:c r="J58" s="3" t="str">
        <x:f>IF(초입!G58="","",초입!G58)</x:f>
        <x:v>2020.03.31</x:v>
      </x:c>
      <x:c r="K58" s="3" t="str">
        <x:f>IF(초입!J58="","",초입!J58)</x:f>
        <x:v>청각장애</x:v>
      </x:c>
      <x:c r="L58" s="3" t="str">
        <x:f>IF(초입!K58="","",초입!K58)</x:f>
        <x:v>청각장애</x:v>
      </x:c>
      <x:c r="M58" s="3" t="str">
        <x:f>IF(초입!L58="","",초입!L58)</x:f>
        <x:v>중증</x:v>
      </x:c>
      <x:c r="N58" s="3" t="str">
        <x:f>IF(초입!N58="","",초입!N58)</x:f>
        <x:v>남양주다산초등학교</x:v>
      </x:c>
      <x:c r="O58" s="3" t="str">
        <x:f>IF(초입!O58="","",초입!O58)</x:f>
        <x:v>특수학급</x:v>
      </x:c>
      <x:c r="P58" s="3" t="str">
        <x:f>IF(초입!P58="","",초입!P58)</x:f>
        <x:v/>
      </x:c>
      <x:c r="Q58" s="3">
        <x:f>IF(초입!Q58="","",초입!Q58)</x:f>
        <x:v>0.80000000000000004</x:v>
      </x:c>
      <x:c r="R58" s="3" t="str">
        <x:f>IF(초입!R58="","","1. "&amp;초입!R58&amp;IF(초입!V58&lt;&gt;"",CHAR(10)&amp;"2. "&amp;초입!V58,"")&amp;IF(초입!Z58&lt;&gt;"",CHAR(10)&amp;"3. "&amp;초입!Z58,""))</x:f>
        <x:v>1. 남양주다산초등학교
2. 다산하늘초등학교
3. 다산새봄초등학교</x:v>
      </x:c>
      <x:c r="S58" s="3" t="str">
        <x:f>IF(초입!S58="","",""&amp;초입!S58&amp;IF(초입!W58&lt;&gt;"",CHAR(10)&amp;""&amp;초입!W58,"")&amp;IF(초입!AA58&lt;&gt;"",CHAR(10)&amp;""&amp;초입!AA58,""))</x:f>
        <x:v>특수학급
특수학급
특수학급</x:v>
      </x:c>
      <x:c r="T58" s="3" t="str">
        <x:f>IF(초입!T58="","",""&amp;초입!T58&amp;IF(초입!X58&lt;&gt;"",CHAR(10)&amp;""&amp;초입!X58,"")&amp;IF(초입!AB58&lt;&gt;"",CHAR(10)&amp;""&amp;초입!AB58,""))</x:f>
        <x:v/>
      </x:c>
      <x:c r="U58" s="3" t="str">
        <x:f>IF(초입!U58="","",""&amp;초입!U58&amp;IF(초입!Y58&lt;&gt;"",CHAR(10)&amp;""&amp;초입!Y58,"")&amp;IF(초입!AC58&lt;&gt;"",CHAR(10)&amp;""&amp;초입!AC58,""))</x:f>
        <x:v>0.8
0.926
1.3</x:v>
      </x:c>
      <x:c r="V58" s="3" t="str">
        <x:f>IF(초입!AO58="","",초입!AO58)</x:f>
        <x:v>□ 복지카드: 청각장애 중증(제한없음)</x:v>
      </x:c>
      <x:c r="W58" s="3" t="str">
        <x:f>IF(초입!AP58="","",초입!AP58)</x:f>
        <x:v/>
      </x:c>
      <x:c r="X58" s="3" t="str">
        <x:f>IF(초입!AD58="","",초입!AD58)</x:f>
        <x:v>010-4727-8865</x:v>
      </x:c>
      <x:c r="Y58" s="3" t="str">
        <x:f>IF(초입!AE58="","",초입!AE58)</x:f>
        <x:v>서민지</x:v>
      </x:c>
      <x:c r="Z58" s="3" t="str">
        <x:f>IF(초입!M58="","",초입!M58)</x:f>
        <x:v>경기도 남양주시 다산순환로300, 2104-1201</x:v>
      </x:c>
      <x:c r="AA58" s="7"/>
      <x:c r="AB58" s="7"/>
      <x:c r="AC58" s="7"/>
    </x:row>
    <x:row r="59" spans="1:29" customFormat="1" ht="39.54999999999999715783">
      <x:c r="A59" s="3">
        <x:f>초입!A59</x:f>
        <x:v>56</x:v>
      </x:c>
      <x:c r="B59" s="3" t="s">
        <x:v>194</x:v>
      </x:c>
      <x:c r="C59" s="3" t="str">
        <x:f>IF(초입!H59&lt;&gt;"","O","")</x:f>
        <x:v>O</x:v>
      </x:c>
      <x:c r="D59" s="3" t="str">
        <x:f>IF(초입!I59&lt;&gt;"","O","")</x:f>
        <x:v/>
      </x:c>
      <x:c r="E59" s="3" t="str">
        <x:f>초입!B59</x:f>
        <x:v>다산하늘빛유치원</x:v>
      </x:c>
      <x:c r="F59" s="3" t="str">
        <x:f>IF(초입!C59="","",초입!C59)</x:f>
        <x:v>특수학급</x:v>
      </x:c>
      <x:c r="G59" s="3">
        <x:f>IF(초입!D59="","",초입!D59)</x:f>
        <x:v>3</x:v>
      </x:c>
      <x:c r="H59" s="3" t="str">
        <x:f>IF(초입!E59="","",초입!E59)</x:f>
        <x:v>박채호</x:v>
      </x:c>
      <x:c r="I59" s="3" t="str">
        <x:f>IF(초입!F59="","",초입!F59)</x:f>
        <x:v>남</x:v>
      </x:c>
      <x:c r="J59" s="3" t="str">
        <x:f>IF(초입!G59="","",초입!G59)</x:f>
        <x:v>2020.05.21</x:v>
      </x:c>
      <x:c r="K59" s="3" t="str">
        <x:f>IF(초입!J59="","",초입!J59)</x:f>
        <x:v>발달지체</x:v>
      </x:c>
      <x:c r="L59" s="3" t="str">
        <x:f>IF(초입!K59="","",초입!K59)</x:f>
        <x:v/>
      </x:c>
      <x:c r="M59" s="3" t="str">
        <x:f>IF(초입!L59="","",초입!L59)</x:f>
        <x:v/>
      </x:c>
      <x:c r="N59" s="3" t="str">
        <x:f>IF(초입!N59="","",초입!N59)</x:f>
        <x:v>남양주다산초등학교</x:v>
      </x:c>
      <x:c r="O59" s="3" t="str">
        <x:f>IF(초입!O59="","",초입!O59)</x:f>
        <x:v>특수학급</x:v>
      </x:c>
      <x:c r="P59" s="3" t="str">
        <x:f>IF(초입!P59="","",초입!P59)</x:f>
        <x:v/>
      </x:c>
      <x:c r="Q59" s="3">
        <x:f>IF(초입!Q59="","",초입!Q59)</x:f>
        <x:v>0.20000000000000001</x:v>
      </x:c>
      <x:c r="R59" s="3" t="str">
        <x:f>IF(초입!R59="","","1. "&amp;초입!R59&amp;IF(초입!V59&lt;&gt;"",CHAR(10)&amp;"2. "&amp;초입!V59,"")&amp;IF(초입!Z59&lt;&gt;"",CHAR(10)&amp;"3. "&amp;초입!Z59,""))</x:f>
        <x:v>1. 남양주다산초등학교
2. 다산새봄초등학교
3. 다산하늘초등학교</x:v>
      </x:c>
      <x:c r="S59" s="3" t="str">
        <x:f>IF(초입!S59="","",""&amp;초입!S59&amp;IF(초입!W59&lt;&gt;"",CHAR(10)&amp;""&amp;초입!W59,"")&amp;IF(초입!AA59&lt;&gt;"",CHAR(10)&amp;""&amp;초입!AA59,""))</x:f>
        <x:v>특수학급
특수학급
특수학급</x:v>
      </x:c>
      <x:c r="T59" s="3" t="str">
        <x:f>IF(초입!T59="","",""&amp;초입!T59&amp;IF(초입!X59&lt;&gt;"",CHAR(10)&amp;""&amp;초입!X59,"")&amp;IF(초입!AB59&lt;&gt;"",CHAR(10)&amp;""&amp;초입!AB59,""))</x:f>
        <x:v/>
      </x:c>
      <x:c r="U59" s="3" t="str">
        <x:f>IF(초입!U59="","",""&amp;초입!U59&amp;IF(초입!Y59&lt;&gt;"",CHAR(10)&amp;""&amp;초입!Y59,"")&amp;IF(초입!AC59&lt;&gt;"",CHAR(10)&amp;""&amp;초입!AC59,""))</x:f>
        <x:v>0.2
0.866
1.2</x:v>
      </x:c>
      <x:c r="V59" s="3" t="str">
        <x:f>IF(초입!AO59="","",초입!AO59)</x:f>
        <x:v/>
      </x:c>
      <x:c r="W59" s="3" t="str">
        <x:f>IF(초입!AP59="","",초입!AP59)</x:f>
        <x:v/>
      </x:c>
      <x:c r="X59" s="3" t="str">
        <x:f>IF(초입!AD59="","",초입!AD59)</x:f>
        <x:v>010-7777-6007</x:v>
      </x:c>
      <x:c r="Y59" s="3" t="str">
        <x:f>IF(초입!AE59="","",초입!AE59)</x:f>
        <x:v>서민지</x:v>
      </x:c>
      <x:c r="Z59" s="3" t="str">
        <x:f>IF(초입!M59="","",초입!M59)</x:f>
        <x:v>경기도 남양주시 다산순환로333, 2403-901</x:v>
      </x:c>
      <x:c r="AA59" s="7"/>
      <x:c r="AB59" s="7"/>
      <x:c r="AC59" s="7"/>
    </x:row>
    <x:row r="60" spans="1:29" customFormat="1" ht="65.84999999999999431566">
      <x:c r="A60" s="3">
        <x:f>초입!A60</x:f>
        <x:v>57</x:v>
      </x:c>
      <x:c r="B60" s="3" t="s">
        <x:v>194</x:v>
      </x:c>
      <x:c r="C60" s="3" t="str">
        <x:f>IF(초입!H60&lt;&gt;"","O","")</x:f>
        <x:v>O</x:v>
      </x:c>
      <x:c r="D60" s="3" t="str">
        <x:f>IF(초입!I60&lt;&gt;"","O","")</x:f>
        <x:v/>
      </x:c>
      <x:c r="E60" s="3" t="str">
        <x:f>초입!B60</x:f>
        <x:v>다산하늘빛유치원</x:v>
      </x:c>
      <x:c r="F60" s="3" t="str">
        <x:f>IF(초입!C60="","",초입!C60)</x:f>
        <x:v>특수학급</x:v>
      </x:c>
      <x:c r="G60" s="3">
        <x:f>IF(초입!D60="","",초입!D60)</x:f>
        <x:v>3</x:v>
      </x:c>
      <x:c r="H60" s="3" t="str">
        <x:f>IF(초입!E60="","",초입!E60)</x:f>
        <x:v>이정우</x:v>
      </x:c>
      <x:c r="I60" s="3" t="str">
        <x:f>IF(초입!F60="","",초입!F60)</x:f>
        <x:v>남</x:v>
      </x:c>
      <x:c r="J60" s="3" t="str">
        <x:f>IF(초입!G60="","",초입!G60)</x:f>
        <x:v>2020.07.22</x:v>
      </x:c>
      <x:c r="K60" s="3" t="str">
        <x:f>IF(초입!J60="","",초입!J60)</x:f>
        <x:v>발달지체</x:v>
      </x:c>
      <x:c r="L60" s="3" t="str">
        <x:f>IF(초입!K60="","",초입!K60)</x:f>
        <x:v/>
      </x:c>
      <x:c r="M60" s="3" t="str">
        <x:f>IF(초입!L60="","",초입!L60)</x:f>
        <x:v/>
      </x:c>
      <x:c r="N60" s="3" t="str">
        <x:f>IF(초입!N60="","",초입!N60)</x:f>
        <x:v>남양주다산초등학교</x:v>
      </x:c>
      <x:c r="O60" s="3" t="str">
        <x:f>IF(초입!O60="","",초입!O60)</x:f>
        <x:v>특수학급</x:v>
      </x:c>
      <x:c r="P60" s="3" t="str">
        <x:f>IF(초입!P60="","",초입!P60)</x:f>
        <x:v/>
      </x:c>
      <x:c r="Q60" s="3">
        <x:f>IF(초입!Q60="","",초입!Q60)</x:f>
        <x:v>0.63400000000000001</x:v>
      </x:c>
      <x:c r="R60" s="3" t="str">
        <x:f>IF(초입!R60="","","1. "&amp;초입!R60&amp;IF(초입!V60&lt;&gt;"",CHAR(10)&amp;"2. "&amp;초입!V60,"")&amp;IF(초입!Z60&lt;&gt;"",CHAR(10)&amp;"3. "&amp;초입!Z60,""))</x:f>
        <x:v>1. 남양주다산초등학교
2. 다산하늘초등학교
3. 다산새봄초등학교</x:v>
      </x:c>
      <x:c r="S60" s="3" t="str">
        <x:f>IF(초입!S60="","",""&amp;초입!S60&amp;IF(초입!W60&lt;&gt;"",CHAR(10)&amp;""&amp;초입!W60,"")&amp;IF(초입!AA60&lt;&gt;"",CHAR(10)&amp;""&amp;초입!AA60,""))</x:f>
        <x:v>특수학급
특수학급
특수학급</x:v>
      </x:c>
      <x:c r="T60" s="3" t="str">
        <x:f>IF(초입!T60="","",""&amp;초입!T60&amp;IF(초입!X60&lt;&gt;"",CHAR(10)&amp;""&amp;초입!X60,"")&amp;IF(초입!AB60&lt;&gt;"",CHAR(10)&amp;""&amp;초입!AB60,""))</x:f>
        <x:v/>
      </x:c>
      <x:c r="U60" s="3" t="str">
        <x:f>IF(초입!U60="","",""&amp;초입!U60&amp;IF(초입!Y60&lt;&gt;"",CHAR(10)&amp;""&amp;초입!Y60,"")&amp;IF(초입!AC60&lt;&gt;"",CHAR(10)&amp;""&amp;초입!AC60,""))</x:f>
        <x:v>0.634
0.855
1.1</x:v>
      </x:c>
      <x:c r="V60" s="3" t="str">
        <x:f>IF(초입!AO60="","",초입!AO60)</x:f>
        <x:v/>
      </x:c>
      <x:c r="W60" s="3" t="str">
        <x:f>IF(초입!AP60="","",초입!AP60)</x:f>
        <x:v>3희망 다산한강초 해당없음. 증빙서류,사유도 없음. /
3희망 다산하늘초로 변경예정, 2명은 취소임 / 수정완료
2희망 하늘초, 3희망 새봄초로 내가 변경</x:v>
      </x:c>
      <x:c r="X60" s="3" t="str">
        <x:f>IF(초입!AD60="","",초입!AD60)</x:f>
        <x:v>010-8447-6557</x:v>
      </x:c>
      <x:c r="Y60" s="3" t="str">
        <x:f>IF(초입!AE60="","",초입!AE60)</x:f>
        <x:v>서민지</x:v>
      </x:c>
      <x:c r="Z60" s="3" t="str">
        <x:f>IF(초입!M60="","",초입!M60)</x:f>
        <x:v>경기도 남양주시 다산순환로311, 2304-1301</x:v>
      </x:c>
      <x:c r="AA60" s="7"/>
      <x:c r="AB60" s="7"/>
      <x:c r="AC60" s="7"/>
    </x:row>
    <x:row r="61" spans="1:29" customFormat="1" ht="39.54999999999999715783">
      <x:c r="A61" s="3">
        <x:f>초입!A61</x:f>
        <x:v>58</x:v>
      </x:c>
      <x:c r="B61" s="3" t="s">
        <x:v>194</x:v>
      </x:c>
      <x:c r="C61" s="3" t="str">
        <x:f>IF(초입!H61&lt;&gt;"","O","")</x:f>
        <x:v/>
      </x:c>
      <x:c r="D61" s="3" t="str">
        <x:f>IF(초입!I61&lt;&gt;"","O","")</x:f>
        <x:v>O</x:v>
      </x:c>
      <x:c r="E61" s="3" t="str">
        <x:f>초입!B61</x:f>
        <x:v>시립하나어린이집</x:v>
      </x:c>
      <x:c r="F61" s="3" t="str">
        <x:f>IF(초입!C61="","",초입!C61)</x:f>
        <x:v/>
      </x:c>
      <x:c r="G61" s="3">
        <x:f>IF(초입!D61="","",초입!D61)</x:f>
        <x:v>3</x:v>
      </x:c>
      <x:c r="H61" s="3" t="str">
        <x:f>IF(초입!E61="","",초입!E61)</x:f>
        <x:v>유태영</x:v>
      </x:c>
      <x:c r="I61" s="3" t="str">
        <x:f>IF(초입!F61="","",초입!F61)</x:f>
        <x:v>남</x:v>
      </x:c>
      <x:c r="J61" s="3" t="str">
        <x:f>IF(초입!G61="","",초입!G61)</x:f>
        <x:v>2019.11.18.</x:v>
      </x:c>
      <x:c r="K61" s="3" t="str">
        <x:f>IF(초입!J61="","",초입!J61)</x:f>
        <x:v>지적장애</x:v>
      </x:c>
      <x:c r="L61" s="3" t="str">
        <x:f>IF(초입!K61="","",초입!K61)</x:f>
        <x:v>지적장애 발급중</x:v>
      </x:c>
      <x:c r="M61" s="3" t="str">
        <x:f>IF(초입!L61="","",초입!L61)</x:f>
        <x:v/>
      </x:c>
      <x:c r="N61" s="3" t="str">
        <x:f>IF(초입!N61="","",초입!N61)</x:f>
        <x:v>남양주월산초등학교</x:v>
      </x:c>
      <x:c r="O61" s="3" t="str">
        <x:f>IF(초입!O61="","",초입!O61)</x:f>
        <x:v>특수학급</x:v>
      </x:c>
      <x:c r="P61" s="3" t="str">
        <x:f>IF(초입!P61="","",초입!P61)</x:f>
        <x:v/>
      </x:c>
      <x:c r="Q61" s="3">
        <x:f>IF(초입!Q61="","",초입!Q61)</x:f>
        <x:v>0.375</x:v>
      </x:c>
      <x:c r="R61" s="3" t="str">
        <x:f>IF(초입!R61="","","1. "&amp;초입!R61&amp;IF(초입!V61&lt;&gt;"",CHAR(10)&amp;"2. "&amp;초입!V61,"")&amp;IF(초입!Z61&lt;&gt;"",CHAR(10)&amp;"3. "&amp;초입!Z61,""))</x:f>
        <x:v>1. 남양주월산초등학교
2. 마석초등학교
3. 남양주송라초등학교</x:v>
      </x:c>
      <x:c r="S61" s="3" t="str">
        <x:f>IF(초입!S61="","",""&amp;초입!S61&amp;IF(초입!W61&lt;&gt;"",CHAR(10)&amp;""&amp;초입!W61,"")&amp;IF(초입!AA61&lt;&gt;"",CHAR(10)&amp;""&amp;초입!AA61,""))</x:f>
        <x:v>특수학급
특수학급
특수학급</x:v>
      </x:c>
      <x:c r="T61" s="3" t="str">
        <x:f>IF(초입!T61="","",""&amp;초입!T61&amp;IF(초입!X61&lt;&gt;"",CHAR(10)&amp;""&amp;초입!X61,"")&amp;IF(초입!AB61&lt;&gt;"",CHAR(10)&amp;""&amp;초입!AB61,""))</x:f>
        <x:v/>
      </x:c>
      <x:c r="U61" s="3" t="str">
        <x:f>IF(초입!U61="","",""&amp;초입!U61&amp;IF(초입!Y61&lt;&gt;"",CHAR(10)&amp;""&amp;초입!Y61,"")&amp;IF(초입!AC61&lt;&gt;"",CHAR(10)&amp;""&amp;초입!AC61,""))</x:f>
        <x:v>0.375
3.9
4.5</x:v>
      </x:c>
      <x:c r="V61" s="3" t="str">
        <x:f>IF(초입!AO61="","",초입!AO61)</x:f>
        <x:v>□ 장애인증명서: 지적장애 심한장애(~26.3.20.)
□ 진단서: 상세불명의 다운증후군(26.2.19.)</x:v>
      </x:c>
      <x:c r="W61" s="3" t="str">
        <x:f>IF(초입!AP61="","",초입!AP61)</x:f>
        <x:v>경은 기각되면 취학유예, 복지카드 발급중</x:v>
      </x:c>
      <x:c r="X61" s="3" t="str">
        <x:f>IF(초입!AD61="","",초입!AD61)</x:f>
        <x:v>010-7105-1116</x:v>
      </x:c>
      <x:c r="Y61" s="3" t="str">
        <x:f>IF(초입!AE61="","",초입!AE61)</x:f>
        <x:v/>
      </x:c>
      <x:c r="Z61" s="3" t="str">
        <x:f>IF(초입!M61="","",초입!M61)</x:f>
        <x:v>경기도 남양주시 화도읍 경춘로 2290번길2, 105동102호</x:v>
      </x:c>
      <x:c r="AA61" s="7"/>
      <x:c r="AB61" s="7"/>
      <x:c r="AC61" s="7"/>
    </x:row>
    <x:row r="62" spans="1:29" customFormat="1" ht="65.84999999999999431566">
      <x:c r="A62" s="3">
        <x:f>초입!A62</x:f>
        <x:v>59</x:v>
      </x:c>
      <x:c r="B62" s="3" t="s">
        <x:v>194</x:v>
      </x:c>
      <x:c r="C62" s="3" t="str">
        <x:f>IF(초입!H62&lt;&gt;"","O","")</x:f>
        <x:v/>
      </x:c>
      <x:c r="D62" s="3" t="str">
        <x:f>IF(초입!I62&lt;&gt;"","O","")</x:f>
        <x:v>O</x:v>
      </x:c>
      <x:c r="E62" s="3" t="str">
        <x:f>초입!B62</x:f>
        <x:v>시립토평마을어린이집</x:v>
      </x:c>
      <x:c r="F62" s="3" t="str">
        <x:f>IF(초입!C62="","",초입!C62)</x:f>
        <x:v/>
      </x:c>
      <x:c r="G62" s="3">
        <x:f>IF(초입!D62="","",초입!D62)</x:f>
        <x:v>3</x:v>
      </x:c>
      <x:c r="H62" s="3" t="str">
        <x:f>IF(초입!E62="","",초입!E62)</x:f>
        <x:v>장도윤</x:v>
      </x:c>
      <x:c r="I62" s="3" t="str">
        <x:f>IF(초입!F62="","",초입!F62)</x:f>
        <x:v>남</x:v>
      </x:c>
      <x:c r="J62" s="3" t="str">
        <x:f>IF(초입!G62="","",초입!G62)</x:f>
        <x:v>2020.07.15.</x:v>
      </x:c>
      <x:c r="K62" s="3" t="str">
        <x:f>IF(초입!J62="","",초입!J62)</x:f>
        <x:v>지체장애</x:v>
      </x:c>
      <x:c r="L62" s="3" t="str">
        <x:f>IF(초입!K62="","",초입!K62)</x:f>
        <x:v/>
      </x:c>
      <x:c r="M62" s="3" t="str">
        <x:f>IF(초입!L62="","",초입!L62)</x:f>
        <x:v/>
      </x:c>
      <x:c r="N62" s="3" t="str">
        <x:f>IF(초입!N62="","",초입!N62)</x:f>
        <x:v>구리초등학교</x:v>
      </x:c>
      <x:c r="O62" s="3" t="str">
        <x:f>IF(초입!O62="","",초입!O62)</x:f>
        <x:v>특수학급</x:v>
      </x:c>
      <x:c r="P62" s="3" t="str">
        <x:f>IF(초입!P62="","",초입!P62)</x:f>
        <x:v/>
      </x:c>
      <x:c r="Q62" s="3">
        <x:f>IF(초입!Q62="","",초입!Q62)</x:f>
        <x:v>0.67500000000000004</x:v>
      </x:c>
      <x:c r="R62" s="3" t="str">
        <x:f>IF(초입!R62="","","1. "&amp;초입!R62&amp;IF(초입!V62&lt;&gt;"",CHAR(10)&amp;"2. "&amp;초입!V62,"")&amp;IF(초입!Z62&lt;&gt;"",CHAR(10)&amp;"3. "&amp;초입!Z62,""))</x:f>
        <x:v>1. 구리초등학교
2. 구지초등학교
3. 교문초등학교</x:v>
      </x:c>
      <x:c r="S62" s="3" t="str">
        <x:f>IF(초입!S62="","",""&amp;초입!S62&amp;IF(초입!W62&lt;&gt;"",CHAR(10)&amp;""&amp;초입!W62,"")&amp;IF(초입!AA62&lt;&gt;"",CHAR(10)&amp;""&amp;초입!AA62,""))</x:f>
        <x:v>특수학급
특수학급
특수학급</x:v>
      </x:c>
      <x:c r="T62" s="3" t="str">
        <x:f>IF(초입!T62="","",""&amp;초입!T62&amp;IF(초입!X62&lt;&gt;"",CHAR(10)&amp;""&amp;초입!X62,"")&amp;IF(초입!AB62&lt;&gt;"",CHAR(10)&amp;""&amp;초입!AB62,""))</x:f>
        <x:v/>
      </x:c>
      <x:c r="U62" s="3" t="str">
        <x:f>IF(초입!U62="","",""&amp;초입!U62&amp;IF(초입!Y62&lt;&gt;"",CHAR(10)&amp;""&amp;초입!Y62,"")&amp;IF(초입!AC62&lt;&gt;"",CHAR(10)&amp;""&amp;초입!AC62,""))</x:f>
        <x:v>0.675
1
1.1</x:v>
      </x:c>
      <x:c r="V62" s="3" t="str">
        <x:f>IF(초입!AO62="","",초입!AO62)</x:f>
        <x:v>※심리평가보고서(2026.06.08.)
□ K-WPPSI-Ⅳ: 전체IQ 69(언어이해 98, 시공간 49, 유동추론 78, 작업기억 83, 처리속도 67/매우 낮음)
□사회성숙도: SA 3세 7개월, SQ 73(경계선)
□VMI, CARS-2, PRES 등 기타 원본 참고</x:v>
      </x:c>
      <x:c r="W62" s="3" t="str">
        <x:f>IF(초입!AP62="","",초입!AP62)</x:f>
        <x:v>뇌병변 복지카드 발급중(8월 예상)</x:v>
      </x:c>
      <x:c r="X62" s="3" t="str">
        <x:f>IF(초입!AD62="","",초입!AD62)</x:f>
        <x:v>010-2078-2944</x:v>
      </x:c>
      <x:c r="Y62" s="3" t="str">
        <x:f>IF(초입!AE62="","",초입!AE62)</x:f>
        <x:v/>
      </x:c>
      <x:c r="Z62" s="3" t="str">
        <x:f>IF(초입!M62="","",초입!M62)</x:f>
        <x:v>경기도 구리시 검배로 15번길11, 201호</x:v>
      </x:c>
      <x:c r="AA62" s="7"/>
      <x:c r="AB62" s="7"/>
      <x:c r="AC62" s="7"/>
    </x:row>
    <x:row r="63" spans="1:29" customFormat="1" ht="65.84999999999999431566">
      <x:c r="A63" s="3">
        <x:f>초입!A63</x:f>
        <x:v>60</x:v>
      </x:c>
      <x:c r="B63" s="3" t="s">
        <x:v>194</x:v>
      </x:c>
      <x:c r="C63" s="3" t="str">
        <x:f>IF(초입!H63&lt;&gt;"","O","")</x:f>
        <x:v/>
      </x:c>
      <x:c r="D63" s="3" t="str">
        <x:f>IF(초입!I63&lt;&gt;"","O","")</x:f>
        <x:v>O</x:v>
      </x:c>
      <x:c r="E63" s="3" t="str">
        <x:f>초입!B63</x:f>
        <x:v>곡교어린이집</x:v>
      </x:c>
      <x:c r="F63" s="3" t="str">
        <x:f>IF(초입!C63="","",초입!C63)</x:f>
        <x:v/>
      </x:c>
      <x:c r="G63" s="3">
        <x:f>IF(초입!D63="","",초입!D63)</x:f>
        <x:v>3</x:v>
      </x:c>
      <x:c r="H63" s="3" t="str">
        <x:f>IF(초입!E63="","",초입!E63)</x:f>
        <x:v>강경민</x:v>
      </x:c>
      <x:c r="I63" s="3" t="str">
        <x:f>IF(초입!F63="","",초입!F63)</x:f>
        <x:v>남</x:v>
      </x:c>
      <x:c r="J63" s="3" t="str">
        <x:f>IF(초입!G63="","",초입!G63)</x:f>
        <x:v>2020.06.24.</x:v>
      </x:c>
      <x:c r="K63" s="3" t="str">
        <x:f>IF(초입!J63="","",초입!J63)</x:f>
        <x:v>지적장애</x:v>
      </x:c>
      <x:c r="L63" s="3" t="str">
        <x:f>IF(초입!K63="","",초입!K63)</x:f>
        <x:v/>
      </x:c>
      <x:c r="M63" s="3" t="str">
        <x:f>IF(초입!L63="","",초입!L63)</x:f>
        <x:v/>
      </x:c>
      <x:c r="N63" s="3" t="str">
        <x:f>IF(초입!N63="","",초입!N63)</x:f>
        <x:v>덕소초등학교</x:v>
      </x:c>
      <x:c r="O63" s="3" t="str">
        <x:f>IF(초입!O63="","",초입!O63)</x:f>
        <x:v>특수학급</x:v>
      </x:c>
      <x:c r="P63" s="3" t="str">
        <x:f>IF(초입!P63="","",초입!P63)</x:f>
        <x:v/>
      </x:c>
      <x:c r="Q63" s="3">
        <x:f>IF(초입!Q63="","",초입!Q63)</x:f>
        <x:v>0.45200000000000001</x:v>
      </x:c>
      <x:c r="R63" s="3" t="str">
        <x:f>IF(초입!R63="","","1. "&amp;초입!R63&amp;IF(초입!V63&lt;&gt;"",CHAR(10)&amp;"2. "&amp;초입!V63,"")&amp;IF(초입!Z63&lt;&gt;"",CHAR(10)&amp;"3. "&amp;초입!Z63,""))</x:f>
        <x:v>1. 덕소초등학교
2. 도곡초등학교
3. 예봉초등학교</x:v>
      </x:c>
      <x:c r="S63" s="3" t="str">
        <x:f>IF(초입!S63="","",""&amp;초입!S63&amp;IF(초입!W63&lt;&gt;"",CHAR(10)&amp;""&amp;초입!W63,"")&amp;IF(초입!AA63&lt;&gt;"",CHAR(10)&amp;""&amp;초입!AA63,""))</x:f>
        <x:v>특수학급
특수학급
특수학급</x:v>
      </x:c>
      <x:c r="T63" s="3" t="str">
        <x:f>IF(초입!T63="","",""&amp;초입!T63&amp;IF(초입!X63&lt;&gt;"",CHAR(10)&amp;""&amp;초입!X63,"")&amp;IF(초입!AB63&lt;&gt;"",CHAR(10)&amp;""&amp;초입!AB63,""))</x:f>
        <x:v/>
      </x:c>
      <x:c r="U63" s="3" t="str">
        <x:f>IF(초입!U63="","",""&amp;초입!U63&amp;IF(초입!Y63&lt;&gt;"",CHAR(10)&amp;""&amp;초입!Y63,"")&amp;IF(초입!AC63&lt;&gt;"",CHAR(10)&amp;""&amp;초입!AC63,""))</x:f>
        <x:v>0.452
1.1
1.3</x:v>
      </x:c>
      <x:c r="V63" s="3" t="str">
        <x:f>IF(초입!AO63="","",초입!AO63)</x:f>
        <x:v>※심리평가보고서(2026.01.16.)
□ K-WPPSI-Ⅳ: 전체IQ 53(언어이해 53, 시공간 87, 유동추론 57, 작업기억 55, 처리속도 61/매우 낮음)
□사회성숙도: SA 3세 10개월, SQ 63.7(경도)
□적응행동검사: 표준점수 71(저조한 수준)</x:v>
      </x:c>
      <x:c r="W63" s="3" t="str">
        <x:f>IF(초입!AP63="","",초입!AP63)</x:f>
        <x:v>7월31일 거주지 이전 예정 / 여기서 SMS, 적응행동 실시(유아용, 초중등용 모두)</x:v>
      </x:c>
      <x:c r="X63" s="3" t="str">
        <x:f>IF(초입!AD63="","",초입!AD63)</x:f>
        <x:v>010-8688-3796</x:v>
      </x:c>
      <x:c r="Y63" s="3" t="str">
        <x:f>IF(초입!AE63="","",초입!AE63)</x:f>
        <x:v/>
      </x:c>
      <x:c r="Z63" s="3" t="str">
        <x:f>IF(초입!M63="","",초입!M63)</x:f>
        <x:v>경기도 남양주시 와부읍 덕소로 97번길 12, 207동104호
(7월31일 강동구에서 거주지 이전)</x:v>
      </x:c>
      <x:c r="AA63" s="7"/>
      <x:c r="AB63" s="7"/>
      <x:c r="AC63" s="7"/>
    </x:row>
    <x:row r="64" spans="1:29" customFormat="1" ht="39.54999999999999715783">
      <x:c r="A64" s="3">
        <x:f>초입!A64</x:f>
        <x:v>61</x:v>
      </x:c>
      <x:c r="B64" s="3" t="s">
        <x:v>194</x:v>
      </x:c>
      <x:c r="C64" s="3" t="str">
        <x:f>IF(초입!H64&lt;&gt;"","O","")</x:f>
        <x:v/>
      </x:c>
      <x:c r="D64" s="3" t="str">
        <x:f>IF(초입!I64&lt;&gt;"","O","")</x:f>
        <x:v>O</x:v>
      </x:c>
      <x:c r="E64" s="3" t="str">
        <x:f>초입!B64</x:f>
        <x:v>시립남양주하나어린이집</x:v>
      </x:c>
      <x:c r="F64" s="3" t="str">
        <x:f>IF(초입!C64="","",초입!C64)</x:f>
        <x:v/>
      </x:c>
      <x:c r="G64" s="3">
        <x:f>IF(초입!D64="","",초입!D64)</x:f>
        <x:v>3</x:v>
      </x:c>
      <x:c r="H64" s="3" t="str">
        <x:f>IF(초입!E64="","",초입!E64)</x:f>
        <x:v>이윤아</x:v>
      </x:c>
      <x:c r="I64" s="3" t="str">
        <x:f>IF(초입!F64="","",초입!F64)</x:f>
        <x:v>여</x:v>
      </x:c>
      <x:c r="J64" s="3" t="str">
        <x:f>IF(초입!G64="","",초입!G64)</x:f>
        <x:v>2019.03.12.</x:v>
      </x:c>
      <x:c r="K64" s="3" t="str">
        <x:f>IF(초입!J64="","",초입!J64)</x:f>
        <x:v>자폐성장애</x:v>
      </x:c>
      <x:c r="L64" s="3" t="str">
        <x:f>IF(초입!K64="","",초입!K64)</x:f>
        <x:v>자폐성장애</x:v>
      </x:c>
      <x:c r="M64" s="3" t="str">
        <x:f>IF(초입!L64="","",초입!L64)</x:f>
        <x:v>중증</x:v>
      </x:c>
      <x:c r="N64" s="3" t="str">
        <x:f>IF(초입!N64="","",초입!N64)</x:f>
        <x:v>하랑초등학교</x:v>
      </x:c>
      <x:c r="O64" s="3" t="str">
        <x:f>IF(초입!O64="","",초입!O64)</x:f>
        <x:v>특수학급</x:v>
      </x:c>
      <x:c r="P64" s="3" t="str">
        <x:f>IF(초입!P64="","",초입!P64)</x:f>
        <x:v/>
      </x:c>
      <x:c r="Q64" s="3">
        <x:f>IF(초입!Q64="","",초입!Q64)</x:f>
        <x:v>0.63900000000000001</x:v>
      </x:c>
      <x:c r="R64" s="3" t="str">
        <x:f>IF(초입!R64="","","1. "&amp;초입!R64&amp;IF(초입!V64&lt;&gt;"",CHAR(10)&amp;"2. "&amp;초입!V64,"")&amp;IF(초입!Z64&lt;&gt;"",CHAR(10)&amp;"3. "&amp;초입!Z64,""))</x:f>
        <x:v>1. 평동초등학교
2. 구룡초등학교
3. 평내초등학교</x:v>
      </x:c>
      <x:c r="S64" s="3" t="str">
        <x:f>IF(초입!S64="","",""&amp;초입!S64&amp;IF(초입!W64&lt;&gt;"",CHAR(10)&amp;""&amp;초입!W64,"")&amp;IF(초입!AA64&lt;&gt;"",CHAR(10)&amp;""&amp;초입!AA64,""))</x:f>
        <x:v>특수학급
특수학급
특수학급</x:v>
      </x:c>
      <x:c r="T64" s="3" t="str">
        <x:f>IF(초입!T64="","",""&amp;초입!T64&amp;IF(초입!X64&lt;&gt;"",CHAR(10)&amp;""&amp;초입!X64,"")&amp;IF(초입!AB64&lt;&gt;"",CHAR(10)&amp;""&amp;초입!AB64,""))</x:f>
        <x:v/>
      </x:c>
      <x:c r="U64" s="3" t="str">
        <x:f>IF(초입!U64="","",""&amp;초입!U64&amp;IF(초입!Y64&lt;&gt;"",CHAR(10)&amp;""&amp;초입!Y64,"")&amp;IF(초입!AC64&lt;&gt;"",CHAR(10)&amp;""&amp;초입!AC64,""))</x:f>
        <x:v>0.984
1.2
1.9</x:v>
      </x:c>
      <x:c r="V64" s="3" t="str">
        <x:f>IF(초입!AO64="","",초입!AO64)</x:f>
        <x:v>□ 복지카드: 자폐성장애 중증(~2030.10.22.)</x:v>
      </x:c>
      <x:c r="W64" s="3" t="str">
        <x:f>IF(초입!AP64="","",초입!AP64)</x:f>
        <x:v>내년에 초등학교 입학하는 비장애 자녀와 다른 학교 배치를 희망해 학구 외 학교를 희망함. 보호자 의견서 첨부.</x:v>
      </x:c>
      <x:c r="X64" s="3" t="str">
        <x:f>IF(초입!AD64="","",초입!AD64)</x:f>
        <x:v>010-5910-4061</x:v>
      </x:c>
      <x:c r="Y64" s="3" t="str">
        <x:f>IF(초입!AE64="","",초입!AE64)</x:f>
        <x:v/>
      </x:c>
      <x:c r="Z64" s="3" t="str">
        <x:f>IF(초입!M64="","",초입!M64)</x:f>
        <x:v>경기도 남양주시 백봉로 32, 105동 701동</x:v>
      </x:c>
      <x:c r="AA64" s="7"/>
      <x:c r="AB64" s="7"/>
      <x:c r="AC64" s="7"/>
    </x:row>
    <x:row r="65" spans="1:29" customFormat="1" ht="39.54999999999999715783">
      <x:c r="A65" s="3">
        <x:f>초입!A65</x:f>
        <x:v>62</x:v>
      </x:c>
      <x:c r="B65" s="3" t="s">
        <x:v>194</x:v>
      </x:c>
      <x:c r="C65" s="3" t="str">
        <x:f>IF(초입!H65&lt;&gt;"","O","")</x:f>
        <x:v/>
      </x:c>
      <x:c r="D65" s="3" t="str">
        <x:f>IF(초입!I65&lt;&gt;"","O","")</x:f>
        <x:v>O</x:v>
      </x:c>
      <x:c r="E65" s="3" t="str">
        <x:f>초입!B65</x:f>
        <x:v>노원구 초록어린이집</x:v>
      </x:c>
      <x:c r="F65" s="3" t="str">
        <x:f>IF(초입!C65="","",초입!C65)</x:f>
        <x:v/>
      </x:c>
      <x:c r="G65" s="3">
        <x:f>IF(초입!D65="","",초입!D65)</x:f>
        <x:v>3</x:v>
      </x:c>
      <x:c r="H65" s="3" t="str">
        <x:f>IF(초입!E65="","",초입!E65)</x:f>
        <x:v>이희민</x:v>
      </x:c>
      <x:c r="I65" s="3" t="str">
        <x:f>IF(초입!F65="","",초입!F65)</x:f>
        <x:v>남</x:v>
      </x:c>
      <x:c r="J65" s="3" t="str">
        <x:f>IF(초입!G65="","",초입!G65)</x:f>
        <x:v>2020.03.23.</x:v>
      </x:c>
      <x:c r="K65" s="3" t="str">
        <x:f>IF(초입!J65="","",초입!J65)</x:f>
        <x:v>자폐성장애</x:v>
      </x:c>
      <x:c r="L65" s="3" t="str">
        <x:f>IF(초입!K65="","",초입!K65)</x:f>
        <x:v>자폐성장애</x:v>
      </x:c>
      <x:c r="M65" s="3" t="str">
        <x:f>IF(초입!L65="","",초입!L65)</x:f>
        <x:v>중증</x:v>
      </x:c>
      <x:c r="N65" s="3" t="str">
        <x:f>IF(초입!N65="","",초입!N65)</x:f>
        <x:v>별가람초등학교</x:v>
      </x:c>
      <x:c r="O65" s="3" t="str">
        <x:f>IF(초입!O65="","",초입!O65)</x:f>
        <x:v>특수학급</x:v>
      </x:c>
      <x:c r="P65" s="3" t="str">
        <x:f>IF(초입!P65="","",초입!P65)</x:f>
        <x:v/>
      </x:c>
      <x:c r="Q65" s="3">
        <x:f>IF(초입!Q65="","",초입!Q65)</x:f>
        <x:v>0.010000000000000001</x:v>
      </x:c>
      <x:c r="R65" s="3" t="str">
        <x:f>IF(초입!R65="","","1. "&amp;초입!R65&amp;IF(초입!V65&lt;&gt;"",CHAR(10)&amp;"2. "&amp;초입!V65,"")&amp;IF(초입!Z65&lt;&gt;"",CHAR(10)&amp;"3. "&amp;초입!Z65,""))</x:f>
        <x:v>1. 별가람초등학교
2. 화접초등학교
3. 한별초등학교</x:v>
      </x:c>
      <x:c r="S65" s="3" t="str">
        <x:f>IF(초입!S65="","",""&amp;초입!S65&amp;IF(초입!W65&lt;&gt;"",CHAR(10)&amp;""&amp;초입!W65,"")&amp;IF(초입!AA65&lt;&gt;"",CHAR(10)&amp;""&amp;초입!AA65,""))</x:f>
        <x:v>특수학급
특수학급
특수학급</x:v>
      </x:c>
      <x:c r="T65" s="3" t="str">
        <x:f>IF(초입!T65="","",""&amp;초입!T65&amp;IF(초입!X65&lt;&gt;"",CHAR(10)&amp;""&amp;초입!X65,"")&amp;IF(초입!AB65&lt;&gt;"",CHAR(10)&amp;""&amp;초입!AB65,""))</x:f>
        <x:v/>
      </x:c>
      <x:c r="U65" s="3" t="str">
        <x:f>IF(초입!U65="","",""&amp;초입!U65&amp;IF(초입!Y65&lt;&gt;"",CHAR(10)&amp;""&amp;초입!Y65,"")&amp;IF(초입!AC65&lt;&gt;"",CHAR(10)&amp;""&amp;초입!AC65,""))</x:f>
        <x:v>0.01
1.1
2</x:v>
      </x:c>
      <x:c r="V65" s="3" t="str">
        <x:f>IF(초입!AO65="","",초입!AO65)</x:f>
        <x:v>□ 복지카드: 자폐성장애 중증(~2032.03.31.)</x:v>
      </x:c>
      <x:c r="W65" s="3" t="str">
        <x:f>IF(초입!AP65="","",초입!AP65)</x:f>
        <x:v/>
      </x:c>
      <x:c r="X65" s="3" t="str">
        <x:f>IF(초입!AD65="","",초입!AD65)</x:f>
        <x:v>010-3738-8719</x:v>
      </x:c>
      <x:c r="Y65" s="3" t="str">
        <x:f>IF(초입!AE65="","",초입!AE65)</x:f>
        <x:v>김찬희(어린이집)</x:v>
      </x:c>
      <x:c r="Z65" s="3" t="str">
        <x:f>IF(초입!M65="","",초입!M65)</x:f>
        <x:v>경기도 남양주시 별내3로 159, 2707동 704호</x:v>
      </x:c>
      <x:c r="AA65" s="7"/>
      <x:c r="AB65" s="7"/>
      <x:c r="AC65" s="7"/>
    </x:row>
    <x:row r="66" spans="1:29" customFormat="1" ht="39.54999999999999715783">
      <x:c r="A66" s="3">
        <x:f>초입!A66</x:f>
        <x:v>63</x:v>
      </x:c>
      <x:c r="B66" s="3" t="s">
        <x:v>194</x:v>
      </x:c>
      <x:c r="C66" s="3" t="str">
        <x:f>IF(초입!H66&lt;&gt;"","O","")</x:f>
        <x:v/>
      </x:c>
      <x:c r="D66" s="3" t="str">
        <x:f>IF(초입!I66&lt;&gt;"","O","")</x:f>
        <x:v>O</x:v>
      </x:c>
      <x:c r="E66" s="3" t="str">
        <x:f>초입!B66</x:f>
        <x:v>시립하임어린이집</x:v>
      </x:c>
      <x:c r="F66" s="3" t="str">
        <x:f>IF(초입!C66="","",초입!C66)</x:f>
        <x:v/>
      </x:c>
      <x:c r="G66" s="3">
        <x:f>IF(초입!D66="","",초입!D66)</x:f>
        <x:v>3</x:v>
      </x:c>
      <x:c r="H66" s="3" t="str">
        <x:f>IF(초입!E66="","",초입!E66)</x:f>
        <x:v>권대훈</x:v>
      </x:c>
      <x:c r="I66" s="3" t="str">
        <x:f>IF(초입!F66="","",초입!F66)</x:f>
        <x:v>남</x:v>
      </x:c>
      <x:c r="J66" s="3" t="str">
        <x:f>IF(초입!G66="","",초입!G66)</x:f>
        <x:v>2020.08.04.</x:v>
      </x:c>
      <x:c r="K66" s="3" t="str">
        <x:f>IF(초입!J66="","",초입!J66)</x:f>
        <x:v>자폐성장애</x:v>
      </x:c>
      <x:c r="L66" s="3" t="str">
        <x:f>IF(초입!K66="","",초입!K66)</x:f>
        <x:v/>
      </x:c>
      <x:c r="M66" s="3" t="str">
        <x:f>IF(초입!L66="","",초입!L66)</x:f>
        <x:v/>
      </x:c>
      <x:c r="N66" s="3" t="str">
        <x:f>IF(초입!N66="","",초입!N66)</x:f>
        <x:v>하랑초등학교</x:v>
      </x:c>
      <x:c r="O66" s="3" t="str">
        <x:f>IF(초입!O66="","",초입!O66)</x:f>
        <x:v>특수학급</x:v>
      </x:c>
      <x:c r="P66" s="3" t="str">
        <x:f>IF(초입!P66="","",초입!P66)</x:f>
        <x:v/>
      </x:c>
      <x:c r="Q66" s="3">
        <x:f>IF(초입!Q66="","",초입!Q66)</x:f>
        <x:v>0.246</x:v>
      </x:c>
      <x:c r="R66" s="3" t="str">
        <x:f>IF(초입!R66="","","1. "&amp;초입!R66&amp;IF(초입!V66&lt;&gt;"",CHAR(10)&amp;"2. "&amp;초입!V66,"")&amp;IF(초입!Z66&lt;&gt;"",CHAR(10)&amp;"3. "&amp;초입!Z66,""))</x:f>
        <x:v>1. 하랑초등학교
2. 평동초등학교
3. 구룡초등학교</x:v>
      </x:c>
      <x:c r="S66" s="3" t="str">
        <x:f>IF(초입!S66="","",""&amp;초입!S66&amp;IF(초입!W66&lt;&gt;"",CHAR(10)&amp;""&amp;초입!W66,"")&amp;IF(초입!AA66&lt;&gt;"",CHAR(10)&amp;""&amp;초입!AA66,""))</x:f>
        <x:v>특수학급
특수학급
특수학급</x:v>
      </x:c>
      <x:c r="T66" s="3" t="str">
        <x:f>IF(초입!T66="","",""&amp;초입!T66&amp;IF(초입!X66&lt;&gt;"",CHAR(10)&amp;""&amp;초입!X66,"")&amp;IF(초입!AB66&lt;&gt;"",CHAR(10)&amp;""&amp;초입!AB66,""))</x:f>
        <x:v/>
      </x:c>
      <x:c r="U66" s="3" t="str">
        <x:f>IF(초입!U66="","",""&amp;초입!U66&amp;IF(초입!Y66&lt;&gt;"",CHAR(10)&amp;""&amp;초입!Y66,"")&amp;IF(초입!AC66&lt;&gt;"",CHAR(10)&amp;""&amp;초입!AC66,""))</x:f>
        <x:v>0.246
1
1.3</x:v>
      </x:c>
      <x:c r="V66" s="3" t="str">
        <x:f>IF(초입!AO66="","",초입!AO66)</x:f>
        <x:v>진단평가 필요</x:v>
      </x:c>
      <x:c r="W66" s="3" t="str">
        <x:f>IF(초입!AP66="","",초입!AP66)</x:f>
        <x:v/>
      </x:c>
      <x:c r="X66" s="3" t="str">
        <x:f>IF(초입!AD66="","",초입!AD66)</x:f>
        <x:v>010-4699-4236</x:v>
      </x:c>
      <x:c r="Y66" s="3" t="str">
        <x:f>IF(초입!AE66="","",초입!AE66)</x:f>
        <x:v/>
      </x:c>
      <x:c r="Z66" s="3" t="str">
        <x:f>IF(초입!M66="","",초입!M66)</x:f>
        <x:v>경기도 남양주시 백봉로 32, 126동 2001호</x:v>
      </x:c>
      <x:c r="AA66" s="7"/>
      <x:c r="AB66" s="7"/>
      <x:c r="AC66" s="7"/>
    </x:row>
    <x:row r="67" spans="1:29" customFormat="1" ht="39.54999999999999715783">
      <x:c r="A67" s="3">
        <x:f>초입!A67</x:f>
        <x:v>64</x:v>
      </x:c>
      <x:c r="B67" s="3" t="s">
        <x:v>194</x:v>
      </x:c>
      <x:c r="C67" s="3" t="str">
        <x:f>IF(초입!H67&lt;&gt;"","O","")</x:f>
        <x:v/>
      </x:c>
      <x:c r="D67" s="3" t="str">
        <x:f>IF(초입!I67&lt;&gt;"","O","")</x:f>
        <x:v>O</x:v>
      </x:c>
      <x:c r="E67" s="3" t="str">
        <x:f>초입!B67</x:f>
        <x:v>시립하나어린이집</x:v>
      </x:c>
      <x:c r="F67" s="3" t="str">
        <x:f>IF(초입!C67="","",초입!C67)</x:f>
        <x:v/>
      </x:c>
      <x:c r="G67" s="3">
        <x:f>IF(초입!D67="","",초입!D67)</x:f>
        <x:v>3</x:v>
      </x:c>
      <x:c r="H67" s="3" t="str">
        <x:f>IF(초입!E67="","",초입!E67)</x:f>
        <x:v>김주하</x:v>
      </x:c>
      <x:c r="I67" s="3" t="str">
        <x:f>IF(초입!F67="","",초입!F67)</x:f>
        <x:v>남</x:v>
      </x:c>
      <x:c r="J67" s="3" t="str">
        <x:f>IF(초입!G67="","",초입!G67)</x:f>
        <x:v>2019.03.03.</x:v>
      </x:c>
      <x:c r="K67" s="3" t="str">
        <x:f>IF(초입!J67="","",초입!J67)</x:f>
        <x:v>자폐성장애</x:v>
      </x:c>
      <x:c r="L67" s="3" t="str">
        <x:f>IF(초입!K67="","",초입!K67)</x:f>
        <x:v>자폐성장애</x:v>
      </x:c>
      <x:c r="M67" s="3" t="str">
        <x:f>IF(초입!L67="","",초입!L67)</x:f>
        <x:v>중증</x:v>
      </x:c>
      <x:c r="N67" s="3" t="str">
        <x:f>IF(초입!N67="","",초입!N67)</x:f>
        <x:v>남양주월산초등학교</x:v>
      </x:c>
      <x:c r="O67" s="3" t="str">
        <x:f>IF(초입!O67="","",초입!O67)</x:f>
        <x:v>특수학급</x:v>
      </x:c>
      <x:c r="P67" s="3" t="str">
        <x:f>IF(초입!P67="","",초입!P67)</x:f>
        <x:v/>
      </x:c>
      <x:c r="Q67" s="3">
        <x:f>IF(초입!Q67="","",초입!Q67)</x:f>
        <x:v>0.187</x:v>
      </x:c>
      <x:c r="R67" s="3" t="str">
        <x:f>IF(초입!R67="","","1. "&amp;초입!R67&amp;IF(초입!V67&lt;&gt;"",CHAR(10)&amp;"2. "&amp;초입!V67,"")&amp;IF(초입!Z67&lt;&gt;"",CHAR(10)&amp;"3. "&amp;초입!Z67,""))</x:f>
        <x:v>1. 남양주월산초등학교
2. 마석초등학교
3. 남양주송라초등학교</x:v>
      </x:c>
      <x:c r="S67" s="3" t="str">
        <x:f>IF(초입!S67="","",""&amp;초입!S67&amp;IF(초입!W67&lt;&gt;"",CHAR(10)&amp;""&amp;초입!W67,"")&amp;IF(초입!AA67&lt;&gt;"",CHAR(10)&amp;""&amp;초입!AA67,""))</x:f>
        <x:v>특수학급
특수학급
특수학급</x:v>
      </x:c>
      <x:c r="T67" s="3" t="str">
        <x:f>IF(초입!T67="","",""&amp;초입!T67&amp;IF(초입!X67&lt;&gt;"",CHAR(10)&amp;""&amp;초입!X67,"")&amp;IF(초입!AB67&lt;&gt;"",CHAR(10)&amp;""&amp;초입!AB67,""))</x:f>
        <x:v/>
      </x:c>
      <x:c r="U67" s="3" t="str">
        <x:f>IF(초입!U67="","",""&amp;초입!U67&amp;IF(초입!Y67&lt;&gt;"",CHAR(10)&amp;""&amp;초입!Y67,"")&amp;IF(초입!AC67&lt;&gt;"",CHAR(10)&amp;""&amp;초입!AC67,""))</x:f>
        <x:v>0.187
3.8
4.4</x:v>
      </x:c>
      <x:c r="V67" s="3" t="str">
        <x:f>IF(초입!AO67="","",초입!AO67)</x:f>
        <x:v>□ 복지카드: 자폐성장애 중증(~2039.01.11.)</x:v>
      </x:c>
      <x:c r="W67" s="3" t="str">
        <x:f>IF(초입!AP67="","",초입!AP67)</x:f>
        <x:v>가족관계증명서, 등본 제출(한부모)</x:v>
      </x:c>
      <x:c r="X67" s="3" t="str">
        <x:f>IF(초입!AD67="","",초입!AD67)</x:f>
        <x:v>010-3222-5480</x:v>
      </x:c>
      <x:c r="Y67" s="3" t="str">
        <x:f>IF(초입!AE67="","",초입!AE67)</x:f>
        <x:v/>
      </x:c>
      <x:c r="Z67" s="3" t="str">
        <x:f>IF(초입!M67="","",초입!M67)</x:f>
        <x:v>경기도 남양주시 화도읍 경춘로 2290번길2, 111동103호</x:v>
      </x:c>
      <x:c r="AA67" s="7"/>
      <x:c r="AB67" s="7"/>
      <x:c r="AC67" s="7"/>
    </x:row>
    <x:row r="68" spans="1:29" customFormat="1" ht="39.54999999999999715783">
      <x:c r="A68" s="3">
        <x:f>초입!A68</x:f>
        <x:v>65</x:v>
      </x:c>
      <x:c r="B68" s="3" t="s">
        <x:v>194</x:v>
      </x:c>
      <x:c r="C68" s="3" t="str">
        <x:f>IF(초입!H68&lt;&gt;"","O","")</x:f>
        <x:v/>
      </x:c>
      <x:c r="D68" s="3" t="str">
        <x:f>IF(초입!I68&lt;&gt;"","O","")</x:f>
        <x:v>O</x:v>
      </x:c>
      <x:c r="E68" s="3" t="str">
        <x:f>초입!B68</x:f>
        <x:v>시립하나어린이집</x:v>
      </x:c>
      <x:c r="F68" s="3" t="str">
        <x:f>IF(초입!C68="","",초입!C68)</x:f>
        <x:v/>
      </x:c>
      <x:c r="G68" s="3">
        <x:f>IF(초입!D68="","",초입!D68)</x:f>
        <x:v>3</x:v>
      </x:c>
      <x:c r="H68" s="3" t="str">
        <x:f>IF(초입!E68="","",초입!E68)</x:f>
        <x:v>박시영</x:v>
      </x:c>
      <x:c r="I68" s="3" t="str">
        <x:f>IF(초입!F68="","",초입!F68)</x:f>
        <x:v>여</x:v>
      </x:c>
      <x:c r="J68" s="3" t="str">
        <x:f>IF(초입!G68="","",초입!G68)</x:f>
        <x:v>2018.09.17.</x:v>
      </x:c>
      <x:c r="K68" s="3" t="str">
        <x:f>IF(초입!J68="","",초입!J68)</x:f>
        <x:v>지체장애</x:v>
      </x:c>
      <x:c r="L68" s="3" t="str">
        <x:f>IF(초입!K68="","",초입!K68)</x:f>
        <x:v>뇌병변장애</x:v>
      </x:c>
      <x:c r="M68" s="3" t="str">
        <x:f>IF(초입!L68="","",초입!L68)</x:f>
        <x:v>심한</x:v>
      </x:c>
      <x:c r="N68" s="3" t="str">
        <x:f>IF(초입!N68="","",초입!N68)</x:f>
        <x:v>남양주송라초등학교</x:v>
      </x:c>
      <x:c r="O68" s="3" t="str">
        <x:f>IF(초입!O68="","",초입!O68)</x:f>
        <x:v>특수학급</x:v>
      </x:c>
      <x:c r="P68" s="3" t="str">
        <x:f>IF(초입!P68="","",초입!P68)</x:f>
        <x:v/>
      </x:c>
      <x:c r="Q68" s="3">
        <x:f>IF(초입!Q68="","",초입!Q68)</x:f>
        <x:v>0.29999999999999999</x:v>
      </x:c>
      <x:c r="R68" s="3" t="str">
        <x:f>IF(초입!R68="","","1. "&amp;초입!R68&amp;IF(초입!V68&lt;&gt;"",CHAR(10)&amp;"2. "&amp;초입!V68,"")&amp;IF(초입!Z68&lt;&gt;"",CHAR(10)&amp;"3. "&amp;초입!Z68,""))</x:f>
        <x:v>1. 남양주송라초등학교
2. 마석초등학교
3. 화도초등학교</x:v>
      </x:c>
      <x:c r="S68" s="3" t="str">
        <x:f>IF(초입!S68="","",""&amp;초입!S68&amp;IF(초입!W68&lt;&gt;"",CHAR(10)&amp;""&amp;초입!W68,"")&amp;IF(초입!AA68&lt;&gt;"",CHAR(10)&amp;""&amp;초입!AA68,""))</x:f>
        <x:v>특수학급
특수학급
특수학급</x:v>
      </x:c>
      <x:c r="T68" s="3" t="str">
        <x:f>IF(초입!T68="","",""&amp;초입!T68&amp;IF(초입!X68&lt;&gt;"",CHAR(10)&amp;""&amp;초입!X68,"")&amp;IF(초입!AB68&lt;&gt;"",CHAR(10)&amp;""&amp;초입!AB68,""))</x:f>
        <x:v/>
      </x:c>
      <x:c r="U68" s="3" t="str">
        <x:f>IF(초입!U68="","",""&amp;초입!U68&amp;IF(초입!Y68&lt;&gt;"",CHAR(10)&amp;""&amp;초입!Y68,"")&amp;IF(초입!AC68&lt;&gt;"",CHAR(10)&amp;""&amp;초입!AC68,""))</x:f>
        <x:v>0.3
1.3
1.6</x:v>
      </x:c>
      <x:c r="V68" s="3" t="str">
        <x:f>IF(초입!AO68="","",초입!AO68)</x:f>
        <x:v>□ 장애인증명서: 뇌병변 심한장애</x:v>
      </x:c>
      <x:c r="W68" s="3" t="str">
        <x:f>IF(초입!AP68="","",초입!AP68)</x:f>
        <x:v>경은 기각되면 취학유예 또는 재활 위해 면제 고려</x:v>
      </x:c>
      <x:c r="X68" s="3" t="str">
        <x:f>IF(초입!AD68="","",초입!AD68)</x:f>
        <x:v>010-8610-4533</x:v>
      </x:c>
      <x:c r="Y68" s="3" t="str">
        <x:f>IF(초입!AE68="","",초입!AE68)</x:f>
        <x:v/>
      </x:c>
      <x:c r="Z68" s="3" t="str">
        <x:f>IF(초입!M68="","",초입!M68)</x:f>
        <x:v>경기도 남양주시 화도읍 비룡로 56-8, 105동301호</x:v>
      </x:c>
      <x:c r="AA68" s="7"/>
      <x:c r="AB68" s="7"/>
      <x:c r="AC68" s="7"/>
    </x:row>
    <x:row r="69" spans="1:29" customFormat="1" ht="65.84999999999999431566">
      <x:c r="A69" s="3">
        <x:f>초입!A69</x:f>
        <x:v>66</x:v>
      </x:c>
      <x:c r="B69" s="3" t="s">
        <x:v>194</x:v>
      </x:c>
      <x:c r="C69" s="3" t="str">
        <x:f>IF(초입!H69&lt;&gt;"","O","")</x:f>
        <x:v/>
      </x:c>
      <x:c r="D69" s="3" t="str">
        <x:f>IF(초입!I69&lt;&gt;"","O","")</x:f>
        <x:v>O</x:v>
      </x:c>
      <x:c r="E69" s="3" t="str">
        <x:f>초입!B69</x:f>
        <x:v>시립와부어린이집</x:v>
      </x:c>
      <x:c r="F69" s="3" t="str">
        <x:f>IF(초입!C69="","",초입!C69)</x:f>
        <x:v/>
      </x:c>
      <x:c r="G69" s="3">
        <x:f>IF(초입!D69="","",초입!D69)</x:f>
        <x:v>3</x:v>
      </x:c>
      <x:c r="H69" s="3" t="str">
        <x:f>IF(초입!E69="","",초입!E69)</x:f>
        <x:v>김규리</x:v>
      </x:c>
      <x:c r="I69" s="3" t="str">
        <x:f>IF(초입!F69="","",초입!F69)</x:f>
        <x:v>여</x:v>
      </x:c>
      <x:c r="J69" s="3" t="str">
        <x:f>IF(초입!G69="","",초입!G69)</x:f>
        <x:v>2020.11.29.</x:v>
      </x:c>
      <x:c r="K69" s="3" t="str">
        <x:f>IF(초입!J69="","",초입!J69)</x:f>
        <x:v>지적장애</x:v>
      </x:c>
      <x:c r="L69" s="3" t="str">
        <x:f>IF(초입!K69="","",초입!K69)</x:f>
        <x:v/>
      </x:c>
      <x:c r="M69" s="3" t="str">
        <x:f>IF(초입!L69="","",초입!L69)</x:f>
        <x:v/>
      </x:c>
      <x:c r="N69" s="3" t="str">
        <x:f>IF(초입!N69="","",초입!N69)</x:f>
        <x:v>남양주도곡초등학교</x:v>
      </x:c>
      <x:c r="O69" s="3" t="str">
        <x:f>IF(초입!O69="","",초입!O69)</x:f>
        <x:v>특수학급</x:v>
      </x:c>
      <x:c r="P69" s="3" t="str">
        <x:f>IF(초입!P69="","",초입!P69)</x:f>
        <x:v/>
      </x:c>
      <x:c r="Q69" s="3">
        <x:f>IF(초입!Q69="","",초입!Q69)</x:f>
        <x:v>0.47999999999999998</x:v>
      </x:c>
      <x:c r="R69" s="3" t="str">
        <x:f>IF(초입!R69="","","1. "&amp;초입!R69&amp;IF(초입!V69&lt;&gt;"",CHAR(10)&amp;"2. "&amp;초입!V69,"")&amp;IF(초입!Z69&lt;&gt;"",CHAR(10)&amp;"3. "&amp;초입!Z69,""))</x:f>
        <x:v>1. 남양주도곡초등학교
2. 덕소초등학교
3. 도심초등학교</x:v>
      </x:c>
      <x:c r="S69" s="3" t="str">
        <x:f>IF(초입!S69="","",""&amp;초입!S69&amp;IF(초입!W69&lt;&gt;"",CHAR(10)&amp;""&amp;초입!W69,"")&amp;IF(초입!AA69&lt;&gt;"",CHAR(10)&amp;""&amp;초입!AA69,""))</x:f>
        <x:v>특수학급
특수학급
특수학급</x:v>
      </x:c>
      <x:c r="T69" s="3" t="str">
        <x:f>IF(초입!T69="","",""&amp;초입!T69&amp;IF(초입!X69&lt;&gt;"",CHAR(10)&amp;""&amp;초입!X69,"")&amp;IF(초입!AB69&lt;&gt;"",CHAR(10)&amp;""&amp;초입!AB69,""))</x:f>
        <x:v/>
      </x:c>
      <x:c r="U69" s="3" t="str">
        <x:f>IF(초입!U69="","",""&amp;초입!U69&amp;IF(초입!Y69&lt;&gt;"",CHAR(10)&amp;""&amp;초입!Y69,"")&amp;IF(초입!AC69&lt;&gt;"",CHAR(10)&amp;""&amp;초입!AC69,""))</x:f>
        <x:v>0.48
1.3
1.9</x:v>
      </x:c>
      <x:c r="V69" s="3" t="str">
        <x:f>IF(초입!AO69="","",초입!AO69)</x:f>
        <x:v>※심리평가보고서(2026.05.12.)
□ K-WPPSI-Ⅳ: 전체IQ 53(언어이해 50, 시공간 52, 유동추론 66, 작업기억 52, 처리속도 61/매우 낮음)
□사회성숙도: SA 2세 11개월, SQ 53.69(경도)
□적응행동검사: 표준점수 57(상당히 저조한 수준)</x:v>
      </x:c>
      <x:c r="W69" s="3" t="str">
        <x:f>IF(초입!AP69="","",초입!AP69)</x:f>
        <x:v/>
      </x:c>
      <x:c r="X69" s="3" t="str">
        <x:f>IF(초입!AD69="","",초입!AD69)</x:f>
        <x:v>010-4149-6589</x:v>
      </x:c>
      <x:c r="Y69" s="3" t="str">
        <x:f>IF(초입!AE69="","",초입!AE69)</x:f>
        <x:v/>
      </x:c>
      <x:c r="Z69" s="3" t="str">
        <x:f>IF(초입!M69="","",초입!M69)</x:f>
        <x:v>경기도 남양주시 와부읍 덕소로180, 106동201호</x:v>
      </x:c>
      <x:c r="AA69" s="7"/>
      <x:c r="AB69" s="7"/>
      <x:c r="AC69" s="7"/>
    </x:row>
    <x:row r="70" spans="1:29" customFormat="1" ht="39.54999999999999715783">
      <x:c r="A70" s="3">
        <x:f>초입!A70</x:f>
        <x:v>67</x:v>
      </x:c>
      <x:c r="B70" s="3" t="s">
        <x:v>194</x:v>
      </x:c>
      <x:c r="C70" s="3" t="str">
        <x:f>IF(초입!H70&lt;&gt;"","O","")</x:f>
        <x:v>O</x:v>
      </x:c>
      <x:c r="D70" s="3" t="str">
        <x:f>IF(초입!I70&lt;&gt;"","O","")</x:f>
        <x:v/>
      </x:c>
      <x:c r="E70" s="3" t="str">
        <x:f>초입!B70</x:f>
        <x:v>별가람유치원</x:v>
      </x:c>
      <x:c r="F70" s="3" t="str">
        <x:f>IF(초입!C70="","",초입!C70)</x:f>
        <x:v>특수학급</x:v>
      </x:c>
      <x:c r="G70" s="3">
        <x:f>IF(초입!D70="","",초입!D70)</x:f>
        <x:v>3</x:v>
      </x:c>
      <x:c r="H70" s="3" t="str">
        <x:f>IF(초입!E70="","",초입!E70)</x:f>
        <x:v>김도연</x:v>
      </x:c>
      <x:c r="I70" s="3" t="str">
        <x:f>IF(초입!F70="","",초입!F70)</x:f>
        <x:v>남</x:v>
      </x:c>
      <x:c r="J70" s="3" t="str">
        <x:f>IF(초입!G70="","",초입!G70)</x:f>
        <x:v>2020.06.22.</x:v>
      </x:c>
      <x:c r="K70" s="3" t="str">
        <x:f>IF(초입!J70="","",초입!J70)</x:f>
        <x:v>자폐성장애
(현 발달지체)</x:v>
      </x:c>
      <x:c r="L70" s="3" t="str">
        <x:f>IF(초입!K70="","",초입!K70)</x:f>
        <x:v>자폐성장애</x:v>
      </x:c>
      <x:c r="M70" s="3" t="str">
        <x:f>IF(초입!L70="","",초입!L70)</x:f>
        <x:v>중증</x:v>
      </x:c>
      <x:c r="N70" s="3" t="str">
        <x:f>IF(초입!N70="","",초입!N70)</x:f>
        <x:v>남양주덕송초등학교</x:v>
      </x:c>
      <x:c r="O70" s="3" t="str">
        <x:f>IF(초입!O70="","",초입!O70)</x:f>
        <x:v>특수학급</x:v>
      </x:c>
      <x:c r="P70" s="3" t="str">
        <x:f>IF(초입!P70="","",초입!P70)</x:f>
        <x:v/>
      </x:c>
      <x:c r="Q70" s="3">
        <x:f>IF(초입!Q70="","",초입!Q70)</x:f>
        <x:v>0.66000000000000003</x:v>
      </x:c>
      <x:c r="R70" s="3" t="str">
        <x:f>IF(초입!R70="","","1. "&amp;초입!R70&amp;IF(초입!V70&lt;&gt;"",CHAR(10)&amp;"2. "&amp;초입!V70,"")&amp;IF(초입!Z70&lt;&gt;"",CHAR(10)&amp;"3. "&amp;초입!Z70,""))</x:f>
        <x:v>1. 남양주덕송초등학교
2. 샛별초등학교
3. 별가람초등학교</x:v>
      </x:c>
      <x:c r="S70" s="3" t="str">
        <x:f>IF(초입!S70="","",""&amp;초입!S70&amp;IF(초입!W70&lt;&gt;"",CHAR(10)&amp;""&amp;초입!W70,"")&amp;IF(초입!AA70&lt;&gt;"",CHAR(10)&amp;""&amp;초입!AA70,""))</x:f>
        <x:v>특수학급
특수학급
특수학급</x:v>
      </x:c>
      <x:c r="T70" s="3" t="str">
        <x:f>IF(초입!T70="","",""&amp;초입!T70&amp;IF(초입!X70&lt;&gt;"",CHAR(10)&amp;""&amp;초입!X70,"")&amp;IF(초입!AB70&lt;&gt;"",CHAR(10)&amp;""&amp;초입!AB70,""))</x:f>
        <x:v/>
      </x:c>
      <x:c r="U70" s="3" t="str">
        <x:f>IF(초입!U70="","",""&amp;초입!U70&amp;IF(초입!Y70&lt;&gt;"",CHAR(10)&amp;""&amp;초입!Y70,"")&amp;IF(초입!AC70&lt;&gt;"",CHAR(10)&amp;""&amp;초입!AC70,""))</x:f>
        <x:v>0.66
1.8
1.7</x:v>
      </x:c>
      <x:c r="V70" s="3" t="str">
        <x:f>IF(초입!AO70="","",초입!AO70)</x:f>
        <x:v>□ 복지카드: 자폐성장애 중증(~2029.08.18.)</x:v>
      </x:c>
      <x:c r="W70" s="3" t="str">
        <x:f>IF(초입!AP70="","",초입!AP70)</x:f>
        <x:v>*복지카드 원본대조필 / 주소 교사 확인 / 2,3희망교 순위 변경 / 한셀파일 추가
*수정본 접수. 샛별초 2희망 보호자 의견서 제출</x:v>
      </x:c>
      <x:c r="X70" s="3" t="str">
        <x:f>IF(초입!AD70="","",초입!AD70)</x:f>
        <x:v>010-8570-0151</x:v>
      </x:c>
      <x:c r="Y70" s="3" t="str">
        <x:f>IF(초입!AE70="","",초입!AE70)</x:f>
        <x:v>임경희</x:v>
      </x:c>
      <x:c r="Z70" s="3" t="str">
        <x:f>IF(초입!M70="","",초입!M70)</x:f>
        <x:v>경기도 남양주시 덕송1로 30, 1502동 1304호</x:v>
      </x:c>
      <x:c r="AA70" s="7"/>
      <x:c r="AB70" s="7"/>
      <x:c r="AC70" s="7"/>
    </x:row>
    <x:row r="71" spans="1:29" customFormat="1" ht="26.35000000000000142109">
      <x:c r="A71" s="3">
        <x:f>초입!A71</x:f>
        <x:v>68</x:v>
      </x:c>
      <x:c r="B71" s="3" t="s">
        <x:v>194</x:v>
      </x:c>
      <x:c r="C71" s="3" t="str">
        <x:f>IF(초입!H71&lt;&gt;"","O","")</x:f>
        <x:v>O</x:v>
      </x:c>
      <x:c r="D71" s="3" t="str">
        <x:f>IF(초입!I71&lt;&gt;"","O","")</x:f>
        <x:v/>
      </x:c>
      <x:c r="E71" s="3" t="str">
        <x:f>초입!B71</x:f>
        <x:v>다산새봄초등학교병설유치원</x:v>
      </x:c>
      <x:c r="F71" s="3" t="str">
        <x:f>IF(초입!C71="","",초입!C71)</x:f>
        <x:v>특수학급</x:v>
      </x:c>
      <x:c r="G71" s="3">
        <x:f>IF(초입!D71="","",초입!D71)</x:f>
        <x:v>3</x:v>
      </x:c>
      <x:c r="H71" s="3" t="str">
        <x:f>IF(초입!E71="","",초입!E71)</x:f>
        <x:v>홍아현</x:v>
      </x:c>
      <x:c r="I71" s="3" t="str">
        <x:f>IF(초입!F71="","",초입!F71)</x:f>
        <x:v>여</x:v>
      </x:c>
      <x:c r="J71" s="3" t="str">
        <x:f>IF(초입!G71="","",초입!G71)</x:f>
        <x:v>2020.04.09.</x:v>
      </x:c>
      <x:c r="K71" s="3" t="str">
        <x:f>IF(초입!J71="","",초입!J71)</x:f>
        <x:v>발달지체</x:v>
      </x:c>
      <x:c r="L71" s="3" t="str">
        <x:f>IF(초입!K71="","",초입!K71)</x:f>
        <x:v/>
      </x:c>
      <x:c r="M71" s="3" t="str">
        <x:f>IF(초입!L71="","",초입!L71)</x:f>
        <x:v/>
      </x:c>
      <x:c r="N71" s="3" t="str">
        <x:f>IF(초입!N71="","",초입!N71)</x:f>
        <x:v>다산별빛초등학교</x:v>
      </x:c>
      <x:c r="O71" s="3" t="str">
        <x:f>IF(초입!O71="","",초입!O71)</x:f>
        <x:v>일반학급</x:v>
      </x:c>
      <x:c r="P71" s="3" t="str">
        <x:f>IF(초입!P71="","",초입!P71)</x:f>
        <x:v/>
      </x:c>
      <x:c r="Q71" s="3">
        <x:f>IF(초입!Q71="","",초입!Q71)</x:f>
        <x:v>0.621</x:v>
      </x:c>
      <x:c r="R71" s="3" t="str">
        <x:f>IF(초입!R71="","","1. "&amp;초입!R71&amp;IF(초입!V71&lt;&gt;"",CHAR(10)&amp;"2. "&amp;초입!V71,"")&amp;IF(초입!Z71&lt;&gt;"",CHAR(10)&amp;"3. "&amp;초입!Z71,""))</x:f>
        <x:v>1. 다산별빛초등학교</x:v>
      </x:c>
      <x:c r="S71" s="3" t="str">
        <x:f>IF(초입!S71="","",""&amp;초입!S71&amp;IF(초입!W71&lt;&gt;"",CHAR(10)&amp;""&amp;초입!W71,"")&amp;IF(초입!AA71&lt;&gt;"",CHAR(10)&amp;""&amp;초입!AA71,""))</x:f>
        <x:v>일반학급</x:v>
      </x:c>
      <x:c r="T71" s="3" t="str">
        <x:f>IF(초입!T71="","",""&amp;초입!T71&amp;IF(초입!X71&lt;&gt;"",CHAR(10)&amp;""&amp;초입!X71,"")&amp;IF(초입!AB71&lt;&gt;"",CHAR(10)&amp;""&amp;초입!AB71,""))</x:f>
        <x:v/>
      </x:c>
      <x:c r="U71" s="3" t="str">
        <x:f>IF(초입!U71="","",""&amp;초입!U71&amp;IF(초입!Y71&lt;&gt;"",CHAR(10)&amp;""&amp;초입!Y71,"")&amp;IF(초입!AC71&lt;&gt;"",CHAR(10)&amp;""&amp;초입!AC71,""))</x:f>
        <x:v>0.621</x:v>
      </x:c>
      <x:c r="V71" s="3" t="str">
        <x:f>IF(초입!AO71="","",초입!AO71)</x:f>
        <x:v/>
      </x:c>
      <x:c r="W71" s="3" t="str">
        <x:f>IF(초입!AP71="","",초입!AP71)</x:f>
        <x:v/>
      </x:c>
      <x:c r="X71" s="3" t="str">
        <x:f>IF(초입!AD71="","",초입!AD71)</x:f>
        <x:v>010-3681-1805</x:v>
      </x:c>
      <x:c r="Y71" s="3" t="str">
        <x:f>IF(초입!AE71="","",초입!AE71)</x:f>
        <x:v>황가연</x:v>
      </x:c>
      <x:c r="Z71" s="3" t="str">
        <x:f>IF(초입!M71="","",초입!M71)</x:f>
        <x:v>경기도 남양주시 다산중앙로 82번길 105, 6205-2504</x:v>
      </x:c>
      <x:c r="AA71" s="7"/>
      <x:c r="AB71" s="7"/>
      <x:c r="AC71" s="7"/>
    </x:row>
    <x:row r="72" spans="1:29" customFormat="1" ht="26.35000000000000142109">
      <x:c r="A72" s="3">
        <x:f>초입!A72</x:f>
        <x:v>69</x:v>
      </x:c>
      <x:c r="B72" s="3" t="s">
        <x:v>194</x:v>
      </x:c>
      <x:c r="C72" s="3" t="str">
        <x:f>IF(초입!H72&lt;&gt;"","O","")</x:f>
        <x:v>O</x:v>
      </x:c>
      <x:c r="D72" s="3" t="str">
        <x:f>IF(초입!I72&lt;&gt;"","O","")</x:f>
        <x:v/>
      </x:c>
      <x:c r="E72" s="3" t="str">
        <x:f>초입!B72</x:f>
        <x:v>다산새봄초등학교병설유치원</x:v>
      </x:c>
      <x:c r="F72" s="3" t="str">
        <x:f>IF(초입!C72="","",초입!C72)</x:f>
        <x:v>일반학급</x:v>
      </x:c>
      <x:c r="G72" s="3">
        <x:f>IF(초입!D72="","",초입!D72)</x:f>
        <x:v>3</x:v>
      </x:c>
      <x:c r="H72" s="3" t="str">
        <x:f>IF(초입!E72="","",초입!E72)</x:f>
        <x:v>김유안</x:v>
      </x:c>
      <x:c r="I72" s="3" t="str">
        <x:f>IF(초입!F72="","",초입!F72)</x:f>
        <x:v>남</x:v>
      </x:c>
      <x:c r="J72" s="3" t="str">
        <x:f>IF(초입!G72="","",초입!G72)</x:f>
        <x:v>2020.12.27.</x:v>
      </x:c>
      <x:c r="K72" s="3" t="str">
        <x:f>IF(초입!J72="","",초입!J72)</x:f>
        <x:v>발달지체</x:v>
      </x:c>
      <x:c r="L72" s="3" t="str">
        <x:f>IF(초입!K72="","",초입!K72)</x:f>
        <x:v/>
      </x:c>
      <x:c r="M72" s="3" t="str">
        <x:f>IF(초입!L72="","",초입!L72)</x:f>
        <x:v/>
      </x:c>
      <x:c r="N72" s="3" t="str">
        <x:f>IF(초입!N72="","",초입!N72)</x:f>
        <x:v>다산새봄초등학교</x:v>
      </x:c>
      <x:c r="O72" s="3" t="str">
        <x:f>IF(초입!O72="","",초입!O72)</x:f>
        <x:v>일반학급</x:v>
      </x:c>
      <x:c r="P72" s="3" t="str">
        <x:f>IF(초입!P72="","",초입!P72)</x:f>
        <x:v/>
      </x:c>
      <x:c r="Q72" s="3">
        <x:f>IF(초입!Q72="","",초입!Q72)</x:f>
        <x:v>0.38500000000000001</x:v>
      </x:c>
      <x:c r="R72" s="3" t="str">
        <x:f>IF(초입!R72="","","1. "&amp;초입!R72&amp;IF(초입!V72&lt;&gt;"",CHAR(10)&amp;"2. "&amp;초입!V72,"")&amp;IF(초입!Z72&lt;&gt;"",CHAR(10)&amp;"3. "&amp;초입!Z72,""))</x:f>
        <x:v>1. 다산새봄초등학교</x:v>
      </x:c>
      <x:c r="S72" s="3" t="str">
        <x:f>IF(초입!S72="","",""&amp;초입!S72&amp;IF(초입!W72&lt;&gt;"",CHAR(10)&amp;""&amp;초입!W72,"")&amp;IF(초입!AA72&lt;&gt;"",CHAR(10)&amp;""&amp;초입!AA72,""))</x:f>
        <x:v>일반학급</x:v>
      </x:c>
      <x:c r="T72" s="3" t="str">
        <x:f>IF(초입!T72="","",""&amp;초입!T72&amp;IF(초입!X72&lt;&gt;"",CHAR(10)&amp;""&amp;초입!X72,"")&amp;IF(초입!AB72&lt;&gt;"",CHAR(10)&amp;""&amp;초입!AB72,""))</x:f>
        <x:v/>
      </x:c>
      <x:c r="U72" s="3" t="str">
        <x:f>IF(초입!U72="","",""&amp;초입!U72&amp;IF(초입!Y72&lt;&gt;"",CHAR(10)&amp;""&amp;초입!Y72,"")&amp;IF(초입!AC72&lt;&gt;"",CHAR(10)&amp;""&amp;초입!AC72,""))</x:f>
        <x:v>0.385</x:v>
      </x:c>
      <x:c r="V72" s="3" t="str">
        <x:f>IF(초입!AO72="","",초입!AO72)</x:f>
        <x:v/>
      </x:c>
      <x:c r="W72" s="3" t="str">
        <x:f>IF(초입!AP72="","",초입!AP72)</x:f>
        <x:v>한셀과 PDF 신청교 다름 확인 / 다른 특대자 김해준,박우영 취소</x:v>
      </x:c>
      <x:c r="X72" s="3" t="str">
        <x:f>IF(초입!AD72="","",초입!AD72)</x:f>
        <x:v>010-9809-0905</x:v>
      </x:c>
      <x:c r="Y72" s="3" t="str">
        <x:f>IF(초입!AE72="","",초입!AE72)</x:f>
        <x:v>황가연</x:v>
      </x:c>
      <x:c r="Z72" s="3" t="str">
        <x:f>IF(초입!M72="","",초입!M72)</x:f>
        <x:v>경기도 남양주시 다산중앙로 82번길 12, 5310-201</x:v>
      </x:c>
      <x:c r="AA72" s="7"/>
      <x:c r="AB72" s="7"/>
      <x:c r="AC72" s="7"/>
    </x:row>
    <x:row r="73" spans="1:29" customFormat="1" ht="39.54999999999999715783">
      <x:c r="A73" s="3">
        <x:f>초입!A73</x:f>
        <x:v>70</x:v>
      </x:c>
      <x:c r="B73" s="3" t="s">
        <x:v>194</x:v>
      </x:c>
      <x:c r="C73" s="3" t="str">
        <x:f>IF(초입!H73&lt;&gt;"","O","")</x:f>
        <x:v>O</x:v>
      </x:c>
      <x:c r="D73" s="3" t="str">
        <x:f>IF(초입!I73&lt;&gt;"","O","")</x:f>
        <x:v/>
      </x:c>
      <x:c r="E73" s="3" t="str">
        <x:f>초입!B73</x:f>
        <x:v>다산한강유치원</x:v>
      </x:c>
      <x:c r="F73" s="3" t="str">
        <x:f>IF(초입!C73="","",초입!C73)</x:f>
        <x:v>특수학급</x:v>
      </x:c>
      <x:c r="G73" s="3">
        <x:f>IF(초입!D73="","",초입!D73)</x:f>
        <x:v>3</x:v>
      </x:c>
      <x:c r="H73" s="3" t="str">
        <x:f>IF(초입!E73="","",초입!E73)</x:f>
        <x:v>김태리</x:v>
      </x:c>
      <x:c r="I73" s="3" t="str">
        <x:f>IF(초입!F73="","",초입!F73)</x:f>
        <x:v>남</x:v>
      </x:c>
      <x:c r="J73" s="3" t="str">
        <x:f>IF(초입!G73="","",초입!G73)</x:f>
        <x:v>2020.01.20.</x:v>
      </x:c>
      <x:c r="K73" s="3" t="str">
        <x:f>IF(초입!J73="","",초입!J73)</x:f>
        <x:v>자폐성장애</x:v>
      </x:c>
      <x:c r="L73" s="3" t="str">
        <x:f>IF(초입!K73="","",초입!K73)</x:f>
        <x:v>자폐성·언어장애</x:v>
      </x:c>
      <x:c r="M73" s="3" t="str">
        <x:f>IF(초입!L73="","",초입!L73)</x:f>
        <x:v>중증</x:v>
      </x:c>
      <x:c r="N73" s="3" t="str">
        <x:f>IF(초입!N73="","",초입!N73)</x:f>
        <x:v>다산한강초등학교</x:v>
      </x:c>
      <x:c r="O73" s="3" t="str">
        <x:f>IF(초입!O73="","",초입!O73)</x:f>
        <x:v>특수학급</x:v>
      </x:c>
      <x:c r="P73" s="3" t="str">
        <x:f>IF(초입!P73="","",초입!P73)</x:f>
        <x:v/>
      </x:c>
      <x:c r="Q73" s="3">
        <x:f>IF(초입!Q73="","",초입!Q73)</x:f>
        <x:v>0.23000000000000001</x:v>
      </x:c>
      <x:c r="R73" s="3" t="str">
        <x:f>IF(초입!R73="","","1. "&amp;초입!R73&amp;IF(초입!V73&lt;&gt;"",CHAR(10)&amp;"2. "&amp;초입!V73,"")&amp;IF(초입!Z73&lt;&gt;"",CHAR(10)&amp;"3. "&amp;초입!Z73,""))</x:f>
        <x:v>1. 다산한강초등학교
2. 가운초등학교
3. 양정초등학교</x:v>
      </x:c>
      <x:c r="S73" s="3" t="str">
        <x:f>IF(초입!S73="","",""&amp;초입!S73&amp;IF(초입!W73&lt;&gt;"",CHAR(10)&amp;""&amp;초입!W73,"")&amp;IF(초입!AA73&lt;&gt;"",CHAR(10)&amp;""&amp;초입!AA73,""))</x:f>
        <x:v>특수학급
특수학급
특수학급</x:v>
      </x:c>
      <x:c r="T73" s="3" t="str">
        <x:f>IF(초입!T73="","",""&amp;초입!T73&amp;IF(초입!X73&lt;&gt;"",CHAR(10)&amp;""&amp;초입!X73,"")&amp;IF(초입!AB73&lt;&gt;"",CHAR(10)&amp;""&amp;초입!AB73,""))</x:f>
        <x:v/>
      </x:c>
      <x:c r="U73" s="3" t="str">
        <x:f>IF(초입!U73="","",""&amp;초입!U73&amp;IF(초입!Y73&lt;&gt;"",CHAR(10)&amp;""&amp;초입!Y73,"")&amp;IF(초입!AC73&lt;&gt;"",CHAR(10)&amp;""&amp;초입!AC73,""))</x:f>
        <x:v>0.23
1.8
2.3</x:v>
      </x:c>
      <x:c r="V73" s="3" t="str">
        <x:f>IF(초입!AO73="","",초입!AO73)</x:f>
        <x:v>□ 복지카드: 자폐성,언어장애 중증(~2031.10.14.)</x:v>
      </x:c>
      <x:c r="W73" s="3" t="str">
        <x:f>IF(초입!AP73="","",초입!AP73)</x:f>
        <x:v/>
      </x:c>
      <x:c r="X73" s="3" t="str">
        <x:f>IF(초입!AD73="","",초입!AD73)</x:f>
        <x:v>010-8504-2941</x:v>
      </x:c>
      <x:c r="Y73" s="3" t="str">
        <x:f>IF(초입!AE73="","",초입!AE73)</x:f>
        <x:v>김해지</x:v>
      </x:c>
      <x:c r="Z73" s="3" t="str">
        <x:f>IF(초입!M73="","",초입!M73)</x:f>
        <x:v>경기도 남양주시 다산지금로 146번길 117, 7511-1901</x:v>
      </x:c>
      <x:c r="AA73" s="7"/>
      <x:c r="AB73" s="7"/>
      <x:c r="AC73" s="7"/>
    </x:row>
    <x:row r="74" spans="1:29" customFormat="1" ht="39.54999999999999715783">
      <x:c r="A74" s="3">
        <x:f>초입!A74</x:f>
        <x:v>71</x:v>
      </x:c>
      <x:c r="B74" s="3" t="s">
        <x:v>194</x:v>
      </x:c>
      <x:c r="C74" s="3" t="str">
        <x:f>IF(초입!H74&lt;&gt;"","O","")</x:f>
        <x:v>O</x:v>
      </x:c>
      <x:c r="D74" s="3" t="str">
        <x:f>IF(초입!I74&lt;&gt;"","O","")</x:f>
        <x:v/>
      </x:c>
      <x:c r="E74" s="3" t="str">
        <x:f>초입!B74</x:f>
        <x:v>다산한강유치원</x:v>
      </x:c>
      <x:c r="F74" s="3" t="str">
        <x:f>IF(초입!C74="","",초입!C74)</x:f>
        <x:v>특수학급</x:v>
      </x:c>
      <x:c r="G74" s="3">
        <x:f>IF(초입!D74="","",초입!D74)</x:f>
        <x:v>3</x:v>
      </x:c>
      <x:c r="H74" s="3" t="str">
        <x:f>IF(초입!E74="","",초입!E74)</x:f>
        <x:v>이해빈</x:v>
      </x:c>
      <x:c r="I74" s="3" t="str">
        <x:f>IF(초입!F74="","",초입!F74)</x:f>
        <x:v>여</x:v>
      </x:c>
      <x:c r="J74" s="3" t="str">
        <x:f>IF(초입!G74="","",초입!G74)</x:f>
        <x:v>2020.05.13.</x:v>
      </x:c>
      <x:c r="K74" s="3" t="str">
        <x:f>IF(초입!J74="","",초입!J74)</x:f>
        <x:v>자폐성장애
(현 발달지체)</x:v>
      </x:c>
      <x:c r="L74" s="3" t="str">
        <x:f>IF(초입!K74="","",초입!K74)</x:f>
        <x:v>자폐성장애</x:v>
      </x:c>
      <x:c r="M74" s="3" t="str">
        <x:f>IF(초입!L74="","",초입!L74)</x:f>
        <x:v>중증</x:v>
      </x:c>
      <x:c r="N74" s="3" t="str">
        <x:f>IF(초입!N74="","",초입!N74)</x:f>
        <x:v>다산한강초등학교</x:v>
      </x:c>
      <x:c r="O74" s="3" t="str">
        <x:f>IF(초입!O74="","",초입!O74)</x:f>
        <x:v>특수학급</x:v>
      </x:c>
      <x:c r="P74" s="3" t="str">
        <x:f>IF(초입!P74="","",초입!P74)</x:f>
        <x:v/>
      </x:c>
      <x:c r="Q74" s="3">
        <x:f>IF(초입!Q74="","",초입!Q74)</x:f>
        <x:v>0.035999999999999999</x:v>
      </x:c>
      <x:c r="R74" s="3" t="str">
        <x:f>IF(초입!R74="","","1. "&amp;초입!R74&amp;IF(초입!V74&lt;&gt;"",CHAR(10)&amp;"2. "&amp;초입!V74,"")&amp;IF(초입!Z74&lt;&gt;"",CHAR(10)&amp;"3. "&amp;초입!Z74,""))</x:f>
        <x:v>1. 다산한강초등학교
2. 남양주양정초등학교
3. 도농초등학교</x:v>
      </x:c>
      <x:c r="S74" s="3" t="str">
        <x:f>IF(초입!S74="","",""&amp;초입!S74&amp;IF(초입!W74&lt;&gt;"",CHAR(10)&amp;""&amp;초입!W74,"")&amp;IF(초입!AA74&lt;&gt;"",CHAR(10)&amp;""&amp;초입!AA74,""))</x:f>
        <x:v>특수학급
특수학급
특수학급</x:v>
      </x:c>
      <x:c r="T74" s="3" t="str">
        <x:f>IF(초입!T74="","",""&amp;초입!T74&amp;IF(초입!X74&lt;&gt;"",CHAR(10)&amp;""&amp;초입!X74,"")&amp;IF(초입!AB74&lt;&gt;"",CHAR(10)&amp;""&amp;초입!AB74,""))</x:f>
        <x:v/>
      </x:c>
      <x:c r="U74" s="3" t="str">
        <x:f>IF(초입!U74="","",""&amp;초입!U74&amp;IF(초입!Y74&lt;&gt;"",CHAR(10)&amp;""&amp;초입!Y74,"")&amp;IF(초입!AC74&lt;&gt;"",CHAR(10)&amp;""&amp;초입!AC74,""))</x:f>
        <x:v>0.036
2.4
3</x:v>
      </x:c>
      <x:c r="V74" s="3" t="str">
        <x:f>IF(초입!AO74="","",초입!AO74)</x:f>
        <x:v>□ 복지카드: 자폐성장애 중증(~2032.02.03.)</x:v>
      </x:c>
      <x:c r="W74" s="3" t="str">
        <x:f>IF(초입!AP74="","",초입!AP74)</x:f>
        <x:v>근거리 가운초, 양정초 순</x:v>
      </x:c>
      <x:c r="X74" s="3" t="str">
        <x:f>IF(초입!AD74="","",초입!AD74)</x:f>
        <x:v>010-5377-5204</x:v>
      </x:c>
      <x:c r="Y74" s="3" t="str">
        <x:f>IF(초입!AE74="","",초입!AE74)</x:f>
        <x:v>김해지</x:v>
      </x:c>
      <x:c r="Z74" s="3" t="str">
        <x:f>IF(초입!M74="","",초입!M74)</x:f>
        <x:v>경기도 남양주시 다산지금로 146번길 117, 7502-2902</x:v>
      </x:c>
      <x:c r="AA74" s="7"/>
      <x:c r="AB74" s="7"/>
      <x:c r="AC74" s="7"/>
    </x:row>
    <x:row r="75" spans="1:29" customFormat="1" ht="39.54999999999999715783">
      <x:c r="A75" s="3">
        <x:f>초입!A75</x:f>
        <x:v>72</x:v>
      </x:c>
      <x:c r="B75" s="3" t="s">
        <x:v>194</x:v>
      </x:c>
      <x:c r="C75" s="3" t="str">
        <x:f>IF(초입!H75&lt;&gt;"","O","")</x:f>
        <x:v>O</x:v>
      </x:c>
      <x:c r="D75" s="3" t="str">
        <x:f>IF(초입!I75&lt;&gt;"","O","")</x:f>
        <x:v/>
      </x:c>
      <x:c r="E75" s="3" t="str">
        <x:f>초입!B75</x:f>
        <x:v>다산한강유치원</x:v>
      </x:c>
      <x:c r="F75" s="3" t="str">
        <x:f>IF(초입!C75="","",초입!C75)</x:f>
        <x:v>특수학급</x:v>
      </x:c>
      <x:c r="G75" s="3">
        <x:f>IF(초입!D75="","",초입!D75)</x:f>
        <x:v>3</x:v>
      </x:c>
      <x:c r="H75" s="3" t="str">
        <x:f>IF(초입!E75="","",초입!E75)</x:f>
        <x:v>최모건</x:v>
      </x:c>
      <x:c r="I75" s="3" t="str">
        <x:f>IF(초입!F75="","",초입!F75)</x:f>
        <x:v>남</x:v>
      </x:c>
      <x:c r="J75" s="3" t="str">
        <x:f>IF(초입!G75="","",초입!G75)</x:f>
        <x:v>2020.10.22.</x:v>
      </x:c>
      <x:c r="K75" s="3" t="str">
        <x:f>IF(초입!J75="","",초입!J75)</x:f>
        <x:v>발달지체</x:v>
      </x:c>
      <x:c r="L75" s="3" t="str">
        <x:f>IF(초입!K75="","",초입!K75)</x:f>
        <x:v/>
      </x:c>
      <x:c r="M75" s="3" t="str">
        <x:f>IF(초입!L75="","",초입!L75)</x:f>
        <x:v/>
      </x:c>
      <x:c r="N75" s="3" t="str">
        <x:f>IF(초입!N75="","",초입!N75)</x:f>
        <x:v>다산한강초등학교</x:v>
      </x:c>
      <x:c r="O75" s="3" t="str">
        <x:f>IF(초입!O75="","",초입!O75)</x:f>
        <x:v>특수학급</x:v>
      </x:c>
      <x:c r="P75" s="3" t="str">
        <x:f>IF(초입!P75="","",초입!P75)</x:f>
        <x:v/>
      </x:c>
      <x:c r="Q75" s="3">
        <x:f>IF(초입!Q75="","",초입!Q75)</x:f>
        <x:v>0.56000000000000005</x:v>
      </x:c>
      <x:c r="R75" s="3" t="str">
        <x:f>IF(초입!R75="","","1. "&amp;초입!R75&amp;IF(초입!V75&lt;&gt;"",CHAR(10)&amp;"2. "&amp;초입!V75,"")&amp;IF(초입!Z75&lt;&gt;"",CHAR(10)&amp;"3. "&amp;초입!Z75,""))</x:f>
        <x:v>1. 다산한강초등학교
2. 남양주양정초등학교
3. 가운초등학교</x:v>
      </x:c>
      <x:c r="S75" s="3" t="str">
        <x:f>IF(초입!S75="","",""&amp;초입!S75&amp;IF(초입!W75&lt;&gt;"",CHAR(10)&amp;""&amp;초입!W75,"")&amp;IF(초입!AA75&lt;&gt;"",CHAR(10)&amp;""&amp;초입!AA75,""))</x:f>
        <x:v>특수학급
특수학급
특수학급</x:v>
      </x:c>
      <x:c r="T75" s="3" t="str">
        <x:f>IF(초입!T75="","",""&amp;초입!T75&amp;IF(초입!X75&lt;&gt;"",CHAR(10)&amp;""&amp;초입!X75,"")&amp;IF(초입!AB75&lt;&gt;"",CHAR(10)&amp;""&amp;초입!AB75,""))</x:f>
        <x:v/>
      </x:c>
      <x:c r="U75" s="3" t="str">
        <x:f>IF(초입!U75="","",""&amp;초입!U75&amp;IF(초입!Y75&lt;&gt;"",CHAR(10)&amp;""&amp;초입!Y75,"")&amp;IF(초입!AC75&lt;&gt;"",CHAR(10)&amp;""&amp;초입!AC75,""))</x:f>
        <x:v>0.56
1.8
3</x:v>
      </x:c>
      <x:c r="V75" s="3" t="str">
        <x:f>IF(초입!AO75="","",초입!AO75)</x:f>
        <x:v/>
      </x:c>
      <x:c r="W75" s="3" t="str">
        <x:f>IF(초입!AP75="","",초입!AP75)</x:f>
        <x:v>3순위 거리 애매... 가운,다산별빛,금교</x:v>
      </x:c>
      <x:c r="X75" s="3" t="str">
        <x:f>IF(초입!AD75="","",초입!AD75)</x:f>
        <x:v>010-7180-0903</x:v>
      </x:c>
      <x:c r="Y75" s="3" t="str">
        <x:f>IF(초입!AE75="","",초입!AE75)</x:f>
        <x:v>김해지</x:v>
      </x:c>
      <x:c r="Z75" s="3" t="str">
        <x:f>IF(초입!M75="","",초입!M75)</x:f>
        <x:v>경기도 남양주시 다산지금로145번길 15, 7303동 2104호</x:v>
      </x:c>
      <x:c r="AA75" s="7"/>
      <x:c r="AB75" s="7"/>
      <x:c r="AC75" s="7"/>
    </x:row>
    <x:row r="76" spans="1:29" customFormat="1" ht="26.35000000000000142109">
      <x:c r="A76" s="3">
        <x:f>초입!A76</x:f>
        <x:v>73</x:v>
      </x:c>
      <x:c r="B76" s="3" t="s">
        <x:v>194</x:v>
      </x:c>
      <x:c r="C76" s="3" t="str">
        <x:f>IF(초입!H76&lt;&gt;"","O","")</x:f>
        <x:v>O</x:v>
      </x:c>
      <x:c r="D76" s="3" t="str">
        <x:f>IF(초입!I76&lt;&gt;"","O","")</x:f>
        <x:v/>
      </x:c>
      <x:c r="E76" s="3" t="str">
        <x:f>초입!B76</x:f>
        <x:v>다산한강유치원</x:v>
      </x:c>
      <x:c r="F76" s="3" t="str">
        <x:f>IF(초입!C76="","",초입!C76)</x:f>
        <x:v>일반학급</x:v>
      </x:c>
      <x:c r="G76" s="3">
        <x:f>IF(초입!D76="","",초입!D76)</x:f>
        <x:v>3</x:v>
      </x:c>
      <x:c r="H76" s="3" t="str">
        <x:f>IF(초입!E76="","",초입!E76)</x:f>
        <x:v>김수영</x:v>
      </x:c>
      <x:c r="I76" s="3" t="str">
        <x:f>IF(초입!F76="","",초입!F76)</x:f>
        <x:v>여</x:v>
      </x:c>
      <x:c r="J76" s="3" t="str">
        <x:f>IF(초입!G76="","",초입!G76)</x:f>
        <x:v>2020.12.03.</x:v>
      </x:c>
      <x:c r="K76" s="3" t="str">
        <x:f>IF(초입!J76="","",초입!J76)</x:f>
        <x:v>발달지체</x:v>
      </x:c>
      <x:c r="L76" s="3" t="str">
        <x:f>IF(초입!K76="","",초입!K76)</x:f>
        <x:v/>
      </x:c>
      <x:c r="M76" s="3" t="str">
        <x:f>IF(초입!L76="","",초입!L76)</x:f>
        <x:v/>
      </x:c>
      <x:c r="N76" s="3" t="str">
        <x:f>IF(초입!N76="","",초입!N76)</x:f>
        <x:v>다산한강초등학교</x:v>
      </x:c>
      <x:c r="O76" s="3" t="str">
        <x:f>IF(초입!O76="","",초입!O76)</x:f>
        <x:v>일반학급</x:v>
      </x:c>
      <x:c r="P76" s="3" t="str">
        <x:f>IF(초입!P76="","",초입!P76)</x:f>
        <x:v/>
      </x:c>
      <x:c r="Q76" s="3">
        <x:f>IF(초입!Q76="","",초입!Q76)</x:f>
        <x:v>0.91000000000000003</x:v>
      </x:c>
      <x:c r="R76" s="3" t="str">
        <x:f>IF(초입!R76="","","1. "&amp;초입!R76&amp;IF(초입!V76&lt;&gt;"",CHAR(10)&amp;"2. "&amp;초입!V76,"")&amp;IF(초입!Z76&lt;&gt;"",CHAR(10)&amp;"3. "&amp;초입!Z76,""))</x:f>
        <x:v>1. 다산한강초등학교</x:v>
      </x:c>
      <x:c r="S76" s="3" t="str">
        <x:f>IF(초입!S76="","",""&amp;초입!S76&amp;IF(초입!W76&lt;&gt;"",CHAR(10)&amp;""&amp;초입!W76,"")&amp;IF(초입!AA76&lt;&gt;"",CHAR(10)&amp;""&amp;초입!AA76,""))</x:f>
        <x:v>일반학급</x:v>
      </x:c>
      <x:c r="T76" s="3" t="str">
        <x:f>IF(초입!T76="","",""&amp;초입!T76&amp;IF(초입!X76&lt;&gt;"",CHAR(10)&amp;""&amp;초입!X76,"")&amp;IF(초입!AB76&lt;&gt;"",CHAR(10)&amp;""&amp;초입!AB76,""))</x:f>
        <x:v/>
      </x:c>
      <x:c r="U76" s="3" t="str">
        <x:f>IF(초입!U76="","",""&amp;초입!U76&amp;IF(초입!Y76&lt;&gt;"",CHAR(10)&amp;""&amp;초입!Y76,"")&amp;IF(초입!AC76&lt;&gt;"",CHAR(10)&amp;""&amp;초입!AC76,""))</x:f>
        <x:v>0.91</x:v>
      </x:c>
      <x:c r="V76" s="3" t="str">
        <x:f>IF(초입!AO76="","",초입!AO76)</x:f>
        <x:v/>
      </x:c>
      <x:c r="W76" s="3" t="str">
        <x:f>IF(초입!AP76="","",초입!AP76)</x:f>
        <x:v>이사 예정</x:v>
      </x:c>
      <x:c r="X76" s="3" t="str">
        <x:f>IF(초입!AD76="","",초입!AD76)</x:f>
        <x:v>010-5303-0083</x:v>
      </x:c>
      <x:c r="Y76" s="3" t="str">
        <x:f>IF(초입!AE76="","",초입!AE76)</x:f>
        <x:v>김해지</x:v>
      </x:c>
      <x:c r="Z76" s="3" t="str">
        <x:f>IF(초입!M76="","",초입!M76)</x:f>
        <x:v xml:space="preserve">경기도 남양주시 다산지금로146번길 100, 7602동 2802호 </x:v>
      </x:c>
      <x:c r="AA76" s="7"/>
      <x:c r="AB76" s="7"/>
      <x:c r="AC76" s="7"/>
    </x:row>
    <x:row r="77" spans="1:29" customFormat="1" ht="39.54999999999999715783">
      <x:c r="A77" s="3">
        <x:f>초입!A77</x:f>
        <x:v>74</x:v>
      </x:c>
      <x:c r="B77" s="3" t="s">
        <x:v>194</x:v>
      </x:c>
      <x:c r="C77" s="3" t="str">
        <x:f>IF(초입!H77&lt;&gt;"","O","")</x:f>
        <x:v>O</x:v>
      </x:c>
      <x:c r="D77" s="3" t="str">
        <x:f>IF(초입!I77&lt;&gt;"","O","")</x:f>
        <x:v/>
      </x:c>
      <x:c r="E77" s="3" t="str">
        <x:f>초입!B77</x:f>
        <x:v>갈매초등학교병설유치원</x:v>
      </x:c>
      <x:c r="F77" s="3" t="str">
        <x:f>IF(초입!C77="","",초입!C77)</x:f>
        <x:v>특수학급</x:v>
      </x:c>
      <x:c r="G77" s="3">
        <x:f>IF(초입!D77="","",초입!D77)</x:f>
        <x:v>3</x:v>
      </x:c>
      <x:c r="H77" s="3" t="str">
        <x:f>IF(초입!E77="","",초입!E77)</x:f>
        <x:v>이태훈</x:v>
      </x:c>
      <x:c r="I77" s="3" t="str">
        <x:f>IF(초입!F77="","",초입!F77)</x:f>
        <x:v>남</x:v>
      </x:c>
      <x:c r="J77" s="3" t="str">
        <x:f>IF(초입!G77="","",초입!G77)</x:f>
        <x:v>2020.04.13.</x:v>
      </x:c>
      <x:c r="K77" s="3" t="str">
        <x:f>IF(초입!J77="","",초입!J77)</x:f>
        <x:v>자폐성장애</x:v>
      </x:c>
      <x:c r="L77" s="3" t="str">
        <x:f>IF(초입!K77="","",초입!K77)</x:f>
        <x:v>자폐성장애</x:v>
      </x:c>
      <x:c r="M77" s="3" t="str">
        <x:f>IF(초입!L77="","",초입!L77)</x:f>
        <x:v>중증</x:v>
      </x:c>
      <x:c r="N77" s="3" t="str">
        <x:f>IF(초입!N77="","",초입!N77)</x:f>
        <x:v>갈매초등학교</x:v>
      </x:c>
      <x:c r="O77" s="3" t="str">
        <x:f>IF(초입!O77="","",초입!O77)</x:f>
        <x:v>특수학급</x:v>
      </x:c>
      <x:c r="P77" s="3" t="str">
        <x:f>IF(초입!P77="","",초입!P77)</x:f>
        <x:v/>
      </x:c>
      <x:c r="Q77" s="3">
        <x:f>IF(초입!Q77="","",초입!Q77)</x:f>
        <x:v>0.41399999999999998</x:v>
      </x:c>
      <x:c r="R77" s="3" t="str">
        <x:f>IF(초입!R77="","","1. "&amp;초입!R77&amp;IF(초입!V77&lt;&gt;"",CHAR(10)&amp;"2. "&amp;초입!V77,"")&amp;IF(초입!Z77&lt;&gt;"",CHAR(10)&amp;"3. "&amp;초입!Z77,""))</x:f>
        <x:v>1. 갈매초등학교
2. 산마루초등학교
3. 한별초등학교</x:v>
      </x:c>
      <x:c r="S77" s="3" t="str">
        <x:f>IF(초입!S77="","",""&amp;초입!S77&amp;IF(초입!W77&lt;&gt;"",CHAR(10)&amp;""&amp;초입!W77,"")&amp;IF(초입!AA77&lt;&gt;"",CHAR(10)&amp;""&amp;초입!AA77,""))</x:f>
        <x:v>특수학급
특수학급
특수학급</x:v>
      </x:c>
      <x:c r="T77" s="3" t="str">
        <x:f>IF(초입!T77="","",""&amp;초입!T77&amp;IF(초입!X77&lt;&gt;"",CHAR(10)&amp;""&amp;초입!X77,"")&amp;IF(초입!AB77&lt;&gt;"",CHAR(10)&amp;""&amp;초입!AB77,""))</x:f>
        <x:v/>
      </x:c>
      <x:c r="U77" s="3" t="str">
        <x:f>IF(초입!U77="","",""&amp;초입!U77&amp;IF(초입!Y77&lt;&gt;"",CHAR(10)&amp;""&amp;초입!Y77,"")&amp;IF(초입!AC77&lt;&gt;"",CHAR(10)&amp;""&amp;초입!AC77,""))</x:f>
        <x:v>0.414
1.1
3.4</x:v>
      </x:c>
      <x:c r="V77" s="3" t="str">
        <x:f>IF(초입!AO77="","",초입!AO77)</x:f>
        <x:v>□ 복지카드: 자폐성장애 중증(~2032.03.16.)</x:v>
      </x:c>
      <x:c r="W77" s="3" t="str">
        <x:f>IF(초입!AP77="","",초입!AP77)</x:f>
        <x:v>3희망교 한별초로 변경</x:v>
      </x:c>
      <x:c r="X77" s="3" t="str">
        <x:f>IF(초입!AD77="","",초입!AD77)</x:f>
        <x:v>010-8962-0166</x:v>
      </x:c>
      <x:c r="Y77" s="3" t="str">
        <x:f>IF(초입!AE77="","",초입!AE77)</x:f>
        <x:v>이신애</x:v>
      </x:c>
      <x:c r="Z77" s="3" t="str">
        <x:f>IF(초입!M77="","",초입!M77)</x:f>
        <x:v>경기도 구리시 갈매중앙로 16, 701-2402</x:v>
      </x:c>
      <x:c r="AA77" s="7"/>
      <x:c r="AB77" s="7"/>
      <x:c r="AC77" s="7"/>
    </x:row>
    <x:row r="78" spans="1:29" customFormat="1" ht="39.54999999999999715783">
      <x:c r="A78" s="3">
        <x:f>초입!A78</x:f>
        <x:v>75</x:v>
      </x:c>
      <x:c r="B78" s="3" t="s">
        <x:v>194</x:v>
      </x:c>
      <x:c r="C78" s="3" t="str">
        <x:f>IF(초입!H78&lt;&gt;"","O","")</x:f>
        <x:v>O</x:v>
      </x:c>
      <x:c r="D78" s="3" t="str">
        <x:f>IF(초입!I78&lt;&gt;"","O","")</x:f>
        <x:v/>
      </x:c>
      <x:c r="E78" s="3" t="str">
        <x:f>초입!B78</x:f>
        <x:v>오남초등학교병설유치원</x:v>
      </x:c>
      <x:c r="F78" s="3" t="str">
        <x:f>IF(초입!C78="","",초입!C78)</x:f>
        <x:v>특수학급</x:v>
      </x:c>
      <x:c r="G78" s="3">
        <x:f>IF(초입!D78="","",초입!D78)</x:f>
        <x:v>3</x:v>
      </x:c>
      <x:c r="H78" s="3" t="str">
        <x:f>IF(초입!E78="","",초입!E78)</x:f>
        <x:v>김지혜</x:v>
      </x:c>
      <x:c r="I78" s="3" t="str">
        <x:f>IF(초입!F78="","",초입!F78)</x:f>
        <x:v>여</x:v>
      </x:c>
      <x:c r="J78" s="3" t="str">
        <x:f>IF(초입!G78="","",초입!G78)</x:f>
        <x:v>2020.04.18.</x:v>
      </x:c>
      <x:c r="K78" s="3" t="str">
        <x:f>IF(초입!J78="","",초입!J78)</x:f>
        <x:v>지적장애
(현 발달지체)</x:v>
      </x:c>
      <x:c r="L78" s="3" t="str">
        <x:f>IF(초입!K78="","",초입!K78)</x:f>
        <x:v>지적장애</x:v>
      </x:c>
      <x:c r="M78" s="3" t="str">
        <x:f>IF(초입!L78="","",초입!L78)</x:f>
        <x:v>중증</x:v>
      </x:c>
      <x:c r="N78" s="3" t="str">
        <x:f>IF(초입!N78="","",초입!N78)</x:f>
        <x:v>오남초등학교</x:v>
      </x:c>
      <x:c r="O78" s="3" t="str">
        <x:f>IF(초입!O78="","",초입!O78)</x:f>
        <x:v>특수학급</x:v>
      </x:c>
      <x:c r="P78" s="3" t="str">
        <x:f>IF(초입!P78="","",초입!P78)</x:f>
        <x:v/>
      </x:c>
      <x:c r="Q78" s="3">
        <x:f>IF(초입!Q78="","",초입!Q78)</x:f>
        <x:v>1</x:v>
      </x:c>
      <x:c r="R78" s="3" t="str">
        <x:f>IF(초입!R78="","","1. "&amp;초입!R78&amp;IF(초입!V78&lt;&gt;"",CHAR(10)&amp;"2. "&amp;초입!V78,"")&amp;IF(초입!Z78&lt;&gt;"",CHAR(10)&amp;"3. "&amp;초입!Z78,""))</x:f>
        <x:v>1. 오남초등학교
2. 어람초등학교
3. 양지초등학교</x:v>
      </x:c>
      <x:c r="S78" s="3" t="str">
        <x:f>IF(초입!S78="","",""&amp;초입!S78&amp;IF(초입!W78&lt;&gt;"",CHAR(10)&amp;""&amp;초입!W78,"")&amp;IF(초입!AA78&lt;&gt;"",CHAR(10)&amp;""&amp;초입!AA78,""))</x:f>
        <x:v>특수학급
특수학급
특수학급</x:v>
      </x:c>
      <x:c r="T78" s="3" t="str">
        <x:f>IF(초입!T78="","",""&amp;초입!T78&amp;IF(초입!X78&lt;&gt;"",CHAR(10)&amp;""&amp;초입!X78,"")&amp;IF(초입!AB78&lt;&gt;"",CHAR(10)&amp;""&amp;초입!AB78,""))</x:f>
        <x:v/>
      </x:c>
      <x:c r="U78" s="3" t="str">
        <x:f>IF(초입!U78="","",""&amp;초입!U78&amp;IF(초입!Y78&lt;&gt;"",CHAR(10)&amp;""&amp;초입!Y78,"")&amp;IF(초입!AC78&lt;&gt;"",CHAR(10)&amp;""&amp;초입!AC78,""))</x:f>
        <x:v>1
1.1
2.4</x:v>
      </x:c>
      <x:c r="V78" s="3" t="str">
        <x:f>IF(초입!AO78="","",초입!AO78)</x:f>
        <x:v>□ 복지카드: 지적장애 중증(~2030.12.22.)</x:v>
      </x:c>
      <x:c r="W78" s="3" t="str">
        <x:f>IF(초입!AP78="","",초입!AP78)</x:f>
        <x:v>동생이 오남초병유 재원. 초등학교도 학구인 오남초에 배치 받아야 등하원 용이. 의견서 및 증빙서류 제출</x:v>
      </x:c>
      <x:c r="X78" s="3" t="str">
        <x:f>IF(초입!AD78="","",초입!AD78)</x:f>
        <x:v>010-9477-5341</x:v>
      </x:c>
      <x:c r="Y78" s="3" t="str">
        <x:f>IF(초입!AE78="","",초입!AE78)</x:f>
        <x:v>우미란</x:v>
      </x:c>
      <x:c r="Z78" s="3" t="str">
        <x:f>IF(초입!M78="","",초입!M78)</x:f>
        <x:v>경기도 남양주시 오남읍 진건오남로631, 601-305</x:v>
      </x:c>
      <x:c r="AA78" s="7"/>
      <x:c r="AB78" s="7"/>
      <x:c r="AC78" s="7"/>
    </x:row>
    <x:row r="79" spans="1:29" customFormat="1" ht="79.04999999999999715783">
      <x:c r="A79" s="3">
        <x:f>초입!A79</x:f>
        <x:v>76</x:v>
      </x:c>
      <x:c r="B79" s="3" t="s">
        <x:v>194</x:v>
      </x:c>
      <x:c r="C79" s="3" t="str">
        <x:f>IF(초입!H79&lt;&gt;"","O","")</x:f>
        <x:v>O</x:v>
      </x:c>
      <x:c r="D79" s="3" t="str">
        <x:f>IF(초입!I79&lt;&gt;"","O","")</x:f>
        <x:v/>
      </x:c>
      <x:c r="E79" s="3" t="str">
        <x:f>초입!B79</x:f>
        <x:v>다산새봄유치원</x:v>
      </x:c>
      <x:c r="F79" s="3" t="str">
        <x:f>IF(초입!C79="","",초입!C79)</x:f>
        <x:v>특수학급</x:v>
      </x:c>
      <x:c r="G79" s="3">
        <x:f>IF(초입!D79="","",초입!D79)</x:f>
        <x:v>3</x:v>
      </x:c>
      <x:c r="H79" s="3" t="str">
        <x:f>IF(초입!E79="","",초입!E79)</x:f>
        <x:v>문시현</x:v>
      </x:c>
      <x:c r="I79" s="3" t="str">
        <x:f>IF(초입!F79="","",초입!F79)</x:f>
        <x:v>남</x:v>
      </x:c>
      <x:c r="J79" s="3" t="str">
        <x:f>IF(초입!G79="","",초입!G79)</x:f>
        <x:v>2020.01.13.</x:v>
      </x:c>
      <x:c r="K79" s="3" t="str">
        <x:f>IF(초입!J79="","",초입!J79)</x:f>
        <x:v>발달지체</x:v>
      </x:c>
      <x:c r="L79" s="3" t="str">
        <x:f>IF(초입!K79="","",초입!K79)</x:f>
        <x:v/>
      </x:c>
      <x:c r="M79" s="3" t="str">
        <x:f>IF(초입!L79="","",초입!L79)</x:f>
        <x:v/>
      </x:c>
      <x:c r="N79" s="3" t="str">
        <x:f>IF(초입!N79="","",초입!N79)</x:f>
        <x:v>미금초등학교</x:v>
      </x:c>
      <x:c r="O79" s="3" t="str">
        <x:f>IF(초입!O79="","",초입!O79)</x:f>
        <x:v>특수학급</x:v>
      </x:c>
      <x:c r="P79" s="3" t="str">
        <x:f>IF(초입!P79="","",초입!P79)</x:f>
        <x:v/>
      </x:c>
      <x:c r="Q79" s="3">
        <x:f>IF(초입!Q79="","",초입!Q79)</x:f>
        <x:v>0.41799999999999998</x:v>
      </x:c>
      <x:c r="R79" s="3" t="str">
        <x:f>IF(초입!R79="","","1. "&amp;초입!R79&amp;IF(초입!V79&lt;&gt;"",CHAR(10)&amp;"2. "&amp;초입!V79,"")&amp;IF(초입!Z79&lt;&gt;"",CHAR(10)&amp;"3. "&amp;초입!Z79,""))</x:f>
        <x:v>1. 미금초등학교
2. 도농초
3. 다산새봄초</x:v>
      </x:c>
      <x:c r="S79" s="3" t="str">
        <x:f>IF(초입!S79="","",""&amp;초입!S79&amp;IF(초입!W79&lt;&gt;"",CHAR(10)&amp;""&amp;초입!W79,"")&amp;IF(초입!AA79&lt;&gt;"",CHAR(10)&amp;""&amp;초입!AA79,""))</x:f>
        <x:v>특수학급
특수학급
특수학급</x:v>
      </x:c>
      <x:c r="T79" s="3" t="str">
        <x:f>IF(초입!T79="","",""&amp;초입!T79&amp;IF(초입!X79&lt;&gt;"",CHAR(10)&amp;""&amp;초입!X79,"")&amp;IF(초입!AB79&lt;&gt;"",CHAR(10)&amp;""&amp;초입!AB79,""))</x:f>
        <x:v/>
      </x:c>
      <x:c r="U79" s="3" t="str">
        <x:f>IF(초입!U79="","",""&amp;초입!U79&amp;IF(초입!Y79&lt;&gt;"",CHAR(10)&amp;""&amp;초입!Y79,"")&amp;IF(초입!AC79&lt;&gt;"",CHAR(10)&amp;""&amp;초입!AC79,""))</x:f>
        <x:v>0.418
1.3
2.2</x:v>
      </x:c>
      <x:c r="V79" s="3" t="str">
        <x:f>IF(초입!AO79="","",초입!AO79)</x:f>
        <x:v/>
      </x:c>
      <x:c r="W79" s="3" t="str">
        <x:f>IF(초입!AP79="","",초입!AP79)</x:f>
        <x:v>도농초1.2 / 다산가람초 1.7 / 금교초 2.3 순인데, 2희망 다산새봄, 3희망 다산가람초 작성함. (다산새봄은 2.3)
-최근거리교 안내함. 
-도보, 버스이용으로 인해 2,3희망교 최근거리 아님. 보호자 확인서 제출완</x:v>
      </x:c>
      <x:c r="X79" s="3" t="str">
        <x:f>IF(초입!AD79="","",초입!AD79)</x:f>
        <x:v>010-3344-7709</x:v>
      </x:c>
      <x:c r="Y79" s="3" t="str">
        <x:f>IF(초입!AE79="","",초입!AE79)</x:f>
        <x:v>이성진</x:v>
      </x:c>
      <x:c r="Z79" s="3" t="str">
        <x:f>IF(초입!M79="","",초입!M79)</x:f>
        <x:v>경기도 남양주시 미금로24 805동 1104호</x:v>
      </x:c>
      <x:c r="AA79" s="7"/>
      <x:c r="AB79" s="7"/>
      <x:c r="AC79" s="7"/>
    </x:row>
    <x:row r="80" spans="1:29" customFormat="1" ht="39.54999999999999715783">
      <x:c r="A80" s="3">
        <x:f>초입!A80</x:f>
        <x:v>77</x:v>
      </x:c>
      <x:c r="B80" s="3" t="s">
        <x:v>194</x:v>
      </x:c>
      <x:c r="C80" s="3" t="str">
        <x:f>IF(초입!H80&lt;&gt;"","O","")</x:f>
        <x:v>O</x:v>
      </x:c>
      <x:c r="D80" s="3" t="str">
        <x:f>IF(초입!I80&lt;&gt;"","O","")</x:f>
        <x:v/>
      </x:c>
      <x:c r="E80" s="3" t="str">
        <x:f>초입!B80</x:f>
        <x:v>산마루초등학교병설유치원</x:v>
      </x:c>
      <x:c r="F80" s="3" t="str">
        <x:f>IF(초입!C80="","",초입!C80)</x:f>
        <x:v>특수학급</x:v>
      </x:c>
      <x:c r="G80" s="3">
        <x:f>IF(초입!D80="","",초입!D80)</x:f>
        <x:v>3</x:v>
      </x:c>
      <x:c r="H80" s="3" t="str">
        <x:f>IF(초입!E80="","",초입!E80)</x:f>
        <x:v>김도현</x:v>
      </x:c>
      <x:c r="I80" s="3" t="str">
        <x:f>IF(초입!F80="","",초입!F80)</x:f>
        <x:v>남</x:v>
      </x:c>
      <x:c r="J80" s="3" t="str">
        <x:f>IF(초입!G80="","",초입!G80)</x:f>
        <x:v>2020.03.02.</x:v>
      </x:c>
      <x:c r="K80" s="3" t="str">
        <x:f>IF(초입!J80="","",초입!J80)</x:f>
        <x:v>자폐성장애
(현 발달지체)</x:v>
      </x:c>
      <x:c r="L80" s="3" t="str">
        <x:f>IF(초입!K80="","",초입!K80)</x:f>
        <x:v>발급중</x:v>
      </x:c>
      <x:c r="M80" s="3" t="str">
        <x:f>IF(초입!L80="","",초입!L80)</x:f>
        <x:v/>
      </x:c>
      <x:c r="N80" s="3" t="str">
        <x:f>IF(초입!N80="","",초입!N80)</x:f>
        <x:v>산마루초등학교</x:v>
      </x:c>
      <x:c r="O80" s="3" t="str">
        <x:f>IF(초입!O80="","",초입!O80)</x:f>
        <x:v>특수학급</x:v>
      </x:c>
      <x:c r="P80" s="3" t="str">
        <x:f>IF(초입!P80="","",초입!P80)</x:f>
        <x:v/>
      </x:c>
      <x:c r="Q80" s="3">
        <x:f>IF(초입!Q80="","",초입!Q80)</x:f>
        <x:v>0.65800000000000003</x:v>
      </x:c>
      <x:c r="R80" s="3" t="str">
        <x:f>IF(초입!R80="","","1. "&amp;초입!R80&amp;IF(초입!V80&lt;&gt;"",CHAR(10)&amp;"2. "&amp;초입!V80,"")&amp;IF(초입!Z80&lt;&gt;"",CHAR(10)&amp;"3. "&amp;초입!Z80,""))</x:f>
        <x:v>1. 산마루초등학교
2. 갈매초등학교
3. 한별초등학교</x:v>
      </x:c>
      <x:c r="S80" s="3" t="str">
        <x:f>IF(초입!S80="","",""&amp;초입!S80&amp;IF(초입!W80&lt;&gt;"",CHAR(10)&amp;""&amp;초입!W80,"")&amp;IF(초입!AA80&lt;&gt;"",CHAR(10)&amp;""&amp;초입!AA80,""))</x:f>
        <x:v>특수학급
특수학급
특수학급</x:v>
      </x:c>
      <x:c r="T80" s="3" t="str">
        <x:f>IF(초입!T80="","",""&amp;초입!T80&amp;IF(초입!X80&lt;&gt;"",CHAR(10)&amp;""&amp;초입!X80,"")&amp;IF(초입!AB80&lt;&gt;"",CHAR(10)&amp;""&amp;초입!AB80,""))</x:f>
        <x:v/>
      </x:c>
      <x:c r="U80" s="3" t="str">
        <x:f>IF(초입!U80="","",""&amp;초입!U80&amp;IF(초입!Y80&lt;&gt;"",CHAR(10)&amp;""&amp;초입!Y80,"")&amp;IF(초입!AC80&lt;&gt;"",CHAR(10)&amp;""&amp;초입!AC80,""))</x:f>
        <x:v>0.658
0.882
2</x:v>
      </x:c>
      <x:c r="V80" s="3" t="str">
        <x:f>IF(초입!AO80="","",초입!AO80)</x:f>
        <x:v>진단서(자폐증,최종진단)</x:v>
      </x:c>
      <x:c r="W80" s="3" t="str">
        <x:f>IF(초입!AP80="","",초입!AP80)</x:f>
        <x:v>복지카드 발급중 (자폐 중증) / 발급 완료되면 복지카드 추가 제출 안내 / 3근거리 내양초X 한별초0 안내</x:v>
      </x:c>
      <x:c r="X80" s="3" t="str">
        <x:f>IF(초입!AD80="","",초입!AD80)</x:f>
        <x:v>010-3302-3499</x:v>
      </x:c>
      <x:c r="Y80" s="3" t="str">
        <x:f>IF(초입!AE80="","",초입!AE80)</x:f>
        <x:v>안선영</x:v>
      </x:c>
      <x:c r="Z80" s="3" t="str">
        <x:f>IF(초입!M80="","",초입!M80)</x:f>
        <x:v>경기도 구리시 경춘북로 252, 810동 2504호(갈매동, 갈매역 아이파크)</x:v>
      </x:c>
      <x:c r="AA80" s="7"/>
      <x:c r="AB80" s="7"/>
      <x:c r="AC80" s="7"/>
    </x:row>
    <x:row r="81" spans="1:29" customFormat="1" ht="92.20000000000000284217">
      <x:c r="A81" s="3">
        <x:f>초입!A81</x:f>
        <x:v>78</x:v>
      </x:c>
      <x:c r="B81" s="3" t="s">
        <x:v>194</x:v>
      </x:c>
      <x:c r="C81" s="3" t="str">
        <x:f>IF(초입!H81&lt;&gt;"","O","")</x:f>
        <x:v>O</x:v>
      </x:c>
      <x:c r="D81" s="3" t="str">
        <x:f>IF(초입!I81&lt;&gt;"","O","")</x:f>
        <x:v/>
      </x:c>
      <x:c r="E81" s="3" t="str">
        <x:f>초입!B81</x:f>
        <x:v>산마루초등학교병설유치원</x:v>
      </x:c>
      <x:c r="F81" s="3" t="str">
        <x:f>IF(초입!C81="","",초입!C81)</x:f>
        <x:v>특수학급</x:v>
      </x:c>
      <x:c r="G81" s="3">
        <x:f>IF(초입!D81="","",초입!D81)</x:f>
        <x:v>3</x:v>
      </x:c>
      <x:c r="H81" s="3" t="str">
        <x:f>IF(초입!E81="","",초입!E81)</x:f>
        <x:v>김서율</x:v>
      </x:c>
      <x:c r="I81" s="3" t="str">
        <x:f>IF(초입!F81="","",초입!F81)</x:f>
        <x:v>여</x:v>
      </x:c>
      <x:c r="J81" s="3" t="str">
        <x:f>IF(초입!G81="","",초입!G81)</x:f>
        <x:v>2020.10.03.</x:v>
      </x:c>
      <x:c r="K81" s="3" t="str">
        <x:f>IF(초입!J81="","",초입!J81)</x:f>
        <x:v>자폐성장애
(현 발달지체)</x:v>
      </x:c>
      <x:c r="L81" s="3" t="str">
        <x:f>IF(초입!K81="","",초입!K81)</x:f>
        <x:v>발급중</x:v>
      </x:c>
      <x:c r="M81" s="3" t="str">
        <x:f>IF(초입!L81="","",초입!L81)</x:f>
        <x:v/>
      </x:c>
      <x:c r="N81" s="3" t="str">
        <x:f>IF(초입!N81="","",초입!N81)</x:f>
        <x:v>산마루초등학교</x:v>
      </x:c>
      <x:c r="O81" s="3" t="str">
        <x:f>IF(초입!O81="","",초입!O81)</x:f>
        <x:v>특수학급</x:v>
      </x:c>
      <x:c r="P81" s="3" t="str">
        <x:f>IF(초입!P81="","",초입!P81)</x:f>
        <x:v/>
      </x:c>
      <x:c r="Q81" s="3">
        <x:f>IF(초입!Q81="","",초입!Q81)</x:f>
        <x:v>0.71499999999999997</x:v>
      </x:c>
      <x:c r="R81" s="3" t="str">
        <x:f>IF(초입!R81="","","1. "&amp;초입!R81&amp;IF(초입!V81&lt;&gt;"",CHAR(10)&amp;"2. "&amp;초입!V81,"")&amp;IF(초입!Z81&lt;&gt;"",CHAR(10)&amp;"3. "&amp;초입!Z81,""))</x:f>
        <x:v>1. 산마루초등학교
2. 갈매초등학교
3. 한별초등학교</x:v>
      </x:c>
      <x:c r="S81" s="3" t="str">
        <x:f>IF(초입!S81="","",""&amp;초입!S81&amp;IF(초입!W81&lt;&gt;"",CHAR(10)&amp;""&amp;초입!W81,"")&amp;IF(초입!AA81&lt;&gt;"",CHAR(10)&amp;""&amp;초입!AA81,""))</x:f>
        <x:v>특수학급
특수학급
특수학급</x:v>
      </x:c>
      <x:c r="T81" s="3" t="str">
        <x:f>IF(초입!T81="","",""&amp;초입!T81&amp;IF(초입!X81&lt;&gt;"",CHAR(10)&amp;""&amp;초입!X81,"")&amp;IF(초입!AB81&lt;&gt;"",CHAR(10)&amp;""&amp;초입!AB81,""))</x:f>
        <x:v/>
      </x:c>
      <x:c r="U81" s="3" t="str">
        <x:f>IF(초입!U81="","",""&amp;초입!U81&amp;IF(초입!Y81&lt;&gt;"",CHAR(10)&amp;""&amp;초입!Y81,"")&amp;IF(초입!AC81&lt;&gt;"",CHAR(10)&amp;""&amp;초입!AC81,""))</x:f>
        <x:v>0.715
1.1
1.6</x:v>
      </x:c>
      <x:c r="V81" s="3" t="str">
        <x:f>IF(초입!AO81="","",초입!AO81)</x:f>
        <x:v>※심리평가보고서(2026.3.26.)
□K-WPPSI-IV: 전체IQ 40 (언어이해 45, 시공간 52, 유동추론 45,        
  작업기억 45, 처리속도 45/매우낮음)
□사회성숙도: SA 2세 7개월, SQ 47.79(매우낮음)
□K-CARS-Ⅱ(ST): 총점 34점(경도에서 중등도 수준의 자폐 관련 행동)</x:v>
      </x:c>
      <x:c r="W81" s="3" t="str">
        <x:f>IF(초입!AP81="","",초입!AP81)</x:f>
        <x:v>복지카드 발급중 (자폐 중증) / 발급 완료되면 복지카드 추가 제출 안내 / 3근거리 내양초X 한별초0 안내 / 복지카드 없어도 자폐성장애 진단 가능</x:v>
      </x:c>
      <x:c r="X81" s="3" t="str">
        <x:f>IF(초입!AD81="","",초입!AD81)</x:f>
        <x:v>010-9769-4972</x:v>
      </x:c>
      <x:c r="Y81" s="3" t="str">
        <x:f>IF(초입!AE81="","",초입!AE81)</x:f>
        <x:v>안선영</x:v>
      </x:c>
      <x:c r="Z81" s="3" t="str">
        <x:f>IF(초입!M81="","",초입!M81)</x:f>
        <x:v>경기도 구리시 갈매순환로 204번길 8-32, 202호(갈매동)</x:v>
      </x:c>
      <x:c r="AA81" s="7"/>
      <x:c r="AB81" s="7"/>
      <x:c r="AC81" s="7"/>
    </x:row>
    <x:row r="82" spans="1:29" customFormat="1" ht="39.54999999999999715783">
      <x:c r="A82" s="3">
        <x:f>초입!A82</x:f>
        <x:v>79</x:v>
      </x:c>
      <x:c r="B82" s="3" t="s">
        <x:v>194</x:v>
      </x:c>
      <x:c r="C82" s="3" t="str">
        <x:f>IF(초입!H82&lt;&gt;"","O","")</x:f>
        <x:v>O</x:v>
      </x:c>
      <x:c r="D82" s="3" t="str">
        <x:f>IF(초입!I82&lt;&gt;"","O","")</x:f>
        <x:v/>
      </x:c>
      <x:c r="E82" s="3" t="str">
        <x:f>초입!B82</x:f>
        <x:v>산마루초등학교병설유치원</x:v>
      </x:c>
      <x:c r="F82" s="3" t="str">
        <x:f>IF(초입!C82="","",초입!C82)</x:f>
        <x:v>특수학급</x:v>
      </x:c>
      <x:c r="G82" s="3">
        <x:f>IF(초입!D82="","",초입!D82)</x:f>
        <x:v>3</x:v>
      </x:c>
      <x:c r="H82" s="3" t="str">
        <x:f>IF(초입!E82="","",초입!E82)</x:f>
        <x:v>정지현</x:v>
      </x:c>
      <x:c r="I82" s="3" t="str">
        <x:f>IF(초입!F82="","",초입!F82)</x:f>
        <x:v>여</x:v>
      </x:c>
      <x:c r="J82" s="3" t="str">
        <x:f>IF(초입!G82="","",초입!G82)</x:f>
        <x:v>2020.09.15.</x:v>
      </x:c>
      <x:c r="K82" s="3" t="str">
        <x:f>IF(초입!J82="","",초입!J82)</x:f>
        <x:v>자폐성장애</x:v>
      </x:c>
      <x:c r="L82" s="3" t="str">
        <x:f>IF(초입!K82="","",초입!K82)</x:f>
        <x:v>자폐성장애</x:v>
      </x:c>
      <x:c r="M82" s="3" t="str">
        <x:f>IF(초입!L82="","",초입!L82)</x:f>
        <x:v>중증</x:v>
      </x:c>
      <x:c r="N82" s="3" t="str">
        <x:f>IF(초입!N82="","",초입!N82)</x:f>
        <x:v>산마루초등학교</x:v>
      </x:c>
      <x:c r="O82" s="3" t="str">
        <x:f>IF(초입!O82="","",초입!O82)</x:f>
        <x:v>특수학급</x:v>
      </x:c>
      <x:c r="P82" s="3" t="str">
        <x:f>IF(초입!P82="","",초입!P82)</x:f>
        <x:v/>
      </x:c>
      <x:c r="Q82" s="3">
        <x:f>IF(초입!Q82="","",초입!Q82)</x:f>
        <x:v>0.78500000000000003</x:v>
      </x:c>
      <x:c r="R82" s="3" t="str">
        <x:f>IF(초입!R82="","","1. "&amp;초입!R82&amp;IF(초입!V82&lt;&gt;"",CHAR(10)&amp;"2. "&amp;초입!V82,"")&amp;IF(초입!Z82&lt;&gt;"",CHAR(10)&amp;"3. "&amp;초입!Z82,""))</x:f>
        <x:v>1. 산마루초등학교
2. 갈매초등학교
3. 한별초등학교</x:v>
      </x:c>
      <x:c r="S82" s="3" t="str">
        <x:f>IF(초입!S82="","",""&amp;초입!S82&amp;IF(초입!W82&lt;&gt;"",CHAR(10)&amp;""&amp;초입!W82,"")&amp;IF(초입!AA82&lt;&gt;"",CHAR(10)&amp;""&amp;초입!AA82,""))</x:f>
        <x:v>특수학급
특수학급
특수학급</x:v>
      </x:c>
      <x:c r="T82" s="3" t="str">
        <x:f>IF(초입!T82="","",""&amp;초입!T82&amp;IF(초입!X82&lt;&gt;"",CHAR(10)&amp;""&amp;초입!X82,"")&amp;IF(초입!AB82&lt;&gt;"",CHAR(10)&amp;""&amp;초입!AB82,""))</x:f>
        <x:v/>
      </x:c>
      <x:c r="U82" s="3" t="str">
        <x:f>IF(초입!U82="","",""&amp;초입!U82&amp;IF(초입!Y82&lt;&gt;"",CHAR(10)&amp;""&amp;초입!Y82,"")&amp;IF(초입!AC82&lt;&gt;"",CHAR(10)&amp;""&amp;초입!AC82,""))</x:f>
        <x:v>0.785
1.2
1.6</x:v>
      </x:c>
      <x:c r="V82" s="3" t="str">
        <x:f>IF(초입!AO82="","",초입!AO82)</x:f>
        <x:v>□ 복지카드: 자폐성장애 중증(~2029.11.23.)</x:v>
      </x:c>
      <x:c r="W82" s="3" t="str">
        <x:f>IF(초입!AP82="","",초입!AP82)</x:f>
        <x:v/>
      </x:c>
      <x:c r="X82" s="3" t="str">
        <x:f>IF(초입!AD82="","",초입!AD82)</x:f>
        <x:v>010-4345-0582</x:v>
      </x:c>
      <x:c r="Y82" s="3" t="str">
        <x:f>IF(초입!AE82="","",초입!AE82)</x:f>
        <x:v>안선영</x:v>
      </x:c>
      <x:c r="Z82" s="3" t="str">
        <x:f>IF(초입!M82="","",초입!M82)</x:f>
        <x:v>경기도 구리시 갈매중앙로 131, 303동 1103호(갈매동, 한라비발디)</x:v>
      </x:c>
      <x:c r="AA82" s="7"/>
      <x:c r="AB82" s="7"/>
      <x:c r="AC82" s="7"/>
    </x:row>
    <x:row r="83" spans="1:29" customFormat="1" ht="79.04999999999999715783">
      <x:c r="A83" s="3">
        <x:f>초입!A83</x:f>
        <x:v>80</x:v>
      </x:c>
      <x:c r="B83" s="3" t="s">
        <x:v>194</x:v>
      </x:c>
      <x:c r="C83" s="3" t="str">
        <x:f>IF(초입!H83&lt;&gt;"","O","")</x:f>
        <x:v>O</x:v>
      </x:c>
      <x:c r="D83" s="3" t="str">
        <x:f>IF(초입!I83&lt;&gt;"","O","")</x:f>
        <x:v/>
      </x:c>
      <x:c r="E83" s="3" t="str">
        <x:f>초입!B83</x:f>
        <x:v>화도은솔유치원</x:v>
      </x:c>
      <x:c r="F83" s="3" t="str">
        <x:f>IF(초입!C83="","",초입!C83)</x:f>
        <x:v>특수학급</x:v>
      </x:c>
      <x:c r="G83" s="3">
        <x:f>IF(초입!D83="","",초입!D83)</x:f>
        <x:v>3</x:v>
      </x:c>
      <x:c r="H83" s="3" t="str">
        <x:f>IF(초입!E83="","",초입!E83)</x:f>
        <x:v>김서후</x:v>
      </x:c>
      <x:c r="I83" s="3" t="str">
        <x:f>IF(초입!F83="","",초입!F83)</x:f>
        <x:v>남</x:v>
      </x:c>
      <x:c r="J83" s="3" t="str">
        <x:f>IF(초입!G83="","",초입!G83)</x:f>
        <x:v>2020.01.02.</x:v>
      </x:c>
      <x:c r="K83" s="3" t="str">
        <x:f>IF(초입!J83="","",초입!J83)</x:f>
        <x:v>자폐성장애
(현 발달지체)</x:v>
      </x:c>
      <x:c r="L83" s="3" t="str">
        <x:f>IF(초입!K83="","",초입!K83)</x:f>
        <x:v>자폐성장애</x:v>
      </x:c>
      <x:c r="M83" s="3" t="str">
        <x:f>IF(초입!L83="","",초입!L83)</x:f>
        <x:v>중증</x:v>
      </x:c>
      <x:c r="N83" s="3" t="str">
        <x:f>IF(초입!N83="","",초입!N83)</x:f>
        <x:v>남양주송라초등학교</x:v>
      </x:c>
      <x:c r="O83" s="3" t="str">
        <x:f>IF(초입!O83="","",초입!O83)</x:f>
        <x:v>특수학급</x:v>
      </x:c>
      <x:c r="P83" s="3" t="str">
        <x:f>IF(초입!P83="","",초입!P83)</x:f>
        <x:v/>
      </x:c>
      <x:c r="Q83" s="3">
        <x:f>IF(초입!Q83="","",초입!Q83)</x:f>
        <x:v>0.55700000000000005</x:v>
      </x:c>
      <x:c r="R83" s="3" t="str">
        <x:f>IF(초입!R83="","","1. "&amp;초입!R83&amp;IF(초입!V83&lt;&gt;"",CHAR(10)&amp;"2. "&amp;초입!V83,"")&amp;IF(초입!Z83&lt;&gt;"",CHAR(10)&amp;"3. "&amp;초입!Z83,""))</x:f>
        <x:v>1. 은솔초등학교
2. 마석초등학교
3. 남양주송라초등학교</x:v>
      </x:c>
      <x:c r="S83" s="3" t="str">
        <x:f>IF(초입!S83="","",""&amp;초입!S83&amp;IF(초입!W83&lt;&gt;"",CHAR(10)&amp;""&amp;초입!W83,"")&amp;IF(초입!AA83&lt;&gt;"",CHAR(10)&amp;""&amp;초입!AA83,""))</x:f>
        <x:v>특수학급
특수학급
특수학급</x:v>
      </x:c>
      <x:c r="T83" s="3" t="str">
        <x:f>IF(초입!T83="","",""&amp;초입!T83&amp;IF(초입!X83&lt;&gt;"",CHAR(10)&amp;""&amp;초입!X83,"")&amp;IF(초입!AB83&lt;&gt;"",CHAR(10)&amp;""&amp;초입!AB83,""))</x:f>
        <x:v/>
      </x:c>
      <x:c r="U83" s="3" t="str">
        <x:f>IF(초입!U83="","",""&amp;초입!U83&amp;IF(초입!Y83&lt;&gt;"",CHAR(10)&amp;""&amp;초입!Y83,"")&amp;IF(초입!AC83&lt;&gt;"",CHAR(10)&amp;""&amp;초입!AC83,""))</x:f>
        <x:v>1.6
0.641
0.557</x:v>
      </x:c>
      <x:c r="V83" s="3" t="str">
        <x:f>IF(초입!AO83="","",초입!AO83)</x:f>
        <x:v>□ 복지카드: 자폐성장애 중증(~2031.2.26.)</x:v>
      </x:c>
      <x:c r="W83" s="3" t="str">
        <x:f>IF(초입!AP83="","",초입!AP83)</x:f>
        <x:v>*김서후, 김시후 쌍둥이 같은 학교 배치 희망 
*활보 가능한 은솔초, 마석초 희망(송라초는 활보 불가하다함) / 2근거리 마석초, 3근거리 창현초임, 4근거리가 은솔초
*발달지체에서 자폐성장애로 유형변경 안내(복지카드 제출)</x:v>
      </x:c>
      <x:c r="X83" s="3" t="str">
        <x:f>IF(초입!AD83="","",초입!AD83)</x:f>
        <x:v>010-5094-4560</x:v>
      </x:c>
      <x:c r="Y83" s="3" t="str">
        <x:f>IF(초입!AE83="","",초입!AE83)</x:f>
        <x:v>류창준</x:v>
      </x:c>
      <x:c r="Z83" s="3" t="str">
        <x:f>IF(초입!M83="","",초입!M83)</x:f>
        <x:v>경기도 남양주시 화도읍 마석로 33, 102동 1002호 (빌리브센트하이)</x:v>
      </x:c>
      <x:c r="AA83" s="7"/>
      <x:c r="AB83" s="7"/>
      <x:c r="AC83" s="7"/>
    </x:row>
    <x:row r="84" spans="1:29" customFormat="1" ht="79.04999999999999715783">
      <x:c r="A84" s="3">
        <x:f>초입!A84</x:f>
        <x:v>81</x:v>
      </x:c>
      <x:c r="B84" s="3" t="s">
        <x:v>194</x:v>
      </x:c>
      <x:c r="C84" s="3" t="str">
        <x:f>IF(초입!H84&lt;&gt;"","O","")</x:f>
        <x:v>O</x:v>
      </x:c>
      <x:c r="D84" s="3" t="str">
        <x:f>IF(초입!I84&lt;&gt;"","O","")</x:f>
        <x:v/>
      </x:c>
      <x:c r="E84" s="3" t="str">
        <x:f>초입!B84</x:f>
        <x:v>화도은솔유치원</x:v>
      </x:c>
      <x:c r="F84" s="3" t="str">
        <x:f>IF(초입!C84="","",초입!C84)</x:f>
        <x:v>특수학급</x:v>
      </x:c>
      <x:c r="G84" s="3">
        <x:f>IF(초입!D84="","",초입!D84)</x:f>
        <x:v>3</x:v>
      </x:c>
      <x:c r="H84" s="3" t="str">
        <x:f>IF(초입!E84="","",초입!E84)</x:f>
        <x:v>김시후</x:v>
      </x:c>
      <x:c r="I84" s="3" t="str">
        <x:f>IF(초입!F84="","",초입!F84)</x:f>
        <x:v>남</x:v>
      </x:c>
      <x:c r="J84" s="3" t="str">
        <x:f>IF(초입!G84="","",초입!G84)</x:f>
        <x:v>2020.01.02.</x:v>
      </x:c>
      <x:c r="K84" s="3" t="str">
        <x:f>IF(초입!J84="","",초입!J84)</x:f>
        <x:v>자폐성장애
(현 발달지체)</x:v>
      </x:c>
      <x:c r="L84" s="3" t="str">
        <x:f>IF(초입!K84="","",초입!K84)</x:f>
        <x:v>자폐성장애</x:v>
      </x:c>
      <x:c r="M84" s="3" t="str">
        <x:f>IF(초입!L84="","",초입!L84)</x:f>
        <x:v>중증</x:v>
      </x:c>
      <x:c r="N84" s="3" t="str">
        <x:f>IF(초입!N84="","",초입!N84)</x:f>
        <x:v>남양주송라초등학교</x:v>
      </x:c>
      <x:c r="O84" s="3" t="str">
        <x:f>IF(초입!O84="","",초입!O84)</x:f>
        <x:v>특수학급</x:v>
      </x:c>
      <x:c r="P84" s="3" t="str">
        <x:f>IF(초입!P84="","",초입!P84)</x:f>
        <x:v/>
      </x:c>
      <x:c r="Q84" s="3">
        <x:f>IF(초입!Q84="","",초입!Q84)</x:f>
        <x:v>0.55700000000000005</x:v>
      </x:c>
      <x:c r="R84" s="3" t="str">
        <x:f>IF(초입!R84="","","1. "&amp;초입!R84&amp;IF(초입!V84&lt;&gt;"",CHAR(10)&amp;"2. "&amp;초입!V84,"")&amp;IF(초입!Z84&lt;&gt;"",CHAR(10)&amp;"3. "&amp;초입!Z84,""))</x:f>
        <x:v>1. 은솔초등학교
2. 마석초등학교
3. 남양주송라초등학교</x:v>
      </x:c>
      <x:c r="S84" s="3" t="str">
        <x:f>IF(초입!S84="","",""&amp;초입!S84&amp;IF(초입!W84&lt;&gt;"",CHAR(10)&amp;""&amp;초입!W84,"")&amp;IF(초입!AA84&lt;&gt;"",CHAR(10)&amp;""&amp;초입!AA84,""))</x:f>
        <x:v>특수학급
특수학급
특수학급</x:v>
      </x:c>
      <x:c r="T84" s="3" t="str">
        <x:f>IF(초입!T84="","",""&amp;초입!T84&amp;IF(초입!X84&lt;&gt;"",CHAR(10)&amp;""&amp;초입!X84,"")&amp;IF(초입!AB84&lt;&gt;"",CHAR(10)&amp;""&amp;초입!AB84,""))</x:f>
        <x:v/>
      </x:c>
      <x:c r="U84" s="3" t="str">
        <x:f>IF(초입!U84="","",""&amp;초입!U84&amp;IF(초입!Y84&lt;&gt;"",CHAR(10)&amp;""&amp;초입!Y84,"")&amp;IF(초입!AC84&lt;&gt;"",CHAR(10)&amp;""&amp;초입!AC84,""))</x:f>
        <x:v>1.6
0.641
0.557</x:v>
      </x:c>
      <x:c r="V84" s="3" t="str">
        <x:f>IF(초입!AO84="","",초입!AO84)</x:f>
        <x:v>□ 복지카드: 자폐성장애 중증(~2031.2.26.)</x:v>
      </x:c>
      <x:c r="W84" s="3" t="str">
        <x:f>IF(초입!AP84="","",초입!AP84)</x:f>
        <x:v>*김서후, 김시후 쌍둥이 같은 학교 배치 희망 
*활보 가능한 은솔초, 마석초 희망(송라초는 활보 불가하다함) / 2근거리 마석초, 3근거리 창현초임, 4근거리가 은솔초
*발달지체에서 자폐성장애로 유형변경 안내(복지카드 제출)</x:v>
      </x:c>
      <x:c r="X84" s="3" t="str">
        <x:f>IF(초입!AD84="","",초입!AD84)</x:f>
        <x:v>010-5094-4560</x:v>
      </x:c>
      <x:c r="Y84" s="3" t="str">
        <x:f>IF(초입!AE84="","",초입!AE84)</x:f>
        <x:v>류창준</x:v>
      </x:c>
      <x:c r="Z84" s="3" t="str">
        <x:f>IF(초입!M84="","",초입!M84)</x:f>
        <x:v>경기도 남양주시 화도읍 마석로 33, 102동 1002호 (빌리브센트하이)</x:v>
      </x:c>
      <x:c r="AA84" s="7"/>
      <x:c r="AB84" s="7"/>
      <x:c r="AC84" s="7"/>
    </x:row>
    <x:row r="85" spans="1:29" customFormat="1" ht="65.84999999999999431566">
      <x:c r="A85" s="3">
        <x:f>초입!A85</x:f>
        <x:v>82</x:v>
      </x:c>
      <x:c r="B85" s="3" t="s">
        <x:v>194</x:v>
      </x:c>
      <x:c r="C85" s="3" t="str">
        <x:f>IF(초입!H85&lt;&gt;"","O","")</x:f>
        <x:v>O</x:v>
      </x:c>
      <x:c r="D85" s="3" t="str">
        <x:f>IF(초입!I85&lt;&gt;"","O","")</x:f>
        <x:v/>
      </x:c>
      <x:c r="E85" s="3" t="str">
        <x:f>초입!B85</x:f>
        <x:v>화도은솔유치원</x:v>
      </x:c>
      <x:c r="F85" s="3" t="str">
        <x:f>IF(초입!C85="","",초입!C85)</x:f>
        <x:v>특수학급</x:v>
      </x:c>
      <x:c r="G85" s="3">
        <x:f>IF(초입!D85="","",초입!D85)</x:f>
        <x:v>3</x:v>
      </x:c>
      <x:c r="H85" s="3" t="str">
        <x:f>IF(초입!E85="","",초입!E85)</x:f>
        <x:v>문채환</x:v>
      </x:c>
      <x:c r="I85" s="3" t="str">
        <x:f>IF(초입!F85="","",초입!F85)</x:f>
        <x:v>남</x:v>
      </x:c>
      <x:c r="J85" s="3" t="str">
        <x:f>IF(초입!G85="","",초입!G85)</x:f>
        <x:v>2020.12.15.</x:v>
      </x:c>
      <x:c r="K85" s="3" t="str">
        <x:f>IF(초입!J85="","",초입!J85)</x:f>
        <x:v>자폐성장애</x:v>
      </x:c>
      <x:c r="L85" s="3" t="str">
        <x:f>IF(초입!K85="","",초입!K85)</x:f>
        <x:v/>
      </x:c>
      <x:c r="M85" s="3" t="str">
        <x:f>IF(초입!L85="","",초입!L85)</x:f>
        <x:v/>
      </x:c>
      <x:c r="N85" s="3" t="str">
        <x:f>IF(초입!N85="","",초입!N85)</x:f>
        <x:v>직장기준: 평동초등학교</x:v>
      </x:c>
      <x:c r="O85" s="3" t="str">
        <x:f>IF(초입!O85="","",초입!O85)</x:f>
        <x:v>특수학급</x:v>
      </x:c>
      <x:c r="P85" s="3" t="str">
        <x:f>IF(초입!P85="","",초입!P85)</x:f>
        <x:v/>
      </x:c>
      <x:c r="Q85" s="3">
        <x:f>IF(초입!Q85="","",초입!Q85)</x:f>
        <x:v>0.29999999999999999</x:v>
      </x:c>
      <x:c r="R85" s="3" t="str">
        <x:f>IF(초입!R85="","","1. "&amp;초입!R85&amp;IF(초입!V85&lt;&gt;"",CHAR(10)&amp;"2. "&amp;초입!V85,"")&amp;IF(초입!Z85&lt;&gt;"",CHAR(10)&amp;"3. "&amp;초입!Z85,""))</x:f>
        <x:v>1. 평동초등학교
2. 판곡초등학교
3. 구룡초</x:v>
      </x:c>
      <x:c r="S85" s="3" t="str">
        <x:f>IF(초입!S85="","",""&amp;초입!S85&amp;IF(초입!W85&lt;&gt;"",CHAR(10)&amp;""&amp;초입!W85,"")&amp;IF(초입!AA85&lt;&gt;"",CHAR(10)&amp;""&amp;초입!AA85,""))</x:f>
        <x:v>특수학급
특수학급
특수학급</x:v>
      </x:c>
      <x:c r="T85" s="3" t="str">
        <x:f>IF(초입!T85="","",""&amp;초입!T85&amp;IF(초입!X85&lt;&gt;"",CHAR(10)&amp;""&amp;초입!X85,"")&amp;IF(초입!AB85&lt;&gt;"",CHAR(10)&amp;""&amp;초입!AB85,""))</x:f>
        <x:v/>
      </x:c>
      <x:c r="U85" s="3" t="str">
        <x:f>IF(초입!U85="","",""&amp;초입!U85&amp;IF(초입!Y85&lt;&gt;"",CHAR(10)&amp;""&amp;초입!Y85,"")&amp;IF(초입!AC85&lt;&gt;"",CHAR(10)&amp;""&amp;초입!AC85,""))</x:f>
        <x:v>0.3
0.81
1.1</x:v>
      </x:c>
      <x:c r="V85" s="3" t="str">
        <x:f>IF(초입!AO85="","",초입!AO85)</x:f>
        <x:v/>
      </x:c>
      <x:c r="W85" s="3" t="str">
        <x:f>IF(초입!AP85="","",초입!AP85)</x:f>
        <x:v>*학부모 직장 근거리 학교 희망(최근거리 호평초 말고 평동초 희망) / 증빙서류 제출함 재직증명서, 가족관계증명서
*직장 기준 2근거리 판곡초, 3근거리 구룡초임(원본 2희망 구룡초, 3희망 호평초였음)</x:v>
      </x:c>
      <x:c r="X85" s="3" t="str">
        <x:f>IF(초입!AD85="","",초입!AD85)</x:f>
        <x:v>010-3279-2477</x:v>
      </x:c>
      <x:c r="Y85" s="3" t="str">
        <x:f>IF(초입!AE85="","",초입!AE85)</x:f>
        <x:v>류창준</x:v>
      </x:c>
      <x:c r="Z85" s="3" t="str">
        <x:f>IF(초입!M85="","",초입!M85)</x:f>
        <x:v>경기도 남양주시 천마산로 65, 116동 404호 (호평동, 호평파라곤)
직장: 경기도 남양주시 호평로46번길 8, 클랑피아노교습소</x:v>
      </x:c>
      <x:c r="AA85" s="7"/>
      <x:c r="AB85" s="7"/>
      <x:c r="AC85" s="7"/>
    </x:row>
    <x:row r="86" spans="1:29" customFormat="1" ht="39.54999999999999715783">
      <x:c r="A86" s="3">
        <x:f>초입!A86</x:f>
        <x:v>83</x:v>
      </x:c>
      <x:c r="B86" s="3" t="s">
        <x:v>194</x:v>
      </x:c>
      <x:c r="C86" s="3" t="str">
        <x:f>IF(초입!H86&lt;&gt;"","O","")</x:f>
        <x:v>O</x:v>
      </x:c>
      <x:c r="D86" s="3" t="str">
        <x:f>IF(초입!I86&lt;&gt;"","O","")</x:f>
        <x:v/>
      </x:c>
      <x:c r="E86" s="3" t="str">
        <x:f>초입!B86</x:f>
        <x:v>화도은솔유치원</x:v>
      </x:c>
      <x:c r="F86" s="3" t="str">
        <x:f>IF(초입!C86="","",초입!C86)</x:f>
        <x:v>특수학급</x:v>
      </x:c>
      <x:c r="G86" s="3">
        <x:f>IF(초입!D86="","",초입!D86)</x:f>
        <x:v>3</x:v>
      </x:c>
      <x:c r="H86" s="3" t="str">
        <x:f>IF(초입!E86="","",초입!E86)</x:f>
        <x:v>이선재</x:v>
      </x:c>
      <x:c r="I86" s="3" t="str">
        <x:f>IF(초입!F86="","",초입!F86)</x:f>
        <x:v>남</x:v>
      </x:c>
      <x:c r="J86" s="3" t="str">
        <x:f>IF(초입!G86="","",초입!G86)</x:f>
        <x:v>2020.06.24.</x:v>
      </x:c>
      <x:c r="K86" s="3" t="str">
        <x:f>IF(초입!J86="","",초입!J86)</x:f>
        <x:v>발달지체</x:v>
      </x:c>
      <x:c r="L86" s="3" t="str">
        <x:f>IF(초입!K86="","",초입!K86)</x:f>
        <x:v/>
      </x:c>
      <x:c r="M86" s="3" t="str">
        <x:f>IF(초입!L86="","",초입!L86)</x:f>
        <x:v/>
      </x:c>
      <x:c r="N86" s="3" t="str">
        <x:f>IF(초입!N86="","",초입!N86)</x:f>
        <x:v>하랑초등학교</x:v>
      </x:c>
      <x:c r="O86" s="3" t="str">
        <x:f>IF(초입!O86="","",초입!O86)</x:f>
        <x:v>특수학급</x:v>
      </x:c>
      <x:c r="P86" s="3" t="str">
        <x:f>IF(초입!P86="","",초입!P86)</x:f>
        <x:v/>
      </x:c>
      <x:c r="Q86" s="3">
        <x:f>IF(초입!Q86="","",초입!Q86)</x:f>
        <x:v>0.71699999999999997</x:v>
      </x:c>
      <x:c r="R86" s="3" t="str">
        <x:f>IF(초입!R86="","","1. "&amp;초입!R86&amp;IF(초입!V86&lt;&gt;"",CHAR(10)&amp;"2. "&amp;초입!V86,"")&amp;IF(초입!Z86&lt;&gt;"",CHAR(10)&amp;"3. "&amp;초입!Z86,""))</x:f>
        <x:v>1. 하랑초등학교
2. 평동초등학교
3. 구룡초</x:v>
      </x:c>
      <x:c r="S86" s="3" t="str">
        <x:f>IF(초입!S86="","",""&amp;초입!S86&amp;IF(초입!W86&lt;&gt;"",CHAR(10)&amp;""&amp;초입!W86,"")&amp;IF(초입!AA86&lt;&gt;"",CHAR(10)&amp;""&amp;초입!AA86,""))</x:f>
        <x:v>특수학급
특수학급
특수학급</x:v>
      </x:c>
      <x:c r="T86" s="3" t="str">
        <x:f>IF(초입!T86="","",""&amp;초입!T86&amp;IF(초입!X86&lt;&gt;"",CHAR(10)&amp;""&amp;초입!X86,"")&amp;IF(초입!AB86&lt;&gt;"",CHAR(10)&amp;""&amp;초입!AB86,""))</x:f>
        <x:v/>
      </x:c>
      <x:c r="U86" s="3" t="str">
        <x:f>IF(초입!U86="","",""&amp;초입!U86&amp;IF(초입!Y86&lt;&gt;"",CHAR(10)&amp;""&amp;초입!Y86,"")&amp;IF(초입!AC86&lt;&gt;"",CHAR(10)&amp;""&amp;초입!AC86,""))</x:f>
        <x:v>0.717
1
1.4</x:v>
      </x:c>
      <x:c r="V86" s="3" t="str">
        <x:f>IF(초입!AO86="","",초입!AO86)</x:f>
        <x:v/>
      </x:c>
      <x:c r="W86" s="3" t="str">
        <x:f>IF(초입!AP86="","",초입!AP86)</x:f>
        <x:v/>
      </x:c>
      <x:c r="X86" s="3" t="str">
        <x:f>IF(초입!AD86="","",초입!AD86)</x:f>
        <x:v>010-6489-5236</x:v>
      </x:c>
      <x:c r="Y86" s="3" t="str">
        <x:f>IF(초입!AE86="","",초입!AE86)</x:f>
        <x:v>류창준</x:v>
      </x:c>
      <x:c r="Z86" s="3" t="str">
        <x:f>IF(초입!M86="","",초입!M86)</x:f>
        <x:v>경기도 남양주시 백봉로 32, 114동 901호 (호평동, 두산 알프하임)</x:v>
      </x:c>
      <x:c r="AA86" s="7"/>
      <x:c r="AB86" s="7"/>
      <x:c r="AC86" s="7"/>
    </x:row>
    <x:row r="87" spans="1:29" customFormat="1" ht="39.54999999999999715783">
      <x:c r="A87" s="3">
        <x:f>초입!A87</x:f>
        <x:v>84</x:v>
      </x:c>
      <x:c r="B87" s="3" t="s">
        <x:v>194</x:v>
      </x:c>
      <x:c r="C87" s="3" t="str">
        <x:f>IF(초입!H87&lt;&gt;"","O","")</x:f>
        <x:v>O</x:v>
      </x:c>
      <x:c r="D87" s="3" t="str">
        <x:f>IF(초입!I87&lt;&gt;"","O","")</x:f>
        <x:v/>
      </x:c>
      <x:c r="E87" s="3" t="str">
        <x:f>초입!B87</x:f>
        <x:v>화도은솔유치원</x:v>
      </x:c>
      <x:c r="F87" s="3" t="str">
        <x:f>IF(초입!C87="","",초입!C87)</x:f>
        <x:v>특수학급</x:v>
      </x:c>
      <x:c r="G87" s="3">
        <x:f>IF(초입!D87="","",초입!D87)</x:f>
        <x:v>3</x:v>
      </x:c>
      <x:c r="H87" s="3" t="str">
        <x:f>IF(초입!E87="","",초입!E87)</x:f>
        <x:v>진시아</x:v>
      </x:c>
      <x:c r="I87" s="3" t="str">
        <x:f>IF(초입!F87="","",초입!F87)</x:f>
        <x:v>여</x:v>
      </x:c>
      <x:c r="J87" s="3" t="str">
        <x:f>IF(초입!G87="","",초입!G87)</x:f>
        <x:v>2020.03.19.</x:v>
      </x:c>
      <x:c r="K87" s="3" t="str">
        <x:f>IF(초입!J87="","",초입!J87)</x:f>
        <x:v>자폐성장애
(현 발달지체)</x:v>
      </x:c>
      <x:c r="L87" s="3" t="str">
        <x:f>IF(초입!K87="","",초입!K87)</x:f>
        <x:v>자폐성장애</x:v>
      </x:c>
      <x:c r="M87" s="3" t="str">
        <x:f>IF(초입!L87="","",초입!L87)</x:f>
        <x:v>중증</x:v>
      </x:c>
      <x:c r="N87" s="3" t="str">
        <x:f>IF(초입!N87="","",초입!N87)</x:f>
        <x:v>남양주송라초등학교</x:v>
      </x:c>
      <x:c r="O87" s="3" t="str">
        <x:f>IF(초입!O87="","",초입!O87)</x:f>
        <x:v>특수학급</x:v>
      </x:c>
      <x:c r="P87" s="3" t="str">
        <x:f>IF(초입!P87="","",초입!P87)</x:f>
        <x:v/>
      </x:c>
      <x:c r="Q87" s="3">
        <x:f>IF(초입!Q87="","",초입!Q87)</x:f>
        <x:v>0.25</x:v>
      </x:c>
      <x:c r="R87" s="3" t="str">
        <x:f>IF(초입!R87="","","1. "&amp;초입!R87&amp;IF(초입!V87&lt;&gt;"",CHAR(10)&amp;"2. "&amp;초입!V87,"")&amp;IF(초입!Z87&lt;&gt;"",CHAR(10)&amp;"3. "&amp;초입!Z87,""))</x:f>
        <x:v>1. 남양주송라초등학교
2. 마석초등학교
3. 화도초</x:v>
      </x:c>
      <x:c r="S87" s="3" t="str">
        <x:f>IF(초입!S87="","",""&amp;초입!S87&amp;IF(초입!W87&lt;&gt;"",CHAR(10)&amp;""&amp;초입!W87,"")&amp;IF(초입!AA87&lt;&gt;"",CHAR(10)&amp;""&amp;초입!AA87,""))</x:f>
        <x:v>특수학급
특수학급
특수학급</x:v>
      </x:c>
      <x:c r="T87" s="3" t="str">
        <x:f>IF(초입!T87="","",""&amp;초입!T87&amp;IF(초입!X87&lt;&gt;"",CHAR(10)&amp;""&amp;초입!X87,"")&amp;IF(초입!AB87&lt;&gt;"",CHAR(10)&amp;""&amp;초입!AB87,""))</x:f>
        <x:v/>
      </x:c>
      <x:c r="U87" s="3" t="str">
        <x:f>IF(초입!U87="","",""&amp;초입!U87&amp;IF(초입!Y87&lt;&gt;"",CHAR(10)&amp;""&amp;초입!Y87,"")&amp;IF(초입!AC87&lt;&gt;"",CHAR(10)&amp;""&amp;초입!AC87,""))</x:f>
        <x:v>0.25
1.1
1.5</x:v>
      </x:c>
      <x:c r="V87" s="3" t="str">
        <x:f>IF(초입!AO87="","",초입!AO87)</x:f>
        <x:v/>
      </x:c>
      <x:c r="W87" s="3" t="str">
        <x:f>IF(초입!AP87="","",초입!AP87)</x:f>
        <x:v>*3근거리 창현초1.4, 화도초1.5, 은솔초1.5임
*송라, 마석, 화도 순으로 수정 제출함</x:v>
      </x:c>
      <x:c r="X87" s="3" t="str">
        <x:f>IF(초입!AD87="","",초입!AD87)</x:f>
        <x:v>010-9153-1455</x:v>
      </x:c>
      <x:c r="Y87" s="3" t="str">
        <x:f>IF(초입!AE87="","",초입!AE87)</x:f>
        <x:v>류창준</x:v>
      </x:c>
      <x:c r="Z87" s="3" t="str">
        <x:f>IF(초입!M87="","",초입!M87)</x:f>
        <x:v>경기도 남양주시 화도읍 비룡로 56-8, 107동 303호 (신명스카이뷰그린)</x:v>
      </x:c>
      <x:c r="AA87" s="7"/>
      <x:c r="AB87" s="7"/>
      <x:c r="AC87" s="7"/>
    </x:row>
    <x:row r="88" spans="1:29" customFormat="1" ht="52.70000000000000284217">
      <x:c r="A88" s="3">
        <x:f>초입!A88</x:f>
        <x:v>85</x:v>
      </x:c>
      <x:c r="B88" s="3" t="s">
        <x:v>194</x:v>
      </x:c>
      <x:c r="C88" s="3" t="str">
        <x:f>IF(초입!H88&lt;&gt;"","O","")</x:f>
        <x:v>O</x:v>
      </x:c>
      <x:c r="D88" s="3" t="str">
        <x:f>IF(초입!I88&lt;&gt;"","O","")</x:f>
        <x:v/>
      </x:c>
      <x:c r="E88" s="3" t="str">
        <x:f>초입!B88</x:f>
        <x:v>화도은솔유치원</x:v>
      </x:c>
      <x:c r="F88" s="3" t="str">
        <x:f>IF(초입!C88="","",초입!C88)</x:f>
        <x:v>특수학급</x:v>
      </x:c>
      <x:c r="G88" s="3">
        <x:f>IF(초입!D88="","",초입!D88)</x:f>
        <x:v>3</x:v>
      </x:c>
      <x:c r="H88" s="3" t="str">
        <x:f>IF(초입!E88="","",초입!E88)</x:f>
        <x:v>천수호</x:v>
      </x:c>
      <x:c r="I88" s="3" t="str">
        <x:f>IF(초입!F88="","",초입!F88)</x:f>
        <x:v>남</x:v>
      </x:c>
      <x:c r="J88" s="3" t="str">
        <x:f>IF(초입!G88="","",초입!G88)</x:f>
        <x:v>2020.03.26.</x:v>
      </x:c>
      <x:c r="K88" s="3" t="str">
        <x:f>IF(초입!J88="","",초입!J88)</x:f>
        <x:v>자폐성장애</x:v>
      </x:c>
      <x:c r="L88" s="3" t="str">
        <x:f>IF(초입!K88="","",초입!K88)</x:f>
        <x:v>자폐성장애</x:v>
      </x:c>
      <x:c r="M88" s="3" t="str">
        <x:f>IF(초입!L88="","",초입!L88)</x:f>
        <x:v>심한</x:v>
      </x:c>
      <x:c r="N88" s="3" t="str">
        <x:f>IF(초입!N88="","",초입!N88)</x:f>
        <x:v>화도초등학교</x:v>
      </x:c>
      <x:c r="O88" s="3" t="str">
        <x:f>IF(초입!O88="","",초입!O88)</x:f>
        <x:v>특수학급</x:v>
      </x:c>
      <x:c r="P88" s="3" t="str">
        <x:f>IF(초입!P88="","",초입!P88)</x:f>
        <x:v/>
      </x:c>
      <x:c r="Q88" s="3">
        <x:f>IF(초입!Q88="","",초입!Q88)</x:f>
        <x:v>1.2</x:v>
      </x:c>
      <x:c r="R88" s="3" t="str">
        <x:f>IF(초입!R88="","","1. "&amp;초입!R88&amp;IF(초입!V88&lt;&gt;"",CHAR(10)&amp;"2. "&amp;초입!V88,"")&amp;IF(초입!Z88&lt;&gt;"",CHAR(10)&amp;"3. "&amp;초입!Z88,""))</x:f>
        <x:v>1. 화도초등학교
2. 은솔초등학교
3. 창현초</x:v>
      </x:c>
      <x:c r="S88" s="3" t="str">
        <x:f>IF(초입!S88="","",""&amp;초입!S88&amp;IF(초입!W88&lt;&gt;"",CHAR(10)&amp;""&amp;초입!W88,"")&amp;IF(초입!AA88&lt;&gt;"",CHAR(10)&amp;""&amp;초입!AA88,""))</x:f>
        <x:v>특수학급
특수학급
특수학급</x:v>
      </x:c>
      <x:c r="T88" s="3" t="str">
        <x:f>IF(초입!T88="","",""&amp;초입!T88&amp;IF(초입!X88&lt;&gt;"",CHAR(10)&amp;""&amp;초입!X88,"")&amp;IF(초입!AB88&lt;&gt;"",CHAR(10)&amp;""&amp;초입!AB88,""))</x:f>
        <x:v/>
      </x:c>
      <x:c r="U88" s="3" t="str">
        <x:f>IF(초입!U88="","",""&amp;초입!U88&amp;IF(초입!Y88&lt;&gt;"",CHAR(10)&amp;""&amp;초입!Y88,"")&amp;IF(초입!AC88&lt;&gt;"",CHAR(10)&amp;""&amp;초입!AC88,""))</x:f>
        <x:v>1.2
2.3
2.5</x:v>
      </x:c>
      <x:c r="V88" s="3" t="str">
        <x:f>IF(초입!AO88="","",초입!AO88)</x:f>
        <x:v>장애인증명서: 자폐성장애 심한장애</x:v>
      </x:c>
      <x:c r="W88" s="3" t="str">
        <x:f>IF(초입!AP88="","",초입!AP88)</x:f>
        <x:v>*활보 가능한 최근거리교 화도초 희망
*2,3희망교 근거리가X 사유 제출함. 활보 이용 때문에.
*원래 2근거리 송라초1.7, 3근거리 은솔초 2.3</x:v>
      </x:c>
      <x:c r="X88" s="3" t="str">
        <x:f>IF(초입!AD88="","",초입!AD88)</x:f>
        <x:v>010-8836-1772</x:v>
      </x:c>
      <x:c r="Y88" s="3" t="str">
        <x:f>IF(초입!AE88="","",초입!AE88)</x:f>
        <x:v>류창준</x:v>
      </x:c>
      <x:c r="Z88" s="3" t="str">
        <x:f>IF(초입!M88="","",초입!M88)</x:f>
        <x:v>경기도 남양주시 화도읍 비룡로99번길 52-6, 다동 402호 (보아주택)</x:v>
      </x:c>
      <x:c r="AA88" s="7"/>
      <x:c r="AB88" s="7"/>
      <x:c r="AC88" s="7"/>
    </x:row>
    <x:row r="89" spans="1:29" customFormat="1" ht="39.54999999999999715783">
      <x:c r="A89" s="3">
        <x:f>초입!A89</x:f>
        <x:v>86</x:v>
      </x:c>
      <x:c r="B89" s="3" t="s">
        <x:v>194</x:v>
      </x:c>
      <x:c r="C89" s="3" t="str">
        <x:f>IF(초입!H89&lt;&gt;"","O","")</x:f>
        <x:v>O</x:v>
      </x:c>
      <x:c r="D89" s="3" t="str">
        <x:f>IF(초입!I89&lt;&gt;"","O","")</x:f>
        <x:v/>
      </x:c>
      <x:c r="E89" s="3" t="str">
        <x:f>초입!B89</x:f>
        <x:v>화도은솔유치원</x:v>
      </x:c>
      <x:c r="F89" s="3" t="str">
        <x:f>IF(초입!C89="","",초입!C89)</x:f>
        <x:v>특수학급</x:v>
      </x:c>
      <x:c r="G89" s="3">
        <x:f>IF(초입!D89="","",초입!D89)</x:f>
        <x:v>3</x:v>
      </x:c>
      <x:c r="H89" s="3" t="str">
        <x:f>IF(초입!E89="","",초입!E89)</x:f>
        <x:v>최규현</x:v>
      </x:c>
      <x:c r="I89" s="3" t="str">
        <x:f>IF(초입!F89="","",초입!F89)</x:f>
        <x:v>남</x:v>
      </x:c>
      <x:c r="J89" s="3" t="str">
        <x:f>IF(초입!G89="","",초입!G89)</x:f>
        <x:v>2020.12.23.</x:v>
      </x:c>
      <x:c r="K89" s="3" t="str">
        <x:f>IF(초입!J89="","",초입!J89)</x:f>
        <x:v>지적장애
(현 발달지체)</x:v>
      </x:c>
      <x:c r="L89" s="3" t="str">
        <x:f>IF(초입!K89="","",초입!K89)</x:f>
        <x:v>지적장애 발급중</x:v>
      </x:c>
      <x:c r="M89" s="3" t="str">
        <x:f>IF(초입!L89="","",초입!L89)</x:f>
        <x:v/>
      </x:c>
      <x:c r="N89" s="3" t="str">
        <x:f>IF(초입!N89="","",초입!N89)</x:f>
        <x:v>은솔초등학교</x:v>
      </x:c>
      <x:c r="O89" s="3" t="str">
        <x:f>IF(초입!O89="","",초입!O89)</x:f>
        <x:v>특수학급</x:v>
      </x:c>
      <x:c r="P89" s="3" t="str">
        <x:f>IF(초입!P89="","",초입!P89)</x:f>
        <x:v/>
      </x:c>
      <x:c r="Q89" s="3">
        <x:f>IF(초입!Q89="","",초입!Q89)</x:f>
        <x:v>0.16</x:v>
      </x:c>
      <x:c r="R89" s="3" t="str">
        <x:f>IF(초입!R89="","","1. "&amp;초입!R89&amp;IF(초입!V89&lt;&gt;"",CHAR(10)&amp;"2. "&amp;초입!V89,"")&amp;IF(초입!Z89&lt;&gt;"",CHAR(10)&amp;"3. "&amp;초입!Z89,""))</x:f>
        <x:v>1. 은솔초등학교
2. 창현초등학교
3. 남양주송라초</x:v>
      </x:c>
      <x:c r="S89" s="3" t="str">
        <x:f>IF(초입!S89="","",""&amp;초입!S89&amp;IF(초입!W89&lt;&gt;"",CHAR(10)&amp;""&amp;초입!W89,"")&amp;IF(초입!AA89&lt;&gt;"",CHAR(10)&amp;""&amp;초입!AA89,""))</x:f>
        <x:v>특수학급
특수학급
특수학급</x:v>
      </x:c>
      <x:c r="T89" s="3" t="str">
        <x:f>IF(초입!T89="","",""&amp;초입!T89&amp;IF(초입!X89&lt;&gt;"",CHAR(10)&amp;""&amp;초입!X89,"")&amp;IF(초입!AB89&lt;&gt;"",CHAR(10)&amp;""&amp;초입!AB89,""))</x:f>
        <x:v/>
      </x:c>
      <x:c r="U89" s="3" t="str">
        <x:f>IF(초입!U89="","",""&amp;초입!U89&amp;IF(초입!Y89&lt;&gt;"",CHAR(10)&amp;""&amp;초입!Y89,"")&amp;IF(초입!AC89&lt;&gt;"",CHAR(10)&amp;""&amp;초입!AC89,""))</x:f>
        <x:v>0.16
1.4
1.2</x:v>
      </x:c>
      <x:c r="V89" s="3" t="str">
        <x:f>IF(초입!AO89="","",초입!AO89)</x:f>
        <x:v>지적장애 복지카드 발급 대기중</x:v>
      </x:c>
      <x:c r="W89" s="3" t="str">
        <x:f>IF(초입!AP89="","",초입!AP89)</x:f>
        <x:v>*복지카드 발급 후 추가 제출 안내
*경은 취소함 / 서류 수정제출 필요</x:v>
      </x:c>
      <x:c r="X89" s="3" t="str">
        <x:f>IF(초입!AD89="","",초입!AD89)</x:f>
        <x:v>010-5527-4969</x:v>
      </x:c>
      <x:c r="Y89" s="3" t="str">
        <x:f>IF(초입!AE89="","",초입!AE89)</x:f>
        <x:v>류창준</x:v>
      </x:c>
      <x:c r="Z89" s="3" t="str">
        <x:f>IF(초입!M89="","",초입!M89)</x:f>
        <x:v>경기도 남양주시 화도읍 경춘보학2길 29, 301동 301호 (라온프라이빗아파트)</x:v>
      </x:c>
      <x:c r="AA89" s="7"/>
      <x:c r="AB89" s="7"/>
      <x:c r="AC89" s="7"/>
    </x:row>
    <x:row r="90" spans="1:29" customFormat="1" ht="26.35000000000000142109">
      <x:c r="A90" s="3">
        <x:f>초입!A90</x:f>
        <x:v>87</x:v>
      </x:c>
      <x:c r="B90" s="3" t="s">
        <x:v>194</x:v>
      </x:c>
      <x:c r="C90" s="3" t="str">
        <x:f>IF(초입!H90&lt;&gt;"","O","")</x:f>
        <x:v>O</x:v>
      </x:c>
      <x:c r="D90" s="3" t="str">
        <x:f>IF(초입!I90&lt;&gt;"","O","")</x:f>
        <x:v/>
      </x:c>
      <x:c r="E90" s="3" t="str">
        <x:f>초입!B90</x:f>
        <x:v>화도은솔유치원</x:v>
      </x:c>
      <x:c r="F90" s="3" t="str">
        <x:f>IF(초입!C90="","",초입!C90)</x:f>
        <x:v>특수학급</x:v>
      </x:c>
      <x:c r="G90" s="3">
        <x:f>IF(초입!D90="","",초입!D90)</x:f>
        <x:v>3</x:v>
      </x:c>
      <x:c r="H90" s="3" t="str">
        <x:f>IF(초입!E90="","",초입!E90)</x:f>
        <x:v>함채이</x:v>
      </x:c>
      <x:c r="I90" s="3" t="str">
        <x:f>IF(초입!F90="","",초입!F90)</x:f>
        <x:v>여</x:v>
      </x:c>
      <x:c r="J90" s="3" t="str">
        <x:f>IF(초입!G90="","",초입!G90)</x:f>
        <x:v>2020.08.25.</x:v>
      </x:c>
      <x:c r="K90" s="3" t="str">
        <x:f>IF(초입!J90="","",초입!J90)</x:f>
        <x:v>자폐성장애</x:v>
      </x:c>
      <x:c r="L90" s="3" t="str">
        <x:f>IF(초입!K90="","",초입!K90)</x:f>
        <x:v/>
      </x:c>
      <x:c r="M90" s="3" t="str">
        <x:f>IF(초입!L90="","",초입!L90)</x:f>
        <x:v/>
      </x:c>
      <x:c r="N90" s="3" t="str">
        <x:f>IF(초입!N90="","",초입!N90)</x:f>
        <x:v>은솔초등학교</x:v>
      </x:c>
      <x:c r="O90" s="3" t="str">
        <x:f>IF(초입!O90="","",초입!O90)</x:f>
        <x:v>특수학급</x:v>
      </x:c>
      <x:c r="P90" s="3" t="str">
        <x:f>IF(초입!P90="","",초입!P90)</x:f>
        <x:v/>
      </x:c>
      <x:c r="Q90" s="3">
        <x:f>IF(초입!Q90="","",초입!Q90)</x:f>
        <x:v>0.16</x:v>
      </x:c>
      <x:c r="R90" s="3" t="str">
        <x:f>IF(초입!R90="","","1. "&amp;초입!R90&amp;IF(초입!V90&lt;&gt;"",CHAR(10)&amp;"2. "&amp;초입!V90,"")&amp;IF(초입!Z90&lt;&gt;"",CHAR(10)&amp;"3. "&amp;초입!Z90,""))</x:f>
        <x:v>1. 은솔초등학교
2. 은솔초등학교</x:v>
      </x:c>
      <x:c r="S90" s="3" t="str">
        <x:f>IF(초입!S90="","",""&amp;초입!S90&amp;IF(초입!W90&lt;&gt;"",CHAR(10)&amp;""&amp;초입!W90,"")&amp;IF(초입!AA90&lt;&gt;"",CHAR(10)&amp;""&amp;초입!AA90,""))</x:f>
        <x:v>특수학급
일반학급</x:v>
      </x:c>
      <x:c r="T90" s="3" t="str">
        <x:f>IF(초입!T90="","",""&amp;초입!T90&amp;IF(초입!X90&lt;&gt;"",CHAR(10)&amp;""&amp;초입!X90,"")&amp;IF(초입!AB90&lt;&gt;"",CHAR(10)&amp;""&amp;초입!AB90,""))</x:f>
        <x:v/>
      </x:c>
      <x:c r="U90" s="3" t="str">
        <x:f>IF(초입!U90="","",""&amp;초입!U90&amp;IF(초입!Y90&lt;&gt;"",CHAR(10)&amp;""&amp;초입!Y90,"")&amp;IF(초입!AC90&lt;&gt;"",CHAR(10)&amp;""&amp;초입!AC90,""))</x:f>
        <x:v>0.16
0.16</x:v>
      </x:c>
      <x:c r="V90" s="3" t="str">
        <x:f>IF(초입!AO90="","",초입!AO90)</x:f>
        <x:v/>
      </x:c>
      <x:c r="W90" s="3" t="str">
        <x:f>IF(초입!AP90="","",초입!AP90)</x:f>
        <x:v/>
      </x:c>
      <x:c r="X90" s="3" t="str">
        <x:f>IF(초입!AD90="","",초입!AD90)</x:f>
        <x:v>010-3906-3963</x:v>
      </x:c>
      <x:c r="Y90" s="3" t="str">
        <x:f>IF(초입!AE90="","",초입!AE90)</x:f>
        <x:v>류창준</x:v>
      </x:c>
      <x:c r="Z90" s="3" t="str">
        <x:f>IF(초입!M90="","",초입!M90)</x:f>
        <x:v>경기도 남양주시 화도읍 경춘보학2길 29, 302동 9층 901호 (라온프라이빗아파트)</x:v>
      </x:c>
      <x:c r="AA90" s="7"/>
      <x:c r="AB90" s="7"/>
      <x:c r="AC90" s="7"/>
    </x:row>
    <x:row r="91" spans="1:29" customFormat="1" ht="39.54999999999999715783">
      <x:c r="A91" s="3">
        <x:f>초입!A91</x:f>
        <x:v>88</x:v>
      </x:c>
      <x:c r="B91" s="3" t="s">
        <x:v>194</x:v>
      </x:c>
      <x:c r="C91" s="3" t="str">
        <x:f>IF(초입!H91&lt;&gt;"","O","")</x:f>
        <x:v>O</x:v>
      </x:c>
      <x:c r="D91" s="3" t="str">
        <x:f>IF(초입!I91&lt;&gt;"","O","")</x:f>
        <x:v/>
      </x:c>
      <x:c r="E91" s="3" t="str">
        <x:f>초입!B91</x:f>
        <x:v>다산꽃다비유치원</x:v>
      </x:c>
      <x:c r="F91" s="3" t="str">
        <x:f>IF(초입!C91="","",초입!C91)</x:f>
        <x:v>특수학급</x:v>
      </x:c>
      <x:c r="G91" s="3">
        <x:f>IF(초입!D91="","",초입!D91)</x:f>
        <x:v>3</x:v>
      </x:c>
      <x:c r="H91" s="3" t="str">
        <x:f>IF(초입!E91="","",초입!E91)</x:f>
        <x:v>최시환</x:v>
      </x:c>
      <x:c r="I91" s="3" t="str">
        <x:f>IF(초입!F91="","",초입!F91)</x:f>
        <x:v>남</x:v>
      </x:c>
      <x:c r="J91" s="3" t="str">
        <x:f>IF(초입!G91="","",초입!G91)</x:f>
        <x:v>2020.10.20.</x:v>
      </x:c>
      <x:c r="K91" s="3" t="str">
        <x:f>IF(초입!J91="","",초입!J91)</x:f>
        <x:v>발달지체</x:v>
      </x:c>
      <x:c r="L91" s="3" t="str">
        <x:f>IF(초입!K91="","",초입!K91)</x:f>
        <x:v/>
      </x:c>
      <x:c r="M91" s="3" t="str">
        <x:f>IF(초입!L91="","",초입!L91)</x:f>
        <x:v/>
      </x:c>
      <x:c r="N91" s="3" t="str">
        <x:f>IF(초입!N91="","",초입!N91)</x:f>
        <x:v>구룡초등학교</x:v>
      </x:c>
      <x:c r="O91" s="3" t="str">
        <x:f>IF(초입!O91="","",초입!O91)</x:f>
        <x:v>특수학급</x:v>
      </x:c>
      <x:c r="P91" s="3" t="str">
        <x:f>IF(초입!P91="","",초입!P91)</x:f>
        <x:v/>
      </x:c>
      <x:c r="Q91" s="3">
        <x:f>IF(초입!Q91="","",초입!Q91)</x:f>
        <x:v>0.78200000000000003</x:v>
      </x:c>
      <x:c r="R91" s="3" t="str">
        <x:f>IF(초입!R91="","","1. "&amp;초입!R91&amp;IF(초입!V91&lt;&gt;"",CHAR(10)&amp;"2. "&amp;초입!V91,"")&amp;IF(초입!Z91&lt;&gt;"",CHAR(10)&amp;"3. "&amp;초입!Z91,""))</x:f>
        <x:v>1. 구룡초등학교
2. 판곡초등학교
3. 평동초등학교</x:v>
      </x:c>
      <x:c r="S91" s="3" t="str">
        <x:f>IF(초입!S91="","",""&amp;초입!S91&amp;IF(초입!W91&lt;&gt;"",CHAR(10)&amp;""&amp;초입!W91,"")&amp;IF(초입!AA91&lt;&gt;"",CHAR(10)&amp;""&amp;초입!AA91,""))</x:f>
        <x:v>특수학급
특수학급
특수학급</x:v>
      </x:c>
      <x:c r="T91" s="3" t="str">
        <x:f>IF(초입!T91="","",""&amp;초입!T91&amp;IF(초입!X91&lt;&gt;"",CHAR(10)&amp;""&amp;초입!X91,"")&amp;IF(초입!AB91&lt;&gt;"",CHAR(10)&amp;""&amp;초입!AB91,""))</x:f>
        <x:v/>
      </x:c>
      <x:c r="U91" s="3" t="str">
        <x:f>IF(초입!U91="","",""&amp;초입!U91&amp;IF(초입!Y91&lt;&gt;"",CHAR(10)&amp;""&amp;초입!Y91,"")&amp;IF(초입!AC91&lt;&gt;"",CHAR(10)&amp;""&amp;초입!AC91,""))</x:f>
        <x:v>0.782
0.918
1</x:v>
      </x:c>
      <x:c r="V91" s="3" t="str">
        <x:f>IF(초입!AO91="","",초입!AO91)</x:f>
        <x:v/>
      </x:c>
      <x:c r="W91" s="3" t="str">
        <x:f>IF(초입!AP91="","",초입!AP91)</x:f>
        <x:v>*구룡초, 판곡초 공동학구이며,
*쌍둥이와 다른 학교 희망해 1희망 구룡 작성 / 우선 가족관계 추가제출 요청 / 공문으로 받음</x:v>
      </x:c>
      <x:c r="X91" s="3" t="str">
        <x:f>IF(초입!AD91="","",초입!AD91)</x:f>
        <x:v>010-2971-2727</x:v>
      </x:c>
      <x:c r="Y91" s="3" t="str">
        <x:f>IF(초입!AE91="","",초입!AE91)</x:f>
        <x:v>정지혜</x:v>
      </x:c>
      <x:c r="Z91" s="3" t="str">
        <x:f>IF(초입!M91="","",초입!M91)</x:f>
        <x:v>경기도 남양주시 늘을3로 65-26, 1318동 905호</x:v>
      </x:c>
      <x:c r="AA91" s="7"/>
      <x:c r="AB91" s="7"/>
      <x:c r="AC91" s="7"/>
    </x:row>
    <x:row r="92" spans="1:29" customFormat="1" ht="39.54999999999999715783">
      <x:c r="A92" s="3">
        <x:f>초입!A92</x:f>
        <x:v>89</x:v>
      </x:c>
      <x:c r="B92" s="3" t="s">
        <x:v>194</x:v>
      </x:c>
      <x:c r="C92" s="3" t="str">
        <x:f>IF(초입!H92&lt;&gt;"","O","")</x:f>
        <x:v>O</x:v>
      </x:c>
      <x:c r="D92" s="3" t="str">
        <x:f>IF(초입!I92&lt;&gt;"","O","")</x:f>
        <x:v/>
      </x:c>
      <x:c r="E92" s="3" t="str">
        <x:f>초입!B92</x:f>
        <x:v>다산꽃다비유치원</x:v>
      </x:c>
      <x:c r="F92" s="3" t="str">
        <x:f>IF(초입!C92="","",초입!C92)</x:f>
        <x:v>특수학급</x:v>
      </x:c>
      <x:c r="G92" s="3">
        <x:f>IF(초입!D92="","",초입!D92)</x:f>
        <x:v>3</x:v>
      </x:c>
      <x:c r="H92" s="3" t="str">
        <x:f>IF(초입!E92="","",초입!E92)</x:f>
        <x:v>이로하</x:v>
      </x:c>
      <x:c r="I92" s="3" t="str">
        <x:f>IF(초입!F92="","",초입!F92)</x:f>
        <x:v>남</x:v>
      </x:c>
      <x:c r="J92" s="3" t="str">
        <x:f>IF(초입!G92="","",초입!G92)</x:f>
        <x:v>2020.05.04.</x:v>
      </x:c>
      <x:c r="K92" s="3" t="str">
        <x:f>IF(초입!J92="","",초입!J92)</x:f>
        <x:v>발달지체</x:v>
      </x:c>
      <x:c r="L92" s="3" t="str">
        <x:f>IF(초입!K92="","",초입!K92)</x:f>
        <x:v/>
      </x:c>
      <x:c r="M92" s="3" t="str">
        <x:f>IF(초입!L92="","",초입!L92)</x:f>
        <x:v/>
      </x:c>
      <x:c r="N92" s="3" t="str">
        <x:f>IF(초입!N92="","",초입!N92)</x:f>
        <x:v>다산별빛초등학교</x:v>
      </x:c>
      <x:c r="O92" s="3" t="str">
        <x:f>IF(초입!O92="","",초입!O92)</x:f>
        <x:v>특수학급</x:v>
      </x:c>
      <x:c r="P92" s="3" t="str">
        <x:f>IF(초입!P92="","",초입!P92)</x:f>
        <x:v/>
      </x:c>
      <x:c r="Q92" s="3">
        <x:f>IF(초입!Q92="","",초입!Q92)</x:f>
        <x:v>0.28000000000000003</x:v>
      </x:c>
      <x:c r="R92" s="3" t="str">
        <x:f>IF(초입!R92="","","1. "&amp;초입!R92&amp;IF(초입!V92&lt;&gt;"",CHAR(10)&amp;"2. "&amp;초입!V92,"")&amp;IF(초입!Z92&lt;&gt;"",CHAR(10)&amp;"3. "&amp;초입!Z92,""))</x:f>
        <x:v>1. 다산별빛초등학교
2. 다산새봄초등학교
3. 금교초등학교</x:v>
      </x:c>
      <x:c r="S92" s="3" t="str">
        <x:f>IF(초입!S92="","",""&amp;초입!S92&amp;IF(초입!W92&lt;&gt;"",CHAR(10)&amp;""&amp;초입!W92,"")&amp;IF(초입!AA92&lt;&gt;"",CHAR(10)&amp;""&amp;초입!AA92,""))</x:f>
        <x:v>특수학급
특수학급
특수학급</x:v>
      </x:c>
      <x:c r="T92" s="3" t="str">
        <x:f>IF(초입!T92="","",""&amp;초입!T92&amp;IF(초입!X92&lt;&gt;"",CHAR(10)&amp;""&amp;초입!X92,"")&amp;IF(초입!AB92&lt;&gt;"",CHAR(10)&amp;""&amp;초입!AB92,""))</x:f>
        <x:v/>
      </x:c>
      <x:c r="U92" s="3" t="str">
        <x:f>IF(초입!U92="","",""&amp;초입!U92&amp;IF(초입!Y92&lt;&gt;"",CHAR(10)&amp;""&amp;초입!Y92,"")&amp;IF(초입!AC92&lt;&gt;"",CHAR(10)&amp;""&amp;초입!AC92,""))</x:f>
        <x:v>0.28
0.566
0.64</x:v>
      </x:c>
      <x:c r="V92" s="3" t="str">
        <x:f>IF(초입!AO92="","",초입!AO92)</x:f>
        <x:v/>
      </x:c>
      <x:c r="W92" s="3" t="str">
        <x:f>IF(초입!AP92="","",초입!AP92)</x:f>
        <x:v/>
      </x:c>
      <x:c r="X92" s="3" t="str">
        <x:f>IF(초입!AD92="","",초입!AD92)</x:f>
        <x:v>010-2744-5265</x:v>
      </x:c>
      <x:c r="Y92" s="3" t="str">
        <x:f>IF(초입!AE92="","",초입!AE92)</x:f>
        <x:v>정지혜</x:v>
      </x:c>
      <x:c r="Z92" s="3" t="str">
        <x:f>IF(초입!M92="","",초입!M92)</x:f>
        <x:v>경기도 남양주시 다산중앙로 82번길 72-43, 301호</x:v>
      </x:c>
      <x:c r="AA92" s="7"/>
      <x:c r="AB92" s="7"/>
      <x:c r="AC92" s="7"/>
    </x:row>
    <x:row r="93" spans="1:29" customFormat="1" ht="39.54999999999999715783">
      <x:c r="A93" s="3">
        <x:f>초입!A93</x:f>
        <x:v>90</x:v>
      </x:c>
      <x:c r="B93" s="3" t="s">
        <x:v>194</x:v>
      </x:c>
      <x:c r="C93" s="3" t="str">
        <x:f>IF(초입!H93&lt;&gt;"","O","")</x:f>
        <x:v>O</x:v>
      </x:c>
      <x:c r="D93" s="3" t="str">
        <x:f>IF(초입!I93&lt;&gt;"","O","")</x:f>
        <x:v/>
      </x:c>
      <x:c r="E93" s="3" t="str">
        <x:f>초입!B93</x:f>
        <x:v>미사랑유치원(광주하남)</x:v>
      </x:c>
      <x:c r="F93" s="3" t="str">
        <x:f>IF(초입!C93="","",초입!C93)</x:f>
        <x:v>특수학급</x:v>
      </x:c>
      <x:c r="G93" s="3">
        <x:f>IF(초입!D93="","",초입!D93)</x:f>
        <x:v>3</x:v>
      </x:c>
      <x:c r="H93" s="3" t="str">
        <x:f>IF(초입!E93="","",초입!E93)</x:f>
        <x:v>정시우</x:v>
      </x:c>
      <x:c r="I93" s="3" t="str">
        <x:f>IF(초입!F93="","",초입!F93)</x:f>
        <x:v>남</x:v>
      </x:c>
      <x:c r="J93" s="3" t="str">
        <x:f>IF(초입!G93="","",초입!G93)</x:f>
        <x:v>2020.07.30.</x:v>
      </x:c>
      <x:c r="K93" s="3" t="str">
        <x:f>IF(초입!J93="","",초입!J93)</x:f>
        <x:v>자폐성장애</x:v>
      </x:c>
      <x:c r="L93" s="3" t="str">
        <x:f>IF(초입!K93="","",초입!K93)</x:f>
        <x:v>자폐성장애</x:v>
      </x:c>
      <x:c r="M93" s="3" t="str">
        <x:f>IF(초입!L93="","",초입!L93)</x:f>
        <x:v>중증</x:v>
      </x:c>
      <x:c r="N93" s="3" t="str">
        <x:f>IF(초입!N93="","",초입!N93)</x:f>
        <x:v>덕소초등학교</x:v>
      </x:c>
      <x:c r="O93" s="3" t="str">
        <x:f>IF(초입!O93="","",초입!O93)</x:f>
        <x:v>특수학급</x:v>
      </x:c>
      <x:c r="P93" s="3" t="str">
        <x:f>IF(초입!P93="","",초입!P93)</x:f>
        <x:v/>
      </x:c>
      <x:c r="Q93" s="3">
        <x:f>IF(초입!Q93="","",초입!Q93)</x:f>
        <x:v>0.77400000000000002</x:v>
      </x:c>
      <x:c r="R93" s="3" t="str">
        <x:f>IF(초입!R93="","","1. "&amp;초입!R93&amp;IF(초입!V93&lt;&gt;"",CHAR(10)&amp;"2. "&amp;초입!V93,"")&amp;IF(초입!Z93&lt;&gt;"",CHAR(10)&amp;"3. "&amp;초입!Z93,""))</x:f>
        <x:v>1. 덕소초등학교
2. 도곡초등학교
3. 와부초등학교</x:v>
      </x:c>
      <x:c r="S93" s="3" t="str">
        <x:f>IF(초입!S93="","",""&amp;초입!S93&amp;IF(초입!W93&lt;&gt;"",CHAR(10)&amp;""&amp;초입!W93,"")&amp;IF(초입!AA93&lt;&gt;"",CHAR(10)&amp;""&amp;초입!AA93,""))</x:f>
        <x:v>특수학급
특수학급
특수학급</x:v>
      </x:c>
      <x:c r="T93" s="3" t="str">
        <x:f>IF(초입!T93="","",""&amp;초입!T93&amp;IF(초입!X93&lt;&gt;"",CHAR(10)&amp;""&amp;초입!X93,"")&amp;IF(초입!AB93&lt;&gt;"",CHAR(10)&amp;""&amp;초입!AB93,""))</x:f>
        <x:v/>
      </x:c>
      <x:c r="U93" s="3" t="str">
        <x:f>IF(초입!U93="","",""&amp;초입!U93&amp;IF(초입!Y93&lt;&gt;"",CHAR(10)&amp;""&amp;초입!Y93,"")&amp;IF(초입!AC93&lt;&gt;"",CHAR(10)&amp;""&amp;초입!AC93,""))</x:f>
        <x:v>0.774
0.875
0.902</x:v>
      </x:c>
      <x:c r="V93" s="3" t="str">
        <x:f>IF(초입!AO93="","",초입!AO93)</x:f>
        <x:v>□ 복지카드: 자폐성장애 중증(~2031.12.26.)</x:v>
      </x:c>
      <x:c r="W93" s="3" t="str">
        <x:f>IF(초입!AP93="","",초입!AP93)</x:f>
        <x:v>*(관외_광주하남) 진단평가결과X / 추후 수령 예정
*와부초 거리 근거 3희망으로 임의변경함.</x:v>
      </x:c>
      <x:c r="X93" s="3" t="str">
        <x:f>IF(초입!AD93="","",초입!AD93)</x:f>
        <x:v>010-8547-9168</x:v>
      </x:c>
      <x:c r="Y93" s="3" t="str">
        <x:f>IF(초입!AE93="","",초입!AE93)</x:f>
        <x:v>채승현</x:v>
      </x:c>
      <x:c r="Z93" s="3" t="str">
        <x:f>IF(초입!M93="","",초입!M93)</x:f>
        <x:v>경기도 남양주시 와부읍 덕소로116번길 12, 603동 504호 (덕소강변신일해피트리아파트)</x:v>
      </x:c>
      <x:c r="AA93" s="22"/>
      <x:c r="AB93" s="22"/>
      <x:c r="AC93" s="22"/>
    </x:row>
    <x:row r="94" spans="1:29" customFormat="1" ht="52.70000000000000284217">
      <x:c r="A94" s="3">
        <x:f>초입!A94</x:f>
        <x:v>91</x:v>
      </x:c>
      <x:c r="B94" s="3" t="s">
        <x:v>194</x:v>
      </x:c>
      <x:c r="C94" s="3" t="str">
        <x:f>IF(초입!H94&lt;&gt;"","O","")</x:f>
        <x:v>O</x:v>
      </x:c>
      <x:c r="D94" s="3" t="str">
        <x:f>IF(초입!I94&lt;&gt;"","O","")</x:f>
        <x:v/>
      </x:c>
      <x:c r="E94" s="3" t="str">
        <x:f>초입!B94</x:f>
        <x:v>예봉초등학교병설유치원</x:v>
      </x:c>
      <x:c r="F94" s="3" t="str">
        <x:f>IF(초입!C94="","",초입!C94)</x:f>
        <x:v>특수학급</x:v>
      </x:c>
      <x:c r="G94" s="3">
        <x:f>IF(초입!D94="","",초입!D94)</x:f>
        <x:v>3</x:v>
      </x:c>
      <x:c r="H94" s="3" t="str">
        <x:f>IF(초입!E94="","",초입!E94)</x:f>
        <x:v>김성연</x:v>
      </x:c>
      <x:c r="I94" s="3" t="str">
        <x:f>IF(초입!F94="","",초입!F94)</x:f>
        <x:v>남</x:v>
      </x:c>
      <x:c r="J94" s="3" t="str">
        <x:f>IF(초입!G94="","",초입!G94)</x:f>
        <x:v>2020.09.14.</x:v>
      </x:c>
      <x:c r="K94" s="3" t="str">
        <x:f>IF(초입!J94="","",초입!J94)</x:f>
        <x:v>발달지체</x:v>
      </x:c>
      <x:c r="L94" s="3" t="str">
        <x:f>IF(초입!K94="","",초입!K94)</x:f>
        <x:v/>
      </x:c>
      <x:c r="M94" s="3" t="str">
        <x:f>IF(초입!L94="","",초입!L94)</x:f>
        <x:v/>
      </x:c>
      <x:c r="N94" s="3" t="str">
        <x:f>IF(초입!N94="","",초입!N94)</x:f>
        <x:v>덕소초등학교</x:v>
      </x:c>
      <x:c r="O94" s="3" t="str">
        <x:f>IF(초입!O94="","",초입!O94)</x:f>
        <x:v>특수학급</x:v>
      </x:c>
      <x:c r="P94" s="3" t="str">
        <x:f>IF(초입!P94="","",초입!P94)</x:f>
        <x:v/>
      </x:c>
      <x:c r="Q94" s="3">
        <x:f>IF(초입!Q94="","",초입!Q94)</x:f>
        <x:v>0.66400000000000003</x:v>
      </x:c>
      <x:c r="R94" s="3" t="str">
        <x:f>IF(초입!R94="","","1. "&amp;초입!R94&amp;IF(초입!V94&lt;&gt;"",CHAR(10)&amp;"2. "&amp;초입!V94,"")&amp;IF(초입!Z94&lt;&gt;"",CHAR(10)&amp;"3. "&amp;초입!Z94,""))</x:f>
        <x:v>1. 덕소초등학교
2. 예봉초등학교
3. 도곡초등학교</x:v>
      </x:c>
      <x:c r="S94" s="3" t="str">
        <x:f>IF(초입!S94="","",""&amp;초입!S94&amp;IF(초입!W94&lt;&gt;"",CHAR(10)&amp;""&amp;초입!W94,"")&amp;IF(초입!AA94&lt;&gt;"",CHAR(10)&amp;""&amp;초입!AA94,""))</x:f>
        <x:v>특수학급
특수학급
특수학급</x:v>
      </x:c>
      <x:c r="T94" s="3" t="str">
        <x:f>IF(초입!T94="","",""&amp;초입!T94&amp;IF(초입!X94&lt;&gt;"",CHAR(10)&amp;""&amp;초입!X94,"")&amp;IF(초입!AB94&lt;&gt;"",CHAR(10)&amp;""&amp;초입!AB94,""))</x:f>
        <x:v/>
      </x:c>
      <x:c r="U94" s="3" t="str">
        <x:f>IF(초입!U94="","",""&amp;초입!U94&amp;IF(초입!Y94&lt;&gt;"",CHAR(10)&amp;""&amp;초입!Y94,"")&amp;IF(초입!AC94&lt;&gt;"",CHAR(10)&amp;""&amp;초입!AC94,""))</x:f>
        <x:v>0.664
1.7
1.7</x:v>
      </x:c>
      <x:c r="V94" s="3" t="str">
        <x:f>IF(초입!AO94="","",초입!AO94)</x:f>
        <x:v/>
      </x:c>
      <x:c r="W94" s="3" t="str">
        <x:f>IF(초입!AP94="","",초입!AP94)</x:f>
        <x:v>*2희망 월문초 일반학급 작성. 별도의 증빙서류 없기에 배치에 반영은 어려움 안내, 3근거리 도곡초 1.7
* 원본 수정파일 들어올 예정 / 들어옴</x:v>
      </x:c>
      <x:c r="X94" s="3" t="str">
        <x:f>IF(초입!AD94="","",초입!AD94)</x:f>
        <x:v>010-3686-1911</x:v>
      </x:c>
      <x:c r="Y94" s="3" t="str">
        <x:f>IF(초입!AE94="","",초입!AE94)</x:f>
        <x:v>윤세련</x:v>
      </x:c>
      <x:c r="Z94" s="3" t="str">
        <x:f>IF(초입!M94="","",초입!M94)</x:f>
        <x:v>경기도 남양주시 와부읍 덕소로 33, 301-1404</x:v>
      </x:c>
      <x:c r="AA94" s="7"/>
      <x:c r="AB94" s="7"/>
      <x:c r="AC94" s="7"/>
    </x:row>
    <x:row r="95" spans="1:29" customFormat="1" ht="39.54999999999999715783">
      <x:c r="A95" s="3">
        <x:f>초입!A95</x:f>
        <x:v>92</x:v>
      </x:c>
      <x:c r="B95" s="3" t="s">
        <x:v>194</x:v>
      </x:c>
      <x:c r="C95" s="3" t="str">
        <x:f>IF(초입!H95&lt;&gt;"","O","")</x:f>
        <x:v>O</x:v>
      </x:c>
      <x:c r="D95" s="3" t="str">
        <x:f>IF(초입!I95&lt;&gt;"","O","")</x:f>
        <x:v/>
      </x:c>
      <x:c r="E95" s="3" t="str">
        <x:f>초입!B95</x:f>
        <x:v>남양주다산초등학교병설유치원</x:v>
      </x:c>
      <x:c r="F95" s="3" t="str">
        <x:f>IF(초입!C95="","",초입!C95)</x:f>
        <x:v>특수학급</x:v>
      </x:c>
      <x:c r="G95" s="3">
        <x:f>IF(초입!D95="","",초입!D95)</x:f>
        <x:v>3</x:v>
      </x:c>
      <x:c r="H95" s="3" t="str">
        <x:f>IF(초입!E95="","",초입!E95)</x:f>
        <x:v>이지성</x:v>
      </x:c>
      <x:c r="I95" s="3" t="str">
        <x:f>IF(초입!F95="","",초입!F95)</x:f>
        <x:v>남</x:v>
      </x:c>
      <x:c r="J95" s="3" t="str">
        <x:f>IF(초입!G95="","",초입!G95)</x:f>
        <x:v>2020.04.08.</x:v>
      </x:c>
      <x:c r="K95" s="3" t="str">
        <x:f>IF(초입!J95="","",초입!J95)</x:f>
        <x:v>발달지체</x:v>
      </x:c>
      <x:c r="L95" s="3" t="str">
        <x:f>IF(초입!K95="","",초입!K95)</x:f>
        <x:v/>
      </x:c>
      <x:c r="M95" s="3" t="str">
        <x:f>IF(초입!L95="","",초입!L95)</x:f>
        <x:v/>
      </x:c>
      <x:c r="N95" s="3" t="str">
        <x:f>IF(초입!N95="","",초입!N95)</x:f>
        <x:v>다산새봄초등학교</x:v>
      </x:c>
      <x:c r="O95" s="3" t="str">
        <x:f>IF(초입!O95="","",초입!O95)</x:f>
        <x:v>특수학급</x:v>
      </x:c>
      <x:c r="P95" s="3" t="str">
        <x:f>IF(초입!P95="","",초입!P95)</x:f>
        <x:v/>
      </x:c>
      <x:c r="Q95" s="3">
        <x:f>IF(초입!Q95="","",초입!Q95)</x:f>
        <x:v>0.76500000000000001</x:v>
      </x:c>
      <x:c r="R95" s="3" t="str">
        <x:f>IF(초입!R95="","","1. "&amp;초입!R95&amp;IF(초입!V95&lt;&gt;"",CHAR(10)&amp;"2. "&amp;초입!V95,"")&amp;IF(초입!Z95&lt;&gt;"",CHAR(10)&amp;"3. "&amp;초입!Z95,""))</x:f>
        <x:v>1. 다산새봄초등학교
2. 남양주다산초등학교
3. 다산하늘초등학교</x:v>
      </x:c>
      <x:c r="S95" s="3" t="str">
        <x:f>IF(초입!S95="","",""&amp;초입!S95&amp;IF(초입!W95&lt;&gt;"",CHAR(10)&amp;""&amp;초입!W95,"")&amp;IF(초입!AA95&lt;&gt;"",CHAR(10)&amp;""&amp;초입!AA95,""))</x:f>
        <x:v>특수학급
특수학급
특수학급</x:v>
      </x:c>
      <x:c r="T95" s="3" t="str">
        <x:f>IF(초입!T95="","",""&amp;초입!T95&amp;IF(초입!X95&lt;&gt;"",CHAR(10)&amp;""&amp;초입!X95,"")&amp;IF(초입!AB95&lt;&gt;"",CHAR(10)&amp;""&amp;초입!AB95,""))</x:f>
        <x:v/>
      </x:c>
      <x:c r="U95" s="3" t="str">
        <x:f>IF(초입!U95="","",""&amp;초입!U95&amp;IF(초입!Y95&lt;&gt;"",CHAR(10)&amp;""&amp;초입!Y95,"")&amp;IF(초입!AC95&lt;&gt;"",CHAR(10)&amp;""&amp;초입!AC95,""))</x:f>
        <x:v>0.765
0.631
1.1</x:v>
      </x:c>
      <x:c r="V95" s="3" t="str">
        <x:f>IF(초입!AO95="","",초입!AO95)</x:f>
        <x:v/>
      </x:c>
      <x:c r="W95" s="3" t="str">
        <x:f>IF(초입!AP95="","",초입!AP95)</x:f>
        <x:v/>
      </x:c>
      <x:c r="X95" s="3" t="str">
        <x:f>IF(초입!AD95="","",초입!AD95)</x:f>
        <x:v>010-8905-4635</x:v>
      </x:c>
      <x:c r="Y95" s="3" t="str">
        <x:f>IF(초입!AE95="","",초입!AE95)</x:f>
        <x:v>이수빈</x:v>
      </x:c>
      <x:c r="Z95" s="3" t="str">
        <x:f>IF(초입!M95="","",초입!M95)</x:f>
        <x:v>경기도 남양주시 다산중앙로 82번길15, 5106동 1201호(다산e편한세상)</x:v>
      </x:c>
      <x:c r="AA95" s="7"/>
      <x:c r="AB95" s="7"/>
      <x:c r="AC95" s="7"/>
    </x:row>
    <x:row r="96" spans="1:29" customFormat="1" ht="39.54999999999999715783">
      <x:c r="A96" s="3">
        <x:f>초입!A96</x:f>
        <x:v>93</x:v>
      </x:c>
      <x:c r="B96" s="3" t="s">
        <x:v>194</x:v>
      </x:c>
      <x:c r="C96" s="3" t="str">
        <x:f>IF(초입!H96&lt;&gt;"","O","")</x:f>
        <x:v>O</x:v>
      </x:c>
      <x:c r="D96" s="3" t="str">
        <x:f>IF(초입!I96&lt;&gt;"","O","")</x:f>
        <x:v/>
      </x:c>
      <x:c r="E96" s="3" t="str">
        <x:f>초입!B96</x:f>
        <x:v>해밀초등학교병설유치원</x:v>
      </x:c>
      <x:c r="F96" s="3" t="str">
        <x:f>IF(초입!C96="","",초입!C96)</x:f>
        <x:v>특수학급</x:v>
      </x:c>
      <x:c r="G96" s="3">
        <x:f>IF(초입!D96="","",초입!D96)</x:f>
        <x:v>3</x:v>
      </x:c>
      <x:c r="H96" s="3" t="str">
        <x:f>IF(초입!E96="","",초입!E96)</x:f>
        <x:v>김이현</x:v>
      </x:c>
      <x:c r="I96" s="3" t="str">
        <x:f>IF(초입!F96="","",초입!F96)</x:f>
        <x:v>남</x:v>
      </x:c>
      <x:c r="J96" s="3" t="str">
        <x:f>IF(초입!G96="","",초입!G96)</x:f>
        <x:v>2020.09.09.</x:v>
      </x:c>
      <x:c r="K96" s="3" t="str">
        <x:f>IF(초입!J96="","",초입!J96)</x:f>
        <x:v>발달지체</x:v>
      </x:c>
      <x:c r="L96" s="3" t="str">
        <x:f>IF(초입!K96="","",초입!K96)</x:f>
        <x:v/>
      </x:c>
      <x:c r="M96" s="3" t="str">
        <x:f>IF(초입!L96="","",초입!L96)</x:f>
        <x:v/>
      </x:c>
      <x:c r="N96" s="3" t="str">
        <x:f>IF(초입!N96="","",초입!N96)</x:f>
        <x:v>진접초등학교</x:v>
      </x:c>
      <x:c r="O96" s="3" t="str">
        <x:f>IF(초입!O96="","",초입!O96)</x:f>
        <x:v>특수학급</x:v>
      </x:c>
      <x:c r="P96" s="3" t="str">
        <x:f>IF(초입!P96="","",초입!P96)</x:f>
        <x:v/>
      </x:c>
      <x:c r="Q96" s="3">
        <x:f>IF(초입!Q96="","",초입!Q96)</x:f>
        <x:v>0.45000000000000001</x:v>
      </x:c>
      <x:c r="R96" s="3" t="str">
        <x:f>IF(초입!R96="","","1. "&amp;초입!R96&amp;IF(초입!V96&lt;&gt;"",CHAR(10)&amp;"2. "&amp;초입!V96,"")&amp;IF(초입!Z96&lt;&gt;"",CHAR(10)&amp;"3. "&amp;초입!Z96,""))</x:f>
        <x:v>1. 진접초등학교
2. 해밀초등학교
3. 화봉초등학교</x:v>
      </x:c>
      <x:c r="S96" s="3" t="str">
        <x:f>IF(초입!S96="","",""&amp;초입!S96&amp;IF(초입!W96&lt;&gt;"",CHAR(10)&amp;""&amp;초입!W96,"")&amp;IF(초입!AA96&lt;&gt;"",CHAR(10)&amp;""&amp;초입!AA96,""))</x:f>
        <x:v>특수학급
특수학급
특수학급</x:v>
      </x:c>
      <x:c r="T96" s="3" t="str">
        <x:f>IF(초입!T96="","",""&amp;초입!T96&amp;IF(초입!X96&lt;&gt;"",CHAR(10)&amp;""&amp;초입!X96,"")&amp;IF(초입!AB96&lt;&gt;"",CHAR(10)&amp;""&amp;초입!AB96,""))</x:f>
        <x:v/>
      </x:c>
      <x:c r="U96" s="3" t="str">
        <x:f>IF(초입!U96="","",""&amp;초입!U96&amp;IF(초입!Y96&lt;&gt;"",CHAR(10)&amp;""&amp;초입!Y96,"")&amp;IF(초입!AC96&lt;&gt;"",CHAR(10)&amp;""&amp;초입!AC96,""))</x:f>
        <x:v>0.45
0.486
0.914</x:v>
      </x:c>
      <x:c r="V96" s="3" t="str">
        <x:f>IF(초입!AO96="","",초입!AO96)</x:f>
        <x:v/>
      </x:c>
      <x:c r="W96" s="3" t="str">
        <x:f>IF(초입!AP96="","",초입!AP96)</x:f>
        <x:v/>
      </x:c>
      <x:c r="X96" s="3" t="str">
        <x:f>IF(초입!AD96="","",초입!AD96)</x:f>
        <x:v>010-6638-5906</x:v>
      </x:c>
      <x:c r="Y96" s="3" t="str">
        <x:f>IF(초입!AE96="","",초입!AE96)</x:f>
        <x:v>장하영</x:v>
      </x:c>
      <x:c r="Z96" s="3" t="str">
        <x:f>IF(초입!M96="","",초입!M96)</x:f>
        <x:v>경기도 남양주시 진접읍 해밀예당3로68, 1907동 101호(금강펜테리움)</x:v>
      </x:c>
      <x:c r="AA96" s="7"/>
      <x:c r="AB96" s="7"/>
      <x:c r="AC96" s="7"/>
    </x:row>
    <x:row r="97" spans="1:29" customFormat="1" ht="39.54999999999999715783">
      <x:c r="A97" s="3">
        <x:f>초입!A97</x:f>
        <x:v>94</x:v>
      </x:c>
      <x:c r="B97" s="3" t="s">
        <x:v>194</x:v>
      </x:c>
      <x:c r="C97" s="3" t="str">
        <x:f>IF(초입!H97&lt;&gt;"","O","")</x:f>
        <x:v>O</x:v>
      </x:c>
      <x:c r="D97" s="3" t="str">
        <x:f>IF(초입!I97&lt;&gt;"","O","")</x:f>
        <x:v/>
      </x:c>
      <x:c r="E97" s="3" t="str">
        <x:f>초입!B97</x:f>
        <x:v>해밀초등학교병설유치원</x:v>
      </x:c>
      <x:c r="F97" s="3" t="str">
        <x:f>IF(초입!C97="","",초입!C97)</x:f>
        <x:v>특수학급</x:v>
      </x:c>
      <x:c r="G97" s="3">
        <x:f>IF(초입!D97="","",초입!D97)</x:f>
        <x:v>3</x:v>
      </x:c>
      <x:c r="H97" s="3" t="str">
        <x:f>IF(초입!E97="","",초입!E97)</x:f>
        <x:v>장루하</x:v>
      </x:c>
      <x:c r="I97" s="3" t="str">
        <x:f>IF(초입!F97="","",초입!F97)</x:f>
        <x:v>남</x:v>
      </x:c>
      <x:c r="J97" s="3" t="str">
        <x:f>IF(초입!G97="","",초입!G97)</x:f>
        <x:v>2020.03.08.</x:v>
      </x:c>
      <x:c r="K97" s="3" t="str">
        <x:f>IF(초입!J97="","",초입!J97)</x:f>
        <x:v>지적장애
(현 발달지체)</x:v>
      </x:c>
      <x:c r="L97" s="3" t="str">
        <x:f>IF(초입!K97="","",초입!K97)</x:f>
        <x:v>지적장애</x:v>
      </x:c>
      <x:c r="M97" s="3" t="str">
        <x:f>IF(초입!L97="","",초입!L97)</x:f>
        <x:v>심한</x:v>
      </x:c>
      <x:c r="N97" s="3" t="str">
        <x:f>IF(초입!N97="","",초입!N97)</x:f>
        <x:v>화봉초등학교</x:v>
      </x:c>
      <x:c r="O97" s="3" t="str">
        <x:f>IF(초입!O97="","",초입!O97)</x:f>
        <x:v>특수학급</x:v>
      </x:c>
      <x:c r="P97" s="3" t="str">
        <x:f>IF(초입!P97="","",초입!P97)</x:f>
        <x:v/>
      </x:c>
      <x:c r="Q97" s="3">
        <x:f>IF(초입!Q97="","",초입!Q97)</x:f>
        <x:v>0.59999999999999998</x:v>
      </x:c>
      <x:c r="R97" s="3" t="str">
        <x:f>IF(초입!R97="","","1. "&amp;초입!R97&amp;IF(초입!V97&lt;&gt;"",CHAR(10)&amp;"2. "&amp;초입!V97,"")&amp;IF(초입!Z97&lt;&gt;"",CHAR(10)&amp;"3. "&amp;초입!Z97,""))</x:f>
        <x:v>1. 화봉초등학교
2. 해밀초등학교
3. 진접초등학교</x:v>
      </x:c>
      <x:c r="S97" s="3" t="str">
        <x:f>IF(초입!S97="","",""&amp;초입!S97&amp;IF(초입!W97&lt;&gt;"",CHAR(10)&amp;""&amp;초입!W97,"")&amp;IF(초입!AA97&lt;&gt;"",CHAR(10)&amp;""&amp;초입!AA97,""))</x:f>
        <x:v>특수학급
특수학급
특수학급</x:v>
      </x:c>
      <x:c r="T97" s="3" t="str">
        <x:f>IF(초입!T97="","",""&amp;초입!T97&amp;IF(초입!X97&lt;&gt;"",CHAR(10)&amp;""&amp;초입!X97,"")&amp;IF(초입!AB97&lt;&gt;"",CHAR(10)&amp;""&amp;초입!AB97,""))</x:f>
        <x:v/>
      </x:c>
      <x:c r="U97" s="3" t="str">
        <x:f>IF(초입!U97="","",""&amp;초입!U97&amp;IF(초입!Y97&lt;&gt;"",CHAR(10)&amp;""&amp;초입!Y97,"")&amp;IF(초입!AC97&lt;&gt;"",CHAR(10)&amp;""&amp;초입!AC97,""))</x:f>
        <x:v>0.614
1.4
1.4</x:v>
      </x:c>
      <x:c r="V97" s="3" t="str">
        <x:f>IF(초입!AO97="","",초입!AO97)</x:f>
        <x:v>□ 복지카드: 지적장애 중증(~2031.11.27.)</x:v>
      </x:c>
      <x:c r="W97" s="3" t="str">
        <x:f>IF(초입!AP97="","",초입!AP97)</x:f>
        <x:v>*장애유형변경(발달&gt;지적)</x:v>
      </x:c>
      <x:c r="X97" s="3" t="str">
        <x:f>IF(초입!AD97="","",초입!AD97)</x:f>
        <x:v>010-8473-8584</x:v>
      </x:c>
      <x:c r="Y97" s="3" t="str">
        <x:f>IF(초입!AE97="","",초입!AE97)</x:f>
        <x:v>장하영</x:v>
      </x:c>
      <x:c r="Z97" s="3" t="str">
        <x:f>IF(초입!M97="","",초입!M97)</x:f>
        <x:v>경기도 남양주시 진접읍 해밀예당1로 51, 1303동 1403호 (자연&amp;어울림아파트)</x:v>
      </x:c>
      <x:c r="AA97" s="7"/>
      <x:c r="AB97" s="7"/>
      <x:c r="AC97" s="7"/>
    </x:row>
    <x:row r="98" spans="1:29" customFormat="1" ht="26.35000000000000142109">
      <x:c r="A98" s="3">
        <x:f>초입!A98</x:f>
        <x:v>95</x:v>
      </x:c>
      <x:c r="B98" s="3" t="s">
        <x:v>194</x:v>
      </x:c>
      <x:c r="C98" s="3" t="str">
        <x:f>IF(초입!H98&lt;&gt;"","O","")</x:f>
        <x:v/>
      </x:c>
      <x:c r="D98" s="3" t="str">
        <x:f>IF(초입!I98&lt;&gt;"","O","")</x:f>
        <x:v>O</x:v>
      </x:c>
      <x:c r="E98" s="3" t="str">
        <x:f>초입!B98</x:f>
        <x:v>다산별빛초등학교병설유치원</x:v>
      </x:c>
      <x:c r="F98" s="3" t="str">
        <x:f>IF(초입!C98="","",초입!C98)</x:f>
        <x:v/>
      </x:c>
      <x:c r="G98" s="3">
        <x:f>IF(초입!D98="","",초입!D98)</x:f>
        <x:v>3</x:v>
      </x:c>
      <x:c r="H98" s="3" t="str">
        <x:f>IF(초입!E98="","",초입!E98)</x:f>
        <x:v>정인아</x:v>
      </x:c>
      <x:c r="I98" s="3" t="str">
        <x:f>IF(초입!F98="","",초입!F98)</x:f>
        <x:v>여</x:v>
      </x:c>
      <x:c r="J98" s="3" t="str">
        <x:f>IF(초입!G98="","",초입!G98)</x:f>
        <x:v>2020.02.06.</x:v>
      </x:c>
      <x:c r="K98" s="3" t="str">
        <x:f>IF(초입!J98="","",초입!J98)</x:f>
        <x:v>청각장애</x:v>
      </x:c>
      <x:c r="L98" s="3" t="str">
        <x:f>IF(초입!K98="","",초입!K98)</x:f>
        <x:v>청각장애</x:v>
      </x:c>
      <x:c r="M98" s="3" t="str">
        <x:f>IF(초입!L98="","",초입!L98)</x:f>
        <x:v>경증</x:v>
      </x:c>
      <x:c r="N98" s="3" t="str">
        <x:f>IF(초입!N98="","",초입!N98)</x:f>
        <x:v>다산별빛초등학교</x:v>
      </x:c>
      <x:c r="O98" s="3" t="str">
        <x:f>IF(초입!O98="","",초입!O98)</x:f>
        <x:v>일반학급</x:v>
      </x:c>
      <x:c r="P98" s="3" t="str">
        <x:f>IF(초입!P98="","",초입!P98)</x:f>
        <x:v/>
      </x:c>
      <x:c r="Q98" s="3">
        <x:f>IF(초입!Q98="","",초입!Q98)</x:f>
        <x:v>0.5</x:v>
      </x:c>
      <x:c r="R98" s="3" t="str">
        <x:f>IF(초입!R98="","","1. "&amp;초입!R98&amp;IF(초입!V98&lt;&gt;"",CHAR(10)&amp;"2. "&amp;초입!V98,"")&amp;IF(초입!Z98&lt;&gt;"",CHAR(10)&amp;"3. "&amp;초입!Z98,""))</x:f>
        <x:v>1. 다산별빛초등학교</x:v>
      </x:c>
      <x:c r="S98" s="3" t="str">
        <x:f>IF(초입!S98="","",""&amp;초입!S98&amp;IF(초입!W98&lt;&gt;"",CHAR(10)&amp;""&amp;초입!W98,"")&amp;IF(초입!AA98&lt;&gt;"",CHAR(10)&amp;""&amp;초입!AA98,""))</x:f>
        <x:v>일반학급</x:v>
      </x:c>
      <x:c r="T98" s="3" t="str">
        <x:f>IF(초입!T98="","",""&amp;초입!T98&amp;IF(초입!X98&lt;&gt;"",CHAR(10)&amp;""&amp;초입!X98,"")&amp;IF(초입!AB98&lt;&gt;"",CHAR(10)&amp;""&amp;초입!AB98,""))</x:f>
        <x:v/>
      </x:c>
      <x:c r="U98" s="3" t="str">
        <x:f>IF(초입!U98="","",""&amp;초입!U98&amp;IF(초입!Y98&lt;&gt;"",CHAR(10)&amp;""&amp;초입!Y98,"")&amp;IF(초입!AC98&lt;&gt;"",CHAR(10)&amp;""&amp;초입!AC98,""))</x:f>
        <x:v>0.5</x:v>
      </x:c>
      <x:c r="V98" s="3" t="str">
        <x:f>IF(초입!AO98="","",초입!AO98)</x:f>
        <x:v>장애인증명서: 청각장애 심하지않은장애(2026.03.25.등록)</x:v>
      </x:c>
      <x:c r="W98" s="3" t="str">
        <x:f>IF(초입!AP98="","",초입!AP98)</x:f>
        <x:v/>
      </x:c>
      <x:c r="X98" s="3" t="str">
        <x:f>IF(초입!AD98="","",초입!AD98)</x:f>
        <x:v/>
      </x:c>
      <x:c r="Y98" s="3" t="str">
        <x:f>IF(초입!AE98="","",초입!AE98)</x:f>
        <x:v/>
      </x:c>
      <x:c r="Z98" s="3" t="str">
        <x:f>IF(초입!M98="","",초입!M98)</x:f>
        <x:v>경기도 남양주시 다산중앙로82번안길 74, 6503동 2705호</x:v>
      </x:c>
      <x:c r="AA98" s="7"/>
      <x:c r="AB98" s="7"/>
      <x:c r="AC98" s="7"/>
    </x:row>
    <x:row r="99" spans="1:29" customFormat="1" ht="39.54999999999999715783">
      <x:c r="A99" s="3">
        <x:f>초입!A99</x:f>
        <x:v>96</x:v>
      </x:c>
      <x:c r="B99" s="3" t="s">
        <x:v>194</x:v>
      </x:c>
      <x:c r="C99" s="3" t="str">
        <x:f>IF(초입!H99&lt;&gt;"","O","")</x:f>
        <x:v>O</x:v>
      </x:c>
      <x:c r="D99" s="3" t="str">
        <x:f>IF(초입!I99&lt;&gt;"","O","")</x:f>
        <x:v/>
      </x:c>
      <x:c r="E99" s="3" t="str">
        <x:f>초입!B99</x:f>
        <x:v>호평유치원</x:v>
      </x:c>
      <x:c r="F99" s="3" t="str">
        <x:f>IF(초입!C99="","",초입!C99)</x:f>
        <x:v>특수학급</x:v>
      </x:c>
      <x:c r="G99" s="3">
        <x:f>IF(초입!D99="","",초입!D99)</x:f>
        <x:v>3</x:v>
      </x:c>
      <x:c r="H99" s="3" t="str">
        <x:f>IF(초입!E99="","",초입!E99)</x:f>
        <x:v>임유진</x:v>
      </x:c>
      <x:c r="I99" s="3" t="str">
        <x:f>IF(초입!F99="","",초입!F99)</x:f>
        <x:v>남</x:v>
      </x:c>
      <x:c r="J99" s="3" t="str">
        <x:f>IF(초입!G99="","",초입!G99)</x:f>
        <x:v>2020.04.06.</x:v>
      </x:c>
      <x:c r="K99" s="3" t="str">
        <x:f>IF(초입!J99="","",초입!J99)</x:f>
        <x:v>발달지체</x:v>
      </x:c>
      <x:c r="L99" s="3" t="str">
        <x:f>IF(초입!K99="","",초입!K99)</x:f>
        <x:v/>
      </x:c>
      <x:c r="M99" s="3" t="str">
        <x:f>IF(초입!L99="","",초입!L99)</x:f>
        <x:v/>
      </x:c>
      <x:c r="N99" s="3" t="str">
        <x:f>IF(초입!N99="","",초입!N99)</x:f>
        <x:v>구룡초등학교</x:v>
      </x:c>
      <x:c r="O99" s="3" t="str">
        <x:f>IF(초입!O99="","",초입!O99)</x:f>
        <x:v>특수학급</x:v>
      </x:c>
      <x:c r="P99" s="3" t="str">
        <x:f>IF(초입!P99="","",초입!P99)</x:f>
        <x:v/>
      </x:c>
      <x:c r="Q99" s="3">
        <x:f>IF(초입!Q99="","",초입!Q99)</x:f>
        <x:v>0.46999999999999997</x:v>
      </x:c>
      <x:c r="R99" s="3" t="str">
        <x:f>IF(초입!R99="","","1. "&amp;초입!R99&amp;IF(초입!V99&lt;&gt;"",CHAR(10)&amp;"2. "&amp;초입!V99,"")&amp;IF(초입!Z99&lt;&gt;"",CHAR(10)&amp;"3. "&amp;초입!Z99,""))</x:f>
        <x:v>1. 구룡초등학교
2. 판곡초등학교
3. 평동초등학교</x:v>
      </x:c>
      <x:c r="S99" s="3" t="str">
        <x:f>IF(초입!S99="","",""&amp;초입!S99&amp;IF(초입!W99&lt;&gt;"",CHAR(10)&amp;""&amp;초입!W99,"")&amp;IF(초입!AA99&lt;&gt;"",CHAR(10)&amp;""&amp;초입!AA99,""))</x:f>
        <x:v>특수학급
특수학급
특수학급</x:v>
      </x:c>
      <x:c r="T99" s="3" t="str">
        <x:f>IF(초입!T99="","",""&amp;초입!T99&amp;IF(초입!X99&lt;&gt;"",CHAR(10)&amp;""&amp;초입!X99,"")&amp;IF(초입!AB99&lt;&gt;"",CHAR(10)&amp;""&amp;초입!AB99,""))</x:f>
        <x:v/>
      </x:c>
      <x:c r="U99" s="3" t="str">
        <x:f>IF(초입!U99="","",""&amp;초입!U99&amp;IF(초입!Y99&lt;&gt;"",CHAR(10)&amp;""&amp;초입!Y99,"")&amp;IF(초입!AC99&lt;&gt;"",CHAR(10)&amp;""&amp;초입!AC99,""))</x:f>
        <x:v>0.47
0.68
0.612</x:v>
      </x:c>
      <x:c r="V99" s="3" t="str">
        <x:f>IF(초입!AO99="","",초입!AO99)</x:f>
        <x:v/>
      </x:c>
      <x:c r="W99" s="3" t="str">
        <x:f>IF(초입!AP99="","",초입!AP99)</x:f>
        <x:v>*서식1과 서식2 장애유형 달라. 발달지체/자폐성장애... 확인, 수정필
*구룡초, 판곡초 공동학구임</x:v>
      </x:c>
      <x:c r="X99" s="3" t="str">
        <x:f>IF(초입!AD99="","",초입!AD99)</x:f>
        <x:v>010-7282-6399</x:v>
      </x:c>
      <x:c r="Y99" s="3" t="str">
        <x:f>IF(초입!AE99="","",초입!AE99)</x:f>
        <x:v>김슬아</x:v>
      </x:c>
      <x:c r="Z99" s="3" t="str">
        <x:f>IF(초입!M99="","",초입!M99)</x:f>
        <x:v>경기도 남양주시 늘을3로 71, 1506동 404호</x:v>
      </x:c>
      <x:c r="AA99" s="7"/>
      <x:c r="AB99" s="7"/>
      <x:c r="AC99" s="7"/>
    </x:row>
    <x:row r="100" spans="1:29" customFormat="1" ht="39.54999999999999715783">
      <x:c r="A100" s="3">
        <x:f>초입!A100</x:f>
        <x:v>97</x:v>
      </x:c>
      <x:c r="B100" s="3" t="s">
        <x:v>194</x:v>
      </x:c>
      <x:c r="C100" s="3" t="str">
        <x:f>IF(초입!H100&lt;&gt;"","O","")</x:f>
        <x:v>O</x:v>
      </x:c>
      <x:c r="D100" s="3" t="str">
        <x:f>IF(초입!I100&lt;&gt;"","O","")</x:f>
        <x:v/>
      </x:c>
      <x:c r="E100" s="3" t="str">
        <x:f>초입!B100</x:f>
        <x:v>부평초등학교병설유치원</x:v>
      </x:c>
      <x:c r="F100" s="3" t="str">
        <x:f>IF(초입!C100="","",초입!C100)</x:f>
        <x:v>특수학급</x:v>
      </x:c>
      <x:c r="G100" s="3">
        <x:f>IF(초입!D100="","",초입!D100)</x:f>
        <x:v>3</x:v>
      </x:c>
      <x:c r="H100" s="3" t="str">
        <x:f>IF(초입!E100="","",초입!E100)</x:f>
        <x:v>오세준</x:v>
      </x:c>
      <x:c r="I100" s="3" t="str">
        <x:f>IF(초입!F100="","",초입!F100)</x:f>
        <x:v>남</x:v>
      </x:c>
      <x:c r="J100" s="3" t="str">
        <x:f>IF(초입!G100="","",초입!G100)</x:f>
        <x:v>2020.02.10.</x:v>
      </x:c>
      <x:c r="K100" s="3" t="str">
        <x:f>IF(초입!J100="","",초입!J100)</x:f>
        <x:v>자폐성장애
(현 발달지체)</x:v>
      </x:c>
      <x:c r="L100" s="3" t="str">
        <x:f>IF(초입!K100="","",초입!K100)</x:f>
        <x:v>자폐성장애</x:v>
      </x:c>
      <x:c r="M100" s="3" t="str">
        <x:f>IF(초입!L100="","",초입!L100)</x:f>
        <x:v>중증</x:v>
      </x:c>
      <x:c r="N100" s="3" t="str">
        <x:f>IF(초입!N100="","",초입!N100)</x:f>
        <x:v>부평초등학교</x:v>
      </x:c>
      <x:c r="O100" s="3" t="str">
        <x:f>IF(초입!O100="","",초입!O100)</x:f>
        <x:v>특수학급</x:v>
      </x:c>
      <x:c r="P100" s="3" t="str">
        <x:f>IF(초입!P100="","",초입!P100)</x:f>
        <x:v/>
      </x:c>
      <x:c r="Q100" s="3">
        <x:f>IF(초입!Q100="","",초입!Q100)</x:f>
        <x:v>0.55200000000000005</x:v>
      </x:c>
      <x:c r="R100" s="3" t="str">
        <x:f>IF(초입!R100="","","1. "&amp;초입!R100&amp;IF(초입!V100&lt;&gt;"",CHAR(10)&amp;"2. "&amp;초입!V100,"")&amp;IF(초입!Z100&lt;&gt;"",CHAR(10)&amp;"3. "&amp;초입!Z100,""))</x:f>
        <x:v>1. 부평초등학교
2. 장승초등학교
3. 광릉초등학교</x:v>
      </x:c>
      <x:c r="S100" s="3" t="str">
        <x:f>IF(초입!S100="","",""&amp;초입!S100&amp;IF(초입!W100&lt;&gt;"",CHAR(10)&amp;""&amp;초입!W100,"")&amp;IF(초입!AA100&lt;&gt;"",CHAR(10)&amp;""&amp;초입!AA100,""))</x:f>
        <x:v>특수학급
특수학급
특수학급</x:v>
      </x:c>
      <x:c r="T100" s="3" t="str">
        <x:f>IF(초입!T100="","",""&amp;초입!T100&amp;IF(초입!X100&lt;&gt;"",CHAR(10)&amp;""&amp;초입!X100,"")&amp;IF(초입!AB100&lt;&gt;"",CHAR(10)&amp;""&amp;초입!AB100,""))</x:f>
        <x:v/>
      </x:c>
      <x:c r="U100" s="3" t="str">
        <x:f>IF(초입!U100="","",""&amp;초입!U100&amp;IF(초입!Y100&lt;&gt;"",CHAR(10)&amp;""&amp;초입!Y100,"")&amp;IF(초입!AC100&lt;&gt;"",CHAR(10)&amp;""&amp;초입!AC100,""))</x:f>
        <x:v>0.552
1.5
1.9</x:v>
      </x:c>
      <x:c r="V100" s="3" t="str">
        <x:f>IF(초입!AO100="","",초입!AO100)</x:f>
        <x:v>□ 복지카드: 자폐성장애 중증(~2031.7.1.)</x:v>
      </x:c>
      <x:c r="W100" s="3" t="str">
        <x:f>IF(초입!AP100="","",초입!AP100)</x:f>
        <x:v>*2근거리 장승초, 3근거리 광릉초 안내</x:v>
      </x:c>
      <x:c r="X100" s="3" t="str">
        <x:f>IF(초입!AD100="","",초입!AD100)</x:f>
        <x:v>010-5481-4321</x:v>
      </x:c>
      <x:c r="Y100" s="3" t="str">
        <x:f>IF(초입!AE100="","",초입!AE100)</x:f>
        <x:v>김영미</x:v>
      </x:c>
      <x:c r="Z100" s="3" t="str">
        <x:f>IF(초입!M100="","",초입!M100)</x:f>
        <x:v>경기도 남양주시 진접읍 부평로 48번길 110, 104동1801호 (진접서희스타힐스)</x:v>
      </x:c>
      <x:c r="AA100" s="7"/>
      <x:c r="AB100" s="7"/>
      <x:c r="AC100" s="7"/>
    </x:row>
    <x:row r="101" spans="1:29" ht="39.54999999999999715783">
      <x:c r="A101" s="3">
        <x:f>초입!A101</x:f>
        <x:v>98</x:v>
      </x:c>
      <x:c r="B101" s="3" t="s">
        <x:v>194</x:v>
      </x:c>
      <x:c r="C101" s="3" t="str">
        <x:f>IF(초입!H101&lt;&gt;"","O","")</x:f>
        <x:v>O</x:v>
      </x:c>
      <x:c r="D101" s="3" t="str">
        <x:f>IF(초입!I101&lt;&gt;"","O","")</x:f>
        <x:v/>
      </x:c>
      <x:c r="E101" s="3" t="str">
        <x:f>초입!B101</x:f>
        <x:v>부평초등학교병설유치원</x:v>
      </x:c>
      <x:c r="F101" s="3" t="str">
        <x:f>IF(초입!C101="","",초입!C101)</x:f>
        <x:v>특수학급</x:v>
      </x:c>
      <x:c r="G101" s="3">
        <x:f>IF(초입!D101="","",초입!D101)</x:f>
        <x:v>3</x:v>
      </x:c>
      <x:c r="H101" s="3" t="str">
        <x:f>IF(초입!E101="","",초입!E101)</x:f>
        <x:v>오하린</x:v>
      </x:c>
      <x:c r="I101" s="3" t="str">
        <x:f>IF(초입!F101="","",초입!F101)</x:f>
        <x:v>여</x:v>
      </x:c>
      <x:c r="J101" s="3" t="str">
        <x:f>IF(초입!G101="","",초입!G101)</x:f>
        <x:v>2020.09.09.</x:v>
      </x:c>
      <x:c r="K101" s="3" t="str">
        <x:f>IF(초입!J101="","",초입!J101)</x:f>
        <x:v>발달지체</x:v>
      </x:c>
      <x:c r="L101" s="3" t="str">
        <x:f>IF(초입!K101="","",초입!K101)</x:f>
        <x:v/>
      </x:c>
      <x:c r="M101" s="3" t="str">
        <x:f>IF(초입!L101="","",초입!L101)</x:f>
        <x:v/>
      </x:c>
      <x:c r="N101" s="3" t="str">
        <x:f>IF(초입!N101="","",초입!N101)</x:f>
        <x:v>부평초등학교</x:v>
      </x:c>
      <x:c r="O101" s="3" t="str">
        <x:f>IF(초입!O101="","",초입!O101)</x:f>
        <x:v>특수학급</x:v>
      </x:c>
      <x:c r="P101" s="3" t="str">
        <x:f>IF(초입!P101="","",초입!P101)</x:f>
        <x:v/>
      </x:c>
      <x:c r="Q101" s="3">
        <x:f>IF(초입!Q101="","",초입!Q101)</x:f>
        <x:v>0.35299999999999998</x:v>
      </x:c>
      <x:c r="R101" s="3" t="str">
        <x:f>IF(초입!R101="","","1. "&amp;초입!R101&amp;IF(초입!V101&lt;&gt;"",CHAR(10)&amp;"2. "&amp;초입!V101,"")&amp;IF(초입!Z101&lt;&gt;"",CHAR(10)&amp;"3. "&amp;초입!Z101,""))</x:f>
        <x:v>1. 부평초등학교
2. 장승초등학교
3. 광릉초등학교</x:v>
      </x:c>
      <x:c r="S101" s="3" t="str">
        <x:f>IF(초입!S101="","",""&amp;초입!S101&amp;IF(초입!W101&lt;&gt;"",CHAR(10)&amp;""&amp;초입!W101,"")&amp;IF(초입!AA101&lt;&gt;"",CHAR(10)&amp;""&amp;초입!AA101,""))</x:f>
        <x:v>특수학급
특수학급
특수학급</x:v>
      </x:c>
      <x:c r="T101" s="3" t="str">
        <x:f>IF(초입!T101="","",""&amp;초입!T101&amp;IF(초입!X101&lt;&gt;"",CHAR(10)&amp;""&amp;초입!X101,"")&amp;IF(초입!AB101&lt;&gt;"",CHAR(10)&amp;""&amp;초입!AB101,""))</x:f>
        <x:v/>
      </x:c>
      <x:c r="U101" s="3" t="str">
        <x:f>IF(초입!U101="","",""&amp;초입!U101&amp;IF(초입!Y101&lt;&gt;"",CHAR(10)&amp;""&amp;초입!Y101,"")&amp;IF(초입!AC101&lt;&gt;"",CHAR(10)&amp;""&amp;초입!AC101,""))</x:f>
        <x:v>0.672
1.1
1.8</x:v>
      </x:c>
      <x:c r="V101" s="3" t="str">
        <x:f>IF(초입!AO101="","",초입!AO101)</x:f>
        <x:v/>
      </x:c>
      <x:c r="W101" s="3" t="str">
        <x:f>IF(초입!AP101="","",초입!AP101)</x:f>
        <x:v/>
      </x:c>
      <x:c r="X101" s="3" t="str">
        <x:f>IF(초입!AD101="","",초입!AD101)</x:f>
        <x:v>010-4787-9057</x:v>
      </x:c>
      <x:c r="Y101" s="3" t="str">
        <x:f>IF(초입!AE101="","",초입!AE101)</x:f>
        <x:v>김영미</x:v>
      </x:c>
      <x:c r="Z101" s="3" t="str">
        <x:f>IF(초입!M101="","",초입!M101)</x:f>
        <x:v>경기도 남양주시 진접읍 부평로48번길 140, 105동 1501호(더샵퍼스트시티)</x:v>
      </x:c>
      <x:c r="AA101" s="5"/>
      <x:c r="AB101" s="5"/>
      <x:c r="AC101" s="5"/>
    </x:row>
    <x:row r="102" spans="1:29" ht="13.19999999999999928946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  <x:c r="AA102" s="48"/>
      <x:c r="AB102" s="48"/>
      <x:c r="AC102" s="48"/>
    </x:row>
    <x:row r="103" spans="1:29" ht="13.19999999999999928946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  <x:c r="AA103" s="48"/>
      <x:c r="AB103" s="48"/>
      <x:c r="AC103" s="48"/>
    </x:row>
    <x:row r="104" spans="1:29" ht="13.19999999999999928946" hidden="1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  <x:c r="AA104" s="48"/>
      <x:c r="AB104" s="48"/>
      <x:c r="AC104" s="48"/>
    </x:row>
    <x:row r="105" spans="1:29" ht="13.19999999999999928946" hidden="1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  <x:c r="AA105" s="48"/>
      <x:c r="AB105" s="48"/>
      <x:c r="AC105" s="48"/>
    </x:row>
    <x:row r="106" spans="1:29" ht="13.19999999999999928946" hidden="1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  <x:c r="AA106" s="48"/>
      <x:c r="AB106" s="48"/>
      <x:c r="AC106" s="48"/>
    </x:row>
    <x:row r="107" spans="1:29" ht="13.19999999999999928946" hidden="1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  <x:c r="AA107" s="48"/>
      <x:c r="AB107" s="48"/>
      <x:c r="AC107" s="48"/>
    </x:row>
    <x:row r="108" spans="1:29" ht="13.19999999999999928946" hidden="1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  <x:c r="AA108" s="48"/>
      <x:c r="AB108" s="48"/>
      <x:c r="AC108" s="48"/>
    </x:row>
    <x:row r="109" spans="1:29" ht="13.19999999999999928946" hidden="1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  <x:c r="AA109" s="48"/>
      <x:c r="AB109" s="48"/>
      <x:c r="AC109" s="48"/>
    </x:row>
    <x:row r="110" spans="1:29" ht="13.19999999999999928946" hidden="1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  <x:c r="AA110" s="48"/>
      <x:c r="AB110" s="48"/>
      <x:c r="AC110" s="48"/>
    </x:row>
    <x:row r="111" spans="1:29" ht="13.19999999999999928946" hidden="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  <x:c r="AA111" s="48"/>
      <x:c r="AB111" s="48"/>
      <x:c r="AC111" s="48"/>
    </x:row>
    <x:row r="112" spans="1:29" ht="13.19999999999999928946" hidden="1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  <x:c r="AA112" s="48"/>
      <x:c r="AB112" s="48"/>
      <x:c r="AC112" s="48"/>
    </x:row>
    <x:row r="113" spans="1:29" ht="13.19999999999999928946" hidden="1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  <x:c r="AA113" s="48"/>
      <x:c r="AB113" s="48"/>
      <x:c r="AC113" s="48"/>
    </x:row>
    <x:row r="114" spans="1:29" ht="13.19999999999999928946" hidden="1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  <x:c r="AA114" s="48"/>
      <x:c r="AB114" s="48"/>
      <x:c r="AC114" s="48"/>
    </x:row>
    <x:row r="115" spans="1:29" ht="13.19999999999999928946" hidden="1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  <x:c r="AA115" s="48"/>
      <x:c r="AB115" s="48"/>
      <x:c r="AC115" s="48"/>
    </x:row>
    <x:row r="116" spans="1:29" ht="13.19999999999999928946" hidden="1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  <x:c r="AA116" s="48"/>
      <x:c r="AB116" s="48"/>
      <x:c r="AC116" s="48"/>
    </x:row>
    <x:row r="117" spans="1:29" ht="13.19999999999999928946" hidden="1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  <x:c r="AA117" s="48"/>
      <x:c r="AB117" s="48"/>
      <x:c r="AC117" s="48"/>
    </x:row>
    <x:row r="118" spans="1:29" ht="13.19999999999999928946" hidden="1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  <x:c r="AA118" s="48"/>
      <x:c r="AB118" s="48"/>
      <x:c r="AC118" s="48"/>
    </x:row>
    <x:row r="119" spans="1:29" ht="13.19999999999999928946" hidden="1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  <x:c r="AA119" s="48"/>
      <x:c r="AB119" s="48"/>
      <x:c r="AC119" s="48"/>
    </x:row>
    <x:row r="120" spans="1:29" ht="13.19999999999999928946" hidden="1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  <x:c r="AA120" s="48"/>
      <x:c r="AB120" s="48"/>
      <x:c r="AC120" s="48"/>
    </x:row>
    <x:row r="121" spans="1:29" ht="13.19999999999999928946" hidden="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  <x:c r="AA121" s="48"/>
      <x:c r="AB121" s="48"/>
      <x:c r="AC121" s="48"/>
    </x:row>
    <x:row r="122" spans="1:29" ht="13.19999999999999928946" hidden="1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  <x:c r="AA122" s="48"/>
      <x:c r="AB122" s="48"/>
      <x:c r="AC122" s="48"/>
    </x:row>
    <x:row r="123" spans="1:29" ht="13.19999999999999928946" hidden="1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  <x:c r="AA123" s="48"/>
      <x:c r="AB123" s="48"/>
      <x:c r="AC123" s="48"/>
    </x:row>
    <x:row r="124" spans="1:29" ht="13.19999999999999928946" hidden="1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  <x:c r="AA124" s="48"/>
      <x:c r="AB124" s="48"/>
      <x:c r="AC124" s="48"/>
    </x:row>
    <x:row r="125" spans="1:29" ht="13.19999999999999928946" hidden="1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  <x:c r="AA125" s="48"/>
      <x:c r="AB125" s="48"/>
      <x:c r="AC125" s="48"/>
    </x:row>
    <x:row r="126" spans="1:29" ht="13.19999999999999928946" hidden="1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  <x:c r="AA126" s="48"/>
      <x:c r="AB126" s="48"/>
      <x:c r="AC126" s="48"/>
    </x:row>
    <x:row r="127" spans="1:29" ht="13.19999999999999928946" hidden="1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  <x:c r="AA127" s="48"/>
      <x:c r="AB127" s="48"/>
      <x:c r="AC127" s="48"/>
    </x:row>
    <x:row r="128" spans="1:29" ht="13.19999999999999928946" hidden="1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  <x:c r="AA128" s="48"/>
      <x:c r="AB128" s="48"/>
      <x:c r="AC128" s="48"/>
    </x:row>
    <x:row r="129" spans="1:29" ht="13.19999999999999928946" hidden="1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  <x:c r="AA129" s="48"/>
      <x:c r="AB129" s="48"/>
      <x:c r="AC129" s="48"/>
    </x:row>
    <x:row r="130" spans="1:29" ht="13.19999999999999928946" hidden="1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  <x:c r="AA130" s="48"/>
      <x:c r="AB130" s="48"/>
      <x:c r="AC130" s="48"/>
    </x:row>
    <x:row r="131" spans="1:29" ht="13.19999999999999928946" hidden="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  <x:c r="AA131" s="48"/>
      <x:c r="AB131" s="48"/>
      <x:c r="AC131" s="48"/>
    </x:row>
    <x:row r="132" spans="1:29" ht="13.19999999999999928946" hidden="1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  <x:c r="AA132" s="48"/>
      <x:c r="AB132" s="48"/>
      <x:c r="AC132" s="48"/>
    </x:row>
    <x:row r="133" spans="1:29" ht="13.19999999999999928946" hidden="1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  <x:c r="AA133" s="48"/>
      <x:c r="AB133" s="48"/>
      <x:c r="AC133" s="48"/>
    </x:row>
    <x:row r="134" spans="1:29" ht="13.19999999999999928946" hidden="1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  <x:c r="AA134" s="48"/>
      <x:c r="AB134" s="48"/>
      <x:c r="AC134" s="48"/>
    </x:row>
    <x:row r="135" spans="1:29" ht="13.19999999999999928946" hidden="1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  <x:c r="AA135" s="48"/>
      <x:c r="AB135" s="48"/>
      <x:c r="AC135" s="48"/>
    </x:row>
    <x:row r="136" spans="1:29" ht="13.19999999999999928946" hidden="1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  <x:c r="AA136" s="48"/>
      <x:c r="AB136" s="48"/>
      <x:c r="AC136" s="48"/>
    </x:row>
    <x:row r="137" spans="1:29" ht="13.19999999999999928946" hidden="1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  <x:c r="AA137" s="48"/>
      <x:c r="AB137" s="48"/>
      <x:c r="AC137" s="48"/>
    </x:row>
    <x:row r="138" spans="1:29" ht="13.19999999999999928946" hidden="1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  <x:c r="AA138" s="48"/>
      <x:c r="AB138" s="48"/>
      <x:c r="AC138" s="48"/>
    </x:row>
    <x:row r="139" spans="1:29" ht="13.19999999999999928946" hidden="1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  <x:c r="AA139" s="48"/>
      <x:c r="AB139" s="48"/>
      <x:c r="AC139" s="48"/>
    </x:row>
    <x:row r="140" spans="1:29" ht="13.19999999999999928946" hidden="1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  <x:c r="AA140" s="48"/>
      <x:c r="AB140" s="48"/>
      <x:c r="AC140" s="48"/>
    </x:row>
    <x:row r="141" spans="1:29" ht="13.19999999999999928946" hidden="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  <x:c r="AA141" s="48"/>
      <x:c r="AB141" s="48"/>
      <x:c r="AC141" s="48"/>
    </x:row>
    <x:row r="142" spans="1:29" ht="13.19999999999999928946" hidden="1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  <x:c r="AA142" s="48"/>
      <x:c r="AB142" s="48"/>
      <x:c r="AC142" s="48"/>
    </x:row>
    <x:row r="143" spans="1:29" ht="13.19999999999999928946" hidden="1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  <x:c r="AA143" s="48"/>
      <x:c r="AB143" s="48"/>
      <x:c r="AC143" s="48"/>
    </x:row>
    <x:row r="144" spans="1:29" ht="13.19999999999999928946" hidden="1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  <x:c r="AA144" s="48"/>
      <x:c r="AB144" s="48"/>
      <x:c r="AC144" s="48"/>
    </x:row>
    <x:row r="145" spans="1:29" ht="13.19999999999999928946" hidden="1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  <x:c r="AA145" s="48"/>
      <x:c r="AB145" s="48"/>
      <x:c r="AC145" s="48"/>
    </x:row>
    <x:row r="146" spans="1:29" ht="13.19999999999999928946" hidden="1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  <x:c r="AA146" s="48"/>
      <x:c r="AB146" s="48"/>
      <x:c r="AC146" s="48"/>
    </x:row>
    <x:row r="147" spans="1:29" ht="13.19999999999999928946" hidden="1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  <x:c r="AA147" s="48"/>
      <x:c r="AB147" s="48"/>
      <x:c r="AC147" s="48"/>
    </x:row>
    <x:row r="148" spans="1:29" ht="13.19999999999999928946" hidden="1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  <x:c r="AA148" s="48"/>
      <x:c r="AB148" s="48"/>
      <x:c r="AC148" s="48"/>
    </x:row>
    <x:row r="149" spans="1:29" ht="13.19999999999999928946" hidden="1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  <x:c r="AA149" s="48"/>
      <x:c r="AB149" s="48"/>
      <x:c r="AC149" s="48"/>
    </x:row>
    <x:row r="150" spans="1:29" ht="13.19999999999999928946" hidden="1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  <x:c r="AA150" s="48"/>
      <x:c r="AB150" s="48"/>
      <x:c r="AC150" s="48"/>
    </x:row>
    <x:row r="151" spans="1:29" ht="13.19999999999999928946" hidden="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  <x:c r="AA151" s="48"/>
      <x:c r="AB151" s="48"/>
      <x:c r="AC151" s="48"/>
    </x:row>
    <x:row r="152" spans="1:29" ht="13.19999999999999928946" hidden="1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  <x:c r="AA152" s="48"/>
      <x:c r="AB152" s="48"/>
      <x:c r="AC152" s="48"/>
    </x:row>
    <x:row r="153" spans="1:29" ht="13.19999999999999928946" hidden="1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  <x:c r="AA153" s="48"/>
      <x:c r="AB153" s="48"/>
      <x:c r="AC153" s="48"/>
    </x:row>
    <x:row r="154" spans="1:29" ht="13.19999999999999928946" hidden="1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  <x:c r="AA154" s="48"/>
      <x:c r="AB154" s="48"/>
      <x:c r="AC154" s="48"/>
    </x:row>
    <x:row r="155" spans="1:29" ht="13.19999999999999928946" hidden="1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  <x:c r="AA155" s="48"/>
      <x:c r="AB155" s="48"/>
      <x:c r="AC155" s="48"/>
    </x:row>
    <x:row r="156" spans="1:29" ht="13.19999999999999928946" hidden="1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  <x:c r="AA156" s="48"/>
      <x:c r="AB156" s="48"/>
      <x:c r="AC156" s="48"/>
    </x:row>
    <x:row r="157" spans="1:29" ht="13.19999999999999928946" hidden="1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  <x:c r="AA157" s="48"/>
      <x:c r="AB157" s="48"/>
      <x:c r="AC157" s="48"/>
    </x:row>
    <x:row r="158" spans="1:29" ht="13.19999999999999928946" hidden="1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  <x:c r="AA158" s="48"/>
      <x:c r="AB158" s="48"/>
      <x:c r="AC158" s="48"/>
    </x:row>
    <x:row r="159" spans="1:29" ht="13.19999999999999928946" hidden="1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  <x:c r="AA159" s="48"/>
      <x:c r="AB159" s="48"/>
      <x:c r="AC159" s="48"/>
    </x:row>
    <x:row r="160" spans="1:29" ht="13.19999999999999928946" hidden="1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  <x:c r="AA160" s="48"/>
      <x:c r="AB160" s="48"/>
      <x:c r="AC160" s="48"/>
    </x:row>
    <x:row r="161" spans="1:29" ht="13.19999999999999928946" hidden="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  <x:c r="AA161" s="48"/>
      <x:c r="AB161" s="48"/>
      <x:c r="AC161" s="48"/>
    </x:row>
    <x:row r="162" spans="1:29" ht="13.19999999999999928946" hidden="1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  <x:c r="AA162" s="48"/>
      <x:c r="AB162" s="48"/>
      <x:c r="AC162" s="48"/>
    </x:row>
    <x:row r="163" spans="1:29" ht="13.19999999999999928946" hidden="1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  <x:c r="AA163" s="48"/>
      <x:c r="AB163" s="48"/>
      <x:c r="AC163" s="48"/>
    </x:row>
    <x:row r="164" spans="1:29" ht="13.19999999999999928946" hidden="1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  <x:c r="AA164" s="48"/>
      <x:c r="AB164" s="48"/>
      <x:c r="AC164" s="48"/>
    </x:row>
    <x:row r="165" spans="1:29" ht="13.19999999999999928946" hidden="1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  <x:c r="AA165" s="48"/>
      <x:c r="AB165" s="48"/>
      <x:c r="AC165" s="48"/>
    </x:row>
    <x:row r="166" spans="1:29" ht="13.19999999999999928946" hidden="1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  <x:c r="AA166" s="48"/>
      <x:c r="AB166" s="48"/>
      <x:c r="AC166" s="48"/>
    </x:row>
    <x:row r="167" spans="1:29" ht="13.19999999999999928946" hidden="1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  <x:c r="AA167" s="48"/>
      <x:c r="AB167" s="48"/>
      <x:c r="AC167" s="48"/>
    </x:row>
    <x:row r="168" spans="1:29" ht="13.19999999999999928946" hidden="1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  <x:c r="AA168" s="48"/>
      <x:c r="AB168" s="48"/>
      <x:c r="AC168" s="48"/>
    </x:row>
    <x:row r="169" spans="1:29" ht="13.19999999999999928946" hidden="1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  <x:c r="AA169" s="48"/>
      <x:c r="AB169" s="48"/>
      <x:c r="AC169" s="48"/>
    </x:row>
    <x:row r="170" spans="1:29" ht="13.19999999999999928946" hidden="1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  <x:c r="AA170" s="48"/>
      <x:c r="AB170" s="48"/>
      <x:c r="AC170" s="48"/>
    </x:row>
    <x:row r="171" spans="1:29" ht="13.19999999999999928946" hidden="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  <x:c r="AA171" s="48"/>
      <x:c r="AB171" s="48"/>
      <x:c r="AC171" s="48"/>
    </x:row>
    <x:row r="172" spans="22:23" ht="13.19999999999999928946" hidden="1">
      <x:c r="V172" s="49"/>
      <x:c r="W172" s="50"/>
    </x:row>
    <x:row r="173" spans="22:23" ht="13.19999999999999928946" hidden="1">
      <x:c r="V173" s="49"/>
      <x:c r="W173" s="50"/>
    </x:row>
    <x:row r="174" spans="22:23" ht="13.19999999999999928946" hidden="1">
      <x:c r="V174" s="49"/>
      <x:c r="W174" s="50"/>
    </x:row>
    <x:row r="175" spans="22:23" ht="13.19999999999999928946" hidden="1">
      <x:c r="V175" s="49"/>
      <x:c r="W175" s="50"/>
    </x:row>
    <x:row r="176" spans="22:23" ht="13.19999999999999928946" hidden="1">
      <x:c r="V176" s="49"/>
      <x:c r="W176" s="50"/>
    </x:row>
    <x:row r="177" spans="22:23" ht="13.19999999999999928946" hidden="1">
      <x:c r="V177" s="49"/>
      <x:c r="W177" s="50"/>
    </x:row>
    <x:row r="178" spans="22:23" ht="13.19999999999999928946" hidden="1">
      <x:c r="V178" s="49"/>
      <x:c r="W178" s="50"/>
    </x:row>
    <x:row r="179" spans="22:23" ht="13.19999999999999928946" hidden="1">
      <x:c r="V179" s="49"/>
      <x:c r="W179" s="50"/>
    </x:row>
    <x:row r="180" spans="22:23" ht="13.19999999999999928946" hidden="1">
      <x:c r="V180" s="49"/>
      <x:c r="W180" s="50"/>
    </x:row>
    <x:row r="181" spans="22:23" ht="13.19999999999999928946" hidden="1">
      <x:c r="V181" s="49"/>
      <x:c r="W181" s="50"/>
    </x:row>
    <x:row r="182" spans="22:23" ht="13.19999999999999928946" hidden="1">
      <x:c r="V182" s="49"/>
      <x:c r="W182" s="50"/>
    </x:row>
    <x:row r="183" spans="22:23" ht="13.19999999999999928946" hidden="1">
      <x:c r="V183" s="49"/>
      <x:c r="W183" s="50"/>
    </x:row>
    <x:row r="184" spans="22:23" ht="13.19999999999999928946" hidden="1">
      <x:c r="V184" s="49"/>
      <x:c r="W184" s="50"/>
    </x:row>
    <x:row r="185" spans="22:23" ht="13.19999999999999928946" hidden="1">
      <x:c r="V185" s="49"/>
      <x:c r="W185" s="50"/>
    </x:row>
    <x:row r="186" spans="22:23" ht="13.19999999999999928946" hidden="1">
      <x:c r="V186" s="49"/>
      <x:c r="W186" s="50"/>
    </x:row>
    <x:row r="187" spans="22:23" ht="13.19999999999999928946" hidden="1">
      <x:c r="V187" s="49"/>
      <x:c r="W187" s="50"/>
    </x:row>
    <x:row r="188" spans="22:23" ht="13.19999999999999928946" hidden="1">
      <x:c r="V188" s="49"/>
      <x:c r="W188" s="50"/>
    </x:row>
    <x:row r="189" spans="22:23" ht="13.19999999999999928946" hidden="1">
      <x:c r="V189" s="49"/>
      <x:c r="W189" s="50"/>
    </x:row>
    <x:row r="190" spans="22:23" ht="13.19999999999999928946" hidden="1">
      <x:c r="V190" s="49"/>
      <x:c r="W190" s="50"/>
    </x:row>
    <x:row r="191" spans="22:23" ht="13.19999999999999928946" hidden="1">
      <x:c r="V191" s="49"/>
      <x:c r="W191" s="50"/>
    </x:row>
    <x:row r="192" spans="22:23" ht="13.19999999999999928946" hidden="1">
      <x:c r="V192" s="49"/>
      <x:c r="W192" s="50"/>
    </x:row>
    <x:row r="193" spans="22:23" ht="13.19999999999999928946" hidden="1">
      <x:c r="V193" s="49"/>
      <x:c r="W193" s="50"/>
    </x:row>
    <x:row r="194" spans="22:23" ht="13.19999999999999928946" hidden="1">
      <x:c r="V194" s="49"/>
      <x:c r="W194" s="50"/>
    </x:row>
    <x:row r="195" spans="22:23" ht="13.19999999999999928946" hidden="1">
      <x:c r="V195" s="49"/>
      <x:c r="W195" s="50"/>
    </x:row>
    <x:row r="196" spans="22:23" ht="13.19999999999999928946" hidden="1">
      <x:c r="V196" s="49"/>
      <x:c r="W196" s="50"/>
    </x:row>
    <x:row r="197" spans="22:23" ht="13.19999999999999928946" hidden="1">
      <x:c r="V197" s="49"/>
      <x:c r="W197" s="50"/>
    </x:row>
    <x:row r="198" spans="22:23" ht="13.19999999999999928946" hidden="1">
      <x:c r="V198" s="49"/>
      <x:c r="W198" s="50"/>
    </x:row>
    <x:row r="199" spans="22:23" ht="13.19999999999999928946" hidden="1">
      <x:c r="V199" s="49"/>
      <x:c r="W199" s="50"/>
    </x:row>
    <x:row r="200" spans="22:23" ht="13.19999999999999928946" hidden="1">
      <x:c r="V200" s="49"/>
      <x:c r="W200" s="50"/>
    </x:row>
    <x:row r="201" spans="22:23" ht="13.19999999999999928946" hidden="1">
      <x:c r="V201" s="49"/>
      <x:c r="W201" s="50"/>
    </x:row>
    <x:row r="202" spans="22:23" ht="13.19999999999999928946" hidden="1">
      <x:c r="V202" s="49"/>
      <x:c r="W202" s="50"/>
    </x:row>
    <x:row r="203" spans="22:23" ht="13.19999999999999928946" hidden="1">
      <x:c r="V203" s="49"/>
      <x:c r="W203" s="50"/>
    </x:row>
    <x:row r="204" spans="22:23" ht="13.19999999999999928946" hidden="1">
      <x:c r="V204" s="49"/>
      <x:c r="W204" s="50"/>
    </x:row>
    <x:row r="205" spans="22:23" ht="13.19999999999999928946" hidden="1">
      <x:c r="V205" s="49"/>
      <x:c r="W205" s="50"/>
    </x:row>
    <x:row r="206" spans="22:23" ht="13.19999999999999928946" hidden="1">
      <x:c r="V206" s="49"/>
      <x:c r="W206" s="50"/>
    </x:row>
    <x:row r="207" spans="22:23" ht="13.19999999999999928946" hidden="1">
      <x:c r="V207" s="49"/>
      <x:c r="W207" s="50"/>
    </x:row>
    <x:row r="208" spans="22:23" ht="13.19999999999999928946" hidden="1">
      <x:c r="V208" s="49"/>
      <x:c r="W208" s="50"/>
    </x:row>
    <x:row r="209" spans="22:23" ht="13.19999999999999928946" hidden="1">
      <x:c r="V209" s="49"/>
      <x:c r="W209" s="50"/>
    </x:row>
    <x:row r="210" spans="22:23" ht="13.19999999999999928946" hidden="1">
      <x:c r="V210" s="49"/>
      <x:c r="W210" s="50"/>
    </x:row>
    <x:row r="211" spans="22:23" ht="13.19999999999999928946" hidden="1">
      <x:c r="V211" s="49"/>
      <x:c r="W211" s="50"/>
    </x:row>
    <x:row r="212" spans="22:23" ht="13.19999999999999928946" hidden="1">
      <x:c r="V212" s="49"/>
      <x:c r="W212" s="50"/>
    </x:row>
    <x:row r="213" spans="22:23" ht="13.19999999999999928946" hidden="1">
      <x:c r="V213" s="49"/>
      <x:c r="W213" s="50"/>
    </x:row>
    <x:row r="214" spans="22:23" ht="13.19999999999999928946" hidden="1">
      <x:c r="V214" s="49"/>
      <x:c r="W214" s="50"/>
    </x:row>
    <x:row r="215" spans="22:23" ht="13.19999999999999928946" hidden="1">
      <x:c r="V215" s="49"/>
      <x:c r="W215" s="50"/>
    </x:row>
    <x:row r="216" spans="22:23" ht="13.19999999999999928946" hidden="1">
      <x:c r="V216" s="49"/>
      <x:c r="W216" s="50"/>
    </x:row>
    <x:row r="217" spans="22:23" ht="13.19999999999999928946" hidden="1">
      <x:c r="V217" s="49"/>
      <x:c r="W217" s="50"/>
    </x:row>
    <x:row r="218" spans="22:23" ht="13.19999999999999928946" hidden="1">
      <x:c r="V218" s="49"/>
      <x:c r="W218" s="50"/>
    </x:row>
    <x:row r="219" spans="22:23" ht="13.19999999999999928946" hidden="1">
      <x:c r="V219" s="49"/>
      <x:c r="W219" s="50"/>
    </x:row>
    <x:row r="220" spans="22:23" ht="13.19999999999999928946" hidden="1">
      <x:c r="V220" s="49"/>
      <x:c r="W220" s="50"/>
    </x:row>
    <x:row r="221" spans="22:23" ht="13.19999999999999928946" hidden="1">
      <x:c r="V221" s="49"/>
      <x:c r="W221" s="50"/>
    </x:row>
    <x:row r="222" spans="22:23" ht="13.19999999999999928946" hidden="1">
      <x:c r="V222" s="49"/>
      <x:c r="W222" s="50"/>
    </x:row>
    <x:row r="223" spans="22:23" ht="13.19999999999999928946" hidden="1">
      <x:c r="V223" s="49"/>
      <x:c r="W223" s="50"/>
    </x:row>
    <x:row r="224" spans="22:23" ht="13.19999999999999928946" hidden="1">
      <x:c r="V224" s="49"/>
      <x:c r="W224" s="50"/>
    </x:row>
    <x:row r="225" spans="22:23" ht="13.19999999999999928946" hidden="1">
      <x:c r="V225" s="49"/>
      <x:c r="W225" s="50"/>
    </x:row>
    <x:row r="226" spans="22:23" ht="13.19999999999999928946" hidden="1">
      <x:c r="V226" s="49"/>
      <x:c r="W226" s="50"/>
    </x:row>
    <x:row r="227" spans="22:23" ht="13.19999999999999928946" hidden="1">
      <x:c r="V227" s="49"/>
      <x:c r="W227" s="50"/>
    </x:row>
    <x:row r="228" spans="22:23" ht="13.19999999999999928946" hidden="1">
      <x:c r="V228" s="49"/>
      <x:c r="W228" s="50"/>
    </x:row>
    <x:row r="229" spans="22:23" ht="13.19999999999999928946" hidden="1">
      <x:c r="V229" s="49"/>
      <x:c r="W229" s="50"/>
    </x:row>
    <x:row r="230" spans="22:23" ht="13.19999999999999928946" hidden="1">
      <x:c r="V230" s="49"/>
      <x:c r="W230" s="50"/>
    </x:row>
    <x:row r="231" spans="22:23" ht="13.19999999999999928946" hidden="1">
      <x:c r="V231" s="49"/>
      <x:c r="W231" s="50"/>
    </x:row>
    <x:row r="232" spans="22:23" ht="13.19999999999999928946" hidden="1">
      <x:c r="V232" s="49"/>
      <x:c r="W232" s="50"/>
    </x:row>
    <x:row r="233" spans="22:23" ht="13.19999999999999928946" hidden="1">
      <x:c r="V233" s="49"/>
      <x:c r="W233" s="50"/>
    </x:row>
    <x:row r="234" spans="22:23" ht="13.19999999999999928946" hidden="1">
      <x:c r="V234" s="49"/>
      <x:c r="W234" s="50"/>
    </x:row>
    <x:row r="235" spans="22:23" ht="13.19999999999999928946" hidden="1">
      <x:c r="V235" s="49"/>
      <x:c r="W235" s="50"/>
    </x:row>
    <x:row r="236" spans="22:23" ht="13.19999999999999928946" hidden="1">
      <x:c r="V236" s="49"/>
      <x:c r="W236" s="50"/>
    </x:row>
    <x:row r="237" spans="22:23" ht="13.19999999999999928946" hidden="1">
      <x:c r="V237" s="49"/>
      <x:c r="W237" s="50"/>
    </x:row>
    <x:row r="238" spans="22:23" ht="13.19999999999999928946" hidden="1">
      <x:c r="V238" s="49"/>
      <x:c r="W238" s="50"/>
    </x:row>
    <x:row r="239" spans="22:23" ht="13.19999999999999928946" hidden="1">
      <x:c r="V239" s="49"/>
      <x:c r="W239" s="50"/>
    </x:row>
    <x:row r="240" spans="22:23" ht="13.19999999999999928946" hidden="1">
      <x:c r="V240" s="49"/>
      <x:c r="W240" s="50"/>
    </x:row>
    <x:row r="241" spans="22:23" ht="13.19999999999999928946" hidden="1">
      <x:c r="V241" s="49"/>
      <x:c r="W241" s="50"/>
    </x:row>
    <x:row r="242" spans="22:23" ht="13.19999999999999928946" hidden="1">
      <x:c r="V242" s="49"/>
      <x:c r="W242" s="50"/>
    </x:row>
    <x:row r="243" spans="22:23" ht="13.19999999999999928946" hidden="1">
      <x:c r="V243" s="49"/>
      <x:c r="W243" s="50"/>
    </x:row>
    <x:row r="244" spans="22:23" ht="13.19999999999999928946" hidden="1">
      <x:c r="V244" s="49"/>
      <x:c r="W244" s="50"/>
    </x:row>
    <x:row r="245" spans="22:23" ht="13.19999999999999928946" hidden="1">
      <x:c r="V245" s="49"/>
      <x:c r="W245" s="50"/>
    </x:row>
    <x:row r="246" spans="22:23" ht="13.19999999999999928946" hidden="1">
      <x:c r="V246" s="49"/>
      <x:c r="W246" s="50"/>
    </x:row>
    <x:row r="247" spans="22:23" ht="13.19999999999999928946" hidden="1">
      <x:c r="V247" s="49"/>
      <x:c r="W247" s="50"/>
    </x:row>
    <x:row r="248" spans="22:23" ht="13.19999999999999928946" hidden="1">
      <x:c r="V248" s="49"/>
      <x:c r="W248" s="50"/>
    </x:row>
    <x:row r="249" spans="22:23" ht="13.19999999999999928946" hidden="1">
      <x:c r="V249" s="49"/>
      <x:c r="W249" s="50"/>
    </x:row>
    <x:row r="250" spans="22:23" ht="13.19999999999999928946" hidden="1">
      <x:c r="V250" s="49"/>
      <x:c r="W250" s="50"/>
    </x:row>
    <x:row r="251" spans="22:23" ht="13.19999999999999928946" hidden="1">
      <x:c r="V251" s="49"/>
      <x:c r="W251" s="50"/>
    </x:row>
    <x:row r="252" spans="22:23" ht="13.19999999999999928946" hidden="1">
      <x:c r="V252" s="49"/>
      <x:c r="W252" s="50"/>
    </x:row>
    <x:row r="253" spans="22:23" ht="13.19999999999999928946" hidden="1">
      <x:c r="V253" s="49"/>
      <x:c r="W253" s="50"/>
    </x:row>
    <x:row r="254" spans="22:23" ht="13.19999999999999928946" hidden="1">
      <x:c r="V254" s="49"/>
      <x:c r="W254" s="50"/>
    </x:row>
    <x:row r="255" spans="22:23" ht="13.19999999999999928946" hidden="1">
      <x:c r="V255" s="49"/>
      <x:c r="W255" s="50"/>
    </x:row>
    <x:row r="256" spans="22:23" ht="13.19999999999999928946" hidden="1">
      <x:c r="V256" s="49"/>
      <x:c r="W256" s="50"/>
    </x:row>
    <x:row r="257" spans="22:23" ht="13.19999999999999928946" hidden="1">
      <x:c r="V257" s="49"/>
      <x:c r="W257" s="50"/>
    </x:row>
    <x:row r="258" spans="22:23" ht="13.19999999999999928946" hidden="1">
      <x:c r="V258" s="49"/>
      <x:c r="W258" s="50"/>
    </x:row>
    <x:row r="259" spans="22:23" ht="13.19999999999999928946" hidden="1">
      <x:c r="V259" s="49"/>
      <x:c r="W259" s="50"/>
    </x:row>
    <x:row r="260" spans="22:23" ht="13.19999999999999928946" hidden="1">
      <x:c r="V260" s="49"/>
      <x:c r="W260" s="50"/>
    </x:row>
    <x:row r="261" spans="22:23" ht="13.19999999999999928946" hidden="1">
      <x:c r="V261" s="49"/>
      <x:c r="W261" s="50"/>
    </x:row>
    <x:row r="262" spans="22:23" ht="13.19999999999999928946" hidden="1">
      <x:c r="V262" s="49"/>
      <x:c r="W262" s="50"/>
    </x:row>
    <x:row r="263" spans="22:23" ht="13.19999999999999928946" hidden="1">
      <x:c r="V263" s="49"/>
      <x:c r="W263" s="50"/>
    </x:row>
    <x:row r="264" spans="22:23" ht="13.19999999999999928946" hidden="1">
      <x:c r="V264" s="49"/>
      <x:c r="W264" s="50"/>
    </x:row>
    <x:row r="265" spans="22:23" ht="13.19999999999999928946" hidden="1">
      <x:c r="V265" s="49"/>
      <x:c r="W265" s="50"/>
    </x:row>
    <x:row r="266" spans="22:23" ht="13.19999999999999928946" hidden="1">
      <x:c r="V266" s="49"/>
      <x:c r="W266" s="50"/>
    </x:row>
    <x:row r="267" spans="22:23" ht="13.19999999999999928946" hidden="1">
      <x:c r="V267" s="49"/>
      <x:c r="W267" s="50"/>
    </x:row>
    <x:row r="268" spans="22:23" ht="13.19999999999999928946" hidden="1">
      <x:c r="V268" s="49"/>
      <x:c r="W268" s="50"/>
    </x:row>
    <x:row r="269" spans="22:23" ht="13.19999999999999928946" hidden="1">
      <x:c r="V269" s="49"/>
      <x:c r="W269" s="50"/>
    </x:row>
    <x:row r="270" spans="22:23" ht="13.19999999999999928946" hidden="1">
      <x:c r="V270" s="49"/>
      <x:c r="W270" s="50"/>
    </x:row>
    <x:row r="271" spans="22:23" ht="13.19999999999999928946" hidden="1">
      <x:c r="V271" s="49"/>
      <x:c r="W271" s="50"/>
    </x:row>
    <x:row r="272" spans="22:23" ht="13.19999999999999928946" hidden="1">
      <x:c r="V272" s="49"/>
      <x:c r="W272" s="50"/>
    </x:row>
    <x:row r="273" spans="22:23" ht="13.19999999999999928946" hidden="1">
      <x:c r="V273" s="49"/>
      <x:c r="W273" s="50"/>
    </x:row>
    <x:row r="274" spans="22:23" ht="13.19999999999999928946" hidden="1">
      <x:c r="V274" s="49"/>
      <x:c r="W274" s="50"/>
    </x:row>
    <x:row r="275" spans="22:23" ht="13.19999999999999928946" hidden="1">
      <x:c r="V275" s="49"/>
      <x:c r="W275" s="50"/>
    </x:row>
    <x:row r="276" spans="22:23" ht="13.19999999999999928946" hidden="1">
      <x:c r="V276" s="49"/>
      <x:c r="W276" s="50"/>
    </x:row>
    <x:row r="277" spans="22:23" ht="13.19999999999999928946" hidden="1">
      <x:c r="V277" s="49"/>
      <x:c r="W277" s="50"/>
    </x:row>
    <x:row r="278" spans="22:23" ht="13.19999999999999928946" hidden="1">
      <x:c r="V278" s="49"/>
      <x:c r="W278" s="50"/>
    </x:row>
    <x:row r="279" spans="22:23" ht="13.19999999999999928946" hidden="1">
      <x:c r="V279" s="49"/>
      <x:c r="W279" s="50"/>
    </x:row>
    <x:row r="280" spans="22:23" ht="13.19999999999999928946" hidden="1">
      <x:c r="V280" s="49"/>
      <x:c r="W280" s="50"/>
    </x:row>
    <x:row r="281" spans="22:23" ht="13.19999999999999928946" hidden="1">
      <x:c r="V281" s="49"/>
      <x:c r="W281" s="50"/>
    </x:row>
    <x:row r="282" spans="22:23" ht="13.19999999999999928946" hidden="1">
      <x:c r="V282" s="49"/>
      <x:c r="W282" s="50"/>
    </x:row>
    <x:row r="283" spans="22:23" ht="13.19999999999999928946" hidden="1">
      <x:c r="V283" s="49"/>
      <x:c r="W283" s="50"/>
    </x:row>
    <x:row r="284" spans="22:23" ht="13.19999999999999928946" hidden="1">
      <x:c r="V284" s="49"/>
      <x:c r="W284" s="50"/>
    </x:row>
    <x:row r="285" spans="22:23" ht="13.19999999999999928946" hidden="1">
      <x:c r="V285" s="49"/>
      <x:c r="W285" s="50"/>
    </x:row>
    <x:row r="286" spans="22:23" ht="13.19999999999999928946" hidden="1">
      <x:c r="V286" s="49"/>
      <x:c r="W286" s="50"/>
    </x:row>
    <x:row r="287" spans="22:23" ht="13.19999999999999928946" hidden="1">
      <x:c r="V287" s="49"/>
      <x:c r="W287" s="50"/>
    </x:row>
    <x:row r="288" spans="22:23" ht="13.19999999999999928946" hidden="1">
      <x:c r="V288" s="49"/>
      <x:c r="W288" s="50"/>
    </x:row>
    <x:row r="289" spans="22:23" ht="13.19999999999999928946" hidden="1">
      <x:c r="V289" s="49"/>
      <x:c r="W289" s="50"/>
    </x:row>
    <x:row r="290" spans="22:23" ht="13.19999999999999928946" hidden="1">
      <x:c r="V290" s="49"/>
      <x:c r="W290" s="50"/>
    </x:row>
    <x:row r="291" spans="22:23" ht="13.19999999999999928946" hidden="1">
      <x:c r="V291" s="49"/>
      <x:c r="W291" s="50"/>
    </x:row>
    <x:row r="292" spans="22:23" ht="13.19999999999999928946" hidden="1">
      <x:c r="V292" s="49"/>
      <x:c r="W292" s="50"/>
    </x:row>
    <x:row r="293" spans="22:23" ht="13.19999999999999928946" hidden="1">
      <x:c r="V293" s="49"/>
      <x:c r="W293" s="50"/>
    </x:row>
    <x:row r="294" spans="22:23" ht="13.19999999999999928946" hidden="1">
      <x:c r="V294" s="49"/>
      <x:c r="W294" s="50"/>
    </x:row>
    <x:row r="295" spans="22:23" ht="13.19999999999999928946" hidden="1">
      <x:c r="V295" s="49"/>
      <x:c r="W295" s="50"/>
    </x:row>
    <x:row r="296" spans="22:23" ht="13.19999999999999928946" hidden="1">
      <x:c r="V296" s="49"/>
      <x:c r="W296" s="50"/>
    </x:row>
    <x:row r="297" spans="22:23" ht="13.19999999999999928946" hidden="1">
      <x:c r="V297" s="49"/>
      <x:c r="W297" s="50"/>
    </x:row>
    <x:row r="298" spans="22:23" ht="13.19999999999999928946" hidden="1">
      <x:c r="V298" s="49"/>
      <x:c r="W298" s="50"/>
    </x:row>
    <x:row r="299" spans="22:23" ht="13.19999999999999928946" hidden="1">
      <x:c r="V299" s="49"/>
      <x:c r="W299" s="50"/>
    </x:row>
    <x:row r="300" spans="22:23" ht="13.19999999999999928946" hidden="1">
      <x:c r="V300" s="49"/>
      <x:c r="W300" s="50"/>
    </x:row>
    <x:row r="301" spans="22:23" ht="13.19999999999999928946" hidden="1">
      <x:c r="V301" s="49"/>
      <x:c r="W301" s="50"/>
    </x:row>
    <x:row r="302" spans="22:23" ht="13.19999999999999928946" hidden="1">
      <x:c r="V302" s="49"/>
      <x:c r="W302" s="50"/>
    </x:row>
    <x:row r="303" spans="22:23" ht="13.19999999999999928946" hidden="1">
      <x:c r="V303" s="49"/>
      <x:c r="W303" s="50"/>
    </x:row>
    <x:row r="304" spans="22:23" ht="13.19999999999999928946" hidden="1">
      <x:c r="V304" s="49"/>
      <x:c r="W304" s="50"/>
    </x:row>
    <x:row r="305" spans="22:23" ht="13.19999999999999928946" hidden="1">
      <x:c r="V305" s="49"/>
      <x:c r="W305" s="50"/>
    </x:row>
    <x:row r="306" spans="22:23" ht="13.19999999999999928946" hidden="1">
      <x:c r="V306" s="49"/>
      <x:c r="W306" s="50"/>
    </x:row>
    <x:row r="307" spans="22:23" ht="13.19999999999999928946" hidden="1">
      <x:c r="V307" s="49"/>
      <x:c r="W307" s="50"/>
    </x:row>
    <x:row r="308" spans="22:23" ht="13.19999999999999928946" hidden="1">
      <x:c r="V308" s="49"/>
      <x:c r="W308" s="50"/>
    </x:row>
    <x:row r="309" spans="22:23" ht="13.19999999999999928946" hidden="1">
      <x:c r="V309" s="49"/>
      <x:c r="W309" s="50"/>
    </x:row>
    <x:row r="310" spans="22:23" ht="13.19999999999999928946" hidden="1">
      <x:c r="V310" s="49"/>
      <x:c r="W310" s="50"/>
    </x:row>
    <x:row r="311" spans="22:23" ht="13.19999999999999928946" hidden="1">
      <x:c r="V311" s="49"/>
      <x:c r="W311" s="50"/>
    </x:row>
    <x:row r="312" spans="22:23" ht="13.19999999999999928946" hidden="1">
      <x:c r="V312" s="49"/>
      <x:c r="W312" s="50"/>
    </x:row>
    <x:row r="313" spans="22:23" ht="13.19999999999999928946" hidden="1">
      <x:c r="V313" s="49"/>
      <x:c r="W313" s="50"/>
    </x:row>
    <x:row r="314" spans="22:23" ht="13.19999999999999928946" hidden="1">
      <x:c r="V314" s="49"/>
      <x:c r="W314" s="50"/>
    </x:row>
    <x:row r="315" spans="22:23" ht="13.19999999999999928946" hidden="1">
      <x:c r="V315" s="49"/>
      <x:c r="W315" s="50"/>
    </x:row>
    <x:row r="316" spans="22:23" ht="13.19999999999999928946" hidden="1">
      <x:c r="V316" s="49"/>
      <x:c r="W316" s="50"/>
    </x:row>
    <x:row r="317" spans="22:23" ht="13.19999999999999928946" hidden="1">
      <x:c r="V317" s="49"/>
      <x:c r="W317" s="50"/>
    </x:row>
    <x:row r="318" spans="22:23" ht="13.19999999999999928946" hidden="1">
      <x:c r="V318" s="49"/>
      <x:c r="W318" s="50"/>
    </x:row>
    <x:row r="319" spans="22:23" ht="13.19999999999999928946" hidden="1">
      <x:c r="V319" s="49"/>
      <x:c r="W319" s="50"/>
    </x:row>
    <x:row r="320" spans="22:23" ht="13.19999999999999928946" hidden="1">
      <x:c r="V320" s="49"/>
      <x:c r="W320" s="50"/>
    </x:row>
    <x:row r="321" spans="22:23" ht="13.19999999999999928946" hidden="1">
      <x:c r="V321" s="49"/>
      <x:c r="W321" s="50"/>
    </x:row>
    <x:row r="322" spans="22:23" ht="13.19999999999999928946" hidden="1">
      <x:c r="V322" s="49"/>
      <x:c r="W322" s="50"/>
    </x:row>
    <x:row r="323" spans="22:23" ht="13.19999999999999928946" hidden="1">
      <x:c r="V323" s="49"/>
      <x:c r="W323" s="50"/>
    </x:row>
    <x:row r="324" spans="22:23" ht="13.19999999999999928946" hidden="1">
      <x:c r="V324" s="49"/>
      <x:c r="W324" s="50"/>
    </x:row>
    <x:row r="325" spans="22:23" ht="13.19999999999999928946" hidden="1">
      <x:c r="V325" s="49"/>
      <x:c r="W325" s="50"/>
    </x:row>
    <x:row r="326" spans="22:23" ht="13.19999999999999928946" hidden="1">
      <x:c r="V326" s="49"/>
      <x:c r="W326" s="50"/>
    </x:row>
    <x:row r="327" spans="22:23" ht="13.19999999999999928946" hidden="1">
      <x:c r="V327" s="49"/>
      <x:c r="W327" s="50"/>
    </x:row>
    <x:row r="328" spans="22:23" ht="13.19999999999999928946" hidden="1">
      <x:c r="V328" s="49"/>
      <x:c r="W328" s="50"/>
    </x:row>
    <x:row r="329" spans="22:23" ht="13.19999999999999928946" hidden="1">
      <x:c r="V329" s="49"/>
      <x:c r="W329" s="50"/>
    </x:row>
    <x:row r="330" spans="22:23" ht="13.19999999999999928946" hidden="1">
      <x:c r="V330" s="49"/>
      <x:c r="W330" s="50"/>
    </x:row>
    <x:row r="331" spans="22:23" ht="13.19999999999999928946" hidden="1">
      <x:c r="V331" s="49"/>
      <x:c r="W331" s="50"/>
    </x:row>
    <x:row r="332" spans="22:23" ht="13.19999999999999928946" hidden="1">
      <x:c r="V332" s="49"/>
      <x:c r="W332" s="50"/>
    </x:row>
    <x:row r="333" spans="22:23" ht="13.19999999999999928946" hidden="1">
      <x:c r="V333" s="49"/>
      <x:c r="W333" s="50"/>
    </x:row>
    <x:row r="334" spans="22:23" ht="13.19999999999999928946" hidden="1">
      <x:c r="V334" s="49"/>
      <x:c r="W334" s="50"/>
    </x:row>
    <x:row r="335" spans="22:23" ht="13.19999999999999928946" hidden="1">
      <x:c r="V335" s="49"/>
      <x:c r="W335" s="50"/>
    </x:row>
    <x:row r="336" spans="22:23" ht="13.19999999999999928946" hidden="1">
      <x:c r="V336" s="49"/>
      <x:c r="W336" s="50"/>
    </x:row>
    <x:row r="337" spans="22:23" ht="13.19999999999999928946" hidden="1">
      <x:c r="V337" s="49"/>
      <x:c r="W337" s="50"/>
    </x:row>
    <x:row r="338" spans="22:23" ht="13.19999999999999928946" hidden="1">
      <x:c r="V338" s="49"/>
      <x:c r="W338" s="50"/>
    </x:row>
    <x:row r="339" spans="22:23" ht="13.19999999999999928946" hidden="1">
      <x:c r="V339" s="49"/>
      <x:c r="W339" s="50"/>
    </x:row>
    <x:row r="340" spans="22:23" ht="13.19999999999999928946" hidden="1">
      <x:c r="V340" s="49"/>
      <x:c r="W340" s="50"/>
    </x:row>
    <x:row r="341" spans="22:23" ht="13.19999999999999928946" hidden="1">
      <x:c r="V341" s="49"/>
      <x:c r="W341" s="50"/>
    </x:row>
    <x:row r="342" spans="22:23" ht="13.19999999999999928946" hidden="1">
      <x:c r="V342" s="49"/>
      <x:c r="W342" s="50"/>
    </x:row>
    <x:row r="343" spans="22:23" ht="13.19999999999999928946" hidden="1">
      <x:c r="V343" s="49"/>
      <x:c r="W343" s="50"/>
    </x:row>
    <x:row r="344" spans="22:23" ht="13.19999999999999928946" hidden="1">
      <x:c r="V344" s="49"/>
      <x:c r="W344" s="50"/>
    </x:row>
    <x:row r="345" spans="22:23" ht="13.19999999999999928946" hidden="1">
      <x:c r="V345" s="49"/>
      <x:c r="W345" s="50"/>
    </x:row>
    <x:row r="346" spans="22:23" ht="13.19999999999999928946" hidden="1">
      <x:c r="V346" s="49"/>
      <x:c r="W346" s="50"/>
    </x:row>
    <x:row r="347" spans="22:23" ht="13.19999999999999928946" hidden="1">
      <x:c r="V347" s="49"/>
      <x:c r="W347" s="50"/>
    </x:row>
    <x:row r="348" spans="22:23" ht="13.19999999999999928946" hidden="1">
      <x:c r="V348" s="49"/>
      <x:c r="W348" s="50"/>
    </x:row>
    <x:row r="349" spans="22:23" ht="13.19999999999999928946" hidden="1">
      <x:c r="V349" s="49"/>
      <x:c r="W349" s="50"/>
    </x:row>
    <x:row r="350" spans="22:23" ht="13.19999999999999928946" hidden="1">
      <x:c r="V350" s="49"/>
      <x:c r="W350" s="50"/>
    </x:row>
    <x:row r="351" spans="22:23" ht="13.19999999999999928946" hidden="1">
      <x:c r="V351" s="49"/>
      <x:c r="W351" s="50"/>
    </x:row>
    <x:row r="352" spans="22:23" ht="13.19999999999999928946" hidden="1">
      <x:c r="V352" s="49"/>
      <x:c r="W352" s="50"/>
    </x:row>
    <x:row r="353" spans="22:23" ht="13.19999999999999928946" hidden="1">
      <x:c r="V353" s="49"/>
      <x:c r="W353" s="50"/>
    </x:row>
    <x:row r="354" spans="22:23" ht="13.19999999999999928946" hidden="1">
      <x:c r="V354" s="49"/>
      <x:c r="W354" s="50"/>
    </x:row>
    <x:row r="355" spans="22:23" ht="13.19999999999999928946" hidden="1">
      <x:c r="V355" s="49"/>
      <x:c r="W355" s="50"/>
    </x:row>
    <x:row r="356" spans="22:23" ht="13.19999999999999928946" hidden="1">
      <x:c r="V356" s="49"/>
      <x:c r="W356" s="50"/>
    </x:row>
    <x:row r="357" spans="22:23" ht="13.19999999999999928946" hidden="1">
      <x:c r="V357" s="49"/>
      <x:c r="W357" s="50"/>
    </x:row>
    <x:row r="358" spans="22:23" ht="13.19999999999999928946" hidden="1">
      <x:c r="V358" s="49"/>
      <x:c r="W358" s="50"/>
    </x:row>
    <x:row r="359" spans="22:23" ht="13.19999999999999928946" hidden="1">
      <x:c r="V359" s="49"/>
      <x:c r="W359" s="50"/>
    </x:row>
    <x:row r="360" spans="22:23" ht="13.19999999999999928946" hidden="1">
      <x:c r="V360" s="49"/>
      <x:c r="W360" s="50"/>
    </x:row>
    <x:row r="361" spans="22:23" ht="13.19999999999999928946" hidden="1">
      <x:c r="V361" s="49"/>
      <x:c r="W361" s="50"/>
    </x:row>
    <x:row r="362" spans="22:23" ht="13.19999999999999928946" hidden="1">
      <x:c r="V362" s="49"/>
      <x:c r="W362" s="50"/>
    </x:row>
    <x:row r="363" spans="22:23" ht="13.19999999999999928946" hidden="1">
      <x:c r="V363" s="49"/>
      <x:c r="W363" s="50"/>
    </x:row>
    <x:row r="364" spans="22:23" ht="13.19999999999999928946" hidden="1">
      <x:c r="V364" s="49"/>
      <x:c r="W364" s="50"/>
    </x:row>
    <x:row r="365" spans="22:23" ht="13.19999999999999928946" hidden="1">
      <x:c r="V365" s="49"/>
      <x:c r="W365" s="50"/>
    </x:row>
    <x:row r="366" spans="22:23" ht="13.19999999999999928946" hidden="1">
      <x:c r="V366" s="49"/>
      <x:c r="W366" s="50"/>
    </x:row>
    <x:row r="367" spans="22:23" ht="13.19999999999999928946" hidden="1">
      <x:c r="V367" s="49"/>
      <x:c r="W367" s="50"/>
    </x:row>
    <x:row r="368" spans="22:23" ht="13.19999999999999928946" hidden="1">
      <x:c r="V368" s="49"/>
      <x:c r="W368" s="50"/>
    </x:row>
    <x:row r="369" spans="22:23" ht="13.19999999999999928946" hidden="1">
      <x:c r="V369" s="49"/>
      <x:c r="W369" s="50"/>
    </x:row>
    <x:row r="370" spans="22:23" ht="13.19999999999999928946" hidden="1">
      <x:c r="V370" s="49"/>
      <x:c r="W370" s="50"/>
    </x:row>
    <x:row r="371" spans="22:23" ht="13.19999999999999928946" hidden="1">
      <x:c r="V371" s="49"/>
      <x:c r="W371" s="50"/>
    </x:row>
    <x:row r="372" spans="22:23" ht="13.19999999999999928946" hidden="1">
      <x:c r="V372" s="49"/>
      <x:c r="W372" s="50"/>
    </x:row>
    <x:row r="373" spans="22:23" ht="13.19999999999999928946" hidden="1">
      <x:c r="V373" s="49"/>
      <x:c r="W373" s="50"/>
    </x:row>
    <x:row r="374" spans="22:23" ht="13.19999999999999928946" hidden="1">
      <x:c r="V374" s="49"/>
      <x:c r="W374" s="50"/>
    </x:row>
    <x:row r="375" spans="22:23" ht="13.19999999999999928946" hidden="1">
      <x:c r="V375" s="49"/>
      <x:c r="W375" s="50"/>
    </x:row>
    <x:row r="376" spans="22:23" ht="13.19999999999999928946" hidden="1">
      <x:c r="V376" s="49"/>
      <x:c r="W376" s="50"/>
    </x:row>
    <x:row r="377" spans="22:23" ht="13.19999999999999928946" hidden="1">
      <x:c r="V377" s="49"/>
      <x:c r="W377" s="50"/>
    </x:row>
    <x:row r="378" spans="22:23" ht="13.19999999999999928946" hidden="1">
      <x:c r="V378" s="49"/>
      <x:c r="W378" s="50"/>
    </x:row>
    <x:row r="379" spans="22:23" ht="13.19999999999999928946" hidden="1">
      <x:c r="V379" s="49"/>
      <x:c r="W379" s="50"/>
    </x:row>
    <x:row r="380" spans="22:23" ht="13.19999999999999928946" hidden="1">
      <x:c r="V380" s="49"/>
      <x:c r="W380" s="50"/>
    </x:row>
    <x:row r="381" spans="22:23" ht="13.19999999999999928946" hidden="1">
      <x:c r="V381" s="49"/>
      <x:c r="W381" s="50"/>
    </x:row>
    <x:row r="382" spans="22:23" ht="13.19999999999999928946" hidden="1">
      <x:c r="V382" s="49"/>
      <x:c r="W382" s="50"/>
    </x:row>
    <x:row r="383" spans="22:23" ht="13.19999999999999928946" hidden="1">
      <x:c r="V383" s="49"/>
      <x:c r="W383" s="50"/>
    </x:row>
    <x:row r="384" spans="22:23" ht="13.19999999999999928946" hidden="1">
      <x:c r="V384" s="49"/>
      <x:c r="W384" s="50"/>
    </x:row>
    <x:row r="385" spans="22:23" ht="13.19999999999999928946" hidden="1">
      <x:c r="V385" s="49"/>
      <x:c r="W385" s="50"/>
    </x:row>
    <x:row r="386" spans="22:23" ht="13.19999999999999928946" hidden="1">
      <x:c r="V386" s="49"/>
      <x:c r="W386" s="50"/>
    </x:row>
    <x:row r="387" spans="22:23" ht="13.19999999999999928946" hidden="1">
      <x:c r="V387" s="49"/>
      <x:c r="W387" s="50"/>
    </x:row>
    <x:row r="388" spans="22:23" ht="13.19999999999999928946" hidden="1">
      <x:c r="V388" s="49"/>
      <x:c r="W388" s="50"/>
    </x:row>
    <x:row r="389" spans="22:23" ht="13.19999999999999928946" hidden="1">
      <x:c r="V389" s="49"/>
      <x:c r="W389" s="50"/>
    </x:row>
    <x:row r="390" spans="22:23" ht="13.19999999999999928946" hidden="1">
      <x:c r="V390" s="49"/>
      <x:c r="W390" s="50"/>
    </x:row>
    <x:row r="391" spans="22:23" ht="13.19999999999999928946" hidden="1">
      <x:c r="V391" s="49"/>
      <x:c r="W391" s="50"/>
    </x:row>
    <x:row r="392" spans="22:23" ht="13.19999999999999928946" hidden="1">
      <x:c r="V392" s="49"/>
      <x:c r="W392" s="50"/>
    </x:row>
    <x:row r="393" spans="22:23" ht="13.19999999999999928946" hidden="1">
      <x:c r="V393" s="49"/>
      <x:c r="W393" s="50"/>
    </x:row>
    <x:row r="394" spans="22:23" ht="13.19999999999999928946" hidden="1">
      <x:c r="V394" s="49"/>
      <x:c r="W394" s="50"/>
    </x:row>
    <x:row r="395" spans="22:23" ht="13.19999999999999928946" hidden="1">
      <x:c r="V395" s="49"/>
      <x:c r="W395" s="50"/>
    </x:row>
    <x:row r="396" spans="22:23" ht="13.19999999999999928946" hidden="1">
      <x:c r="V396" s="49"/>
      <x:c r="W396" s="50"/>
    </x:row>
    <x:row r="397" spans="22:23" ht="13.19999999999999928946" hidden="1">
      <x:c r="V397" s="49"/>
      <x:c r="W397" s="50"/>
    </x:row>
    <x:row r="398" spans="22:23" ht="13.19999999999999928946" hidden="1">
      <x:c r="V398" s="49"/>
      <x:c r="W398" s="50"/>
    </x:row>
    <x:row r="399" spans="22:23" ht="13.19999999999999928946" hidden="1">
      <x:c r="V399" s="49"/>
      <x:c r="W399" s="50"/>
    </x:row>
    <x:row r="400" spans="22:23" ht="13.19999999999999928946" hidden="1">
      <x:c r="V400" s="49"/>
      <x:c r="W400" s="50"/>
    </x:row>
    <x:row r="401" spans="22:23" ht="13.19999999999999928946" hidden="1">
      <x:c r="V401" s="49"/>
      <x:c r="W401" s="50"/>
    </x:row>
    <x:row r="402" spans="22:23" ht="13.19999999999999928946" hidden="1">
      <x:c r="V402" s="49"/>
      <x:c r="W402" s="50"/>
    </x:row>
    <x:row r="403" spans="22:23" ht="13.19999999999999928946" hidden="1">
      <x:c r="V403" s="49"/>
      <x:c r="W403" s="50"/>
    </x:row>
    <x:row r="404" spans="22:23" ht="13.19999999999999928946" hidden="1">
      <x:c r="V404" s="49"/>
      <x:c r="W404" s="50"/>
    </x:row>
    <x:row r="405" spans="22:23" ht="13.19999999999999928946" hidden="1">
      <x:c r="V405" s="49"/>
      <x:c r="W405" s="50"/>
    </x:row>
    <x:row r="406" spans="22:23" ht="13.19999999999999928946" hidden="1">
      <x:c r="V406" s="49"/>
      <x:c r="W406" s="50"/>
    </x:row>
    <x:row r="407" spans="22:23" ht="13.19999999999999928946" hidden="1">
      <x:c r="V407" s="49"/>
      <x:c r="W407" s="50"/>
    </x:row>
    <x:row r="408" spans="22:23" ht="13.19999999999999928946" hidden="1">
      <x:c r="V408" s="49"/>
      <x:c r="W408" s="50"/>
    </x:row>
    <x:row r="409" spans="22:23" ht="13.19999999999999928946" hidden="1">
      <x:c r="V409" s="49"/>
      <x:c r="W409" s="50"/>
    </x:row>
    <x:row r="410" spans="22:23" ht="13.19999999999999928946" hidden="1">
      <x:c r="V410" s="49"/>
      <x:c r="W410" s="50"/>
    </x:row>
    <x:row r="411" spans="22:23" ht="13.19999999999999928946" hidden="1">
      <x:c r="V411" s="49"/>
      <x:c r="W411" s="50"/>
    </x:row>
    <x:row r="412" spans="22:23" ht="13.19999999999999928946" hidden="1">
      <x:c r="V412" s="49"/>
      <x:c r="W412" s="50"/>
    </x:row>
    <x:row r="413" spans="22:23" ht="13.19999999999999928946" hidden="1">
      <x:c r="V413" s="49"/>
      <x:c r="W413" s="50"/>
    </x:row>
    <x:row r="414" spans="22:23" ht="13.19999999999999928946" hidden="1">
      <x:c r="V414" s="49"/>
      <x:c r="W414" s="50"/>
    </x:row>
    <x:row r="415" spans="22:23" ht="13.19999999999999928946" hidden="1">
      <x:c r="V415" s="49"/>
      <x:c r="W415" s="50"/>
    </x:row>
    <x:row r="416" spans="22:23" ht="13.19999999999999928946" hidden="1">
      <x:c r="V416" s="49"/>
      <x:c r="W416" s="50"/>
    </x:row>
    <x:row r="417" spans="22:23" ht="13.19999999999999928946" hidden="1">
      <x:c r="V417" s="49"/>
      <x:c r="W417" s="50"/>
    </x:row>
    <x:row r="418" spans="22:23" ht="13.19999999999999928946" hidden="1">
      <x:c r="V418" s="49"/>
      <x:c r="W418" s="50"/>
    </x:row>
    <x:row r="419" spans="22:23" ht="13.19999999999999928946" hidden="1">
      <x:c r="V419" s="49"/>
      <x:c r="W419" s="50"/>
    </x:row>
    <x:row r="420" spans="22:23" ht="13.19999999999999928946" hidden="1">
      <x:c r="V420" s="49"/>
      <x:c r="W420" s="50"/>
    </x:row>
    <x:row r="421" spans="22:23" ht="13.19999999999999928946" hidden="1">
      <x:c r="V421" s="49"/>
      <x:c r="W421" s="50"/>
    </x:row>
    <x:row r="422" spans="22:23" ht="13.19999999999999928946" hidden="1">
      <x:c r="V422" s="49"/>
      <x:c r="W422" s="50"/>
    </x:row>
    <x:row r="423" spans="22:23" ht="13.19999999999999928946" hidden="1">
      <x:c r="V423" s="49"/>
      <x:c r="W423" s="50"/>
    </x:row>
    <x:row r="424" spans="22:23" ht="13.19999999999999928946" hidden="1">
      <x:c r="V424" s="49"/>
      <x:c r="W424" s="50"/>
    </x:row>
    <x:row r="425" spans="22:23" ht="13.19999999999999928946" hidden="1">
      <x:c r="V425" s="49"/>
      <x:c r="W425" s="50"/>
    </x:row>
    <x:row r="426" spans="22:23" ht="13.19999999999999928946" hidden="1">
      <x:c r="V426" s="49"/>
      <x:c r="W426" s="50"/>
    </x:row>
    <x:row r="427" spans="22:23" ht="13.19999999999999928946" hidden="1">
      <x:c r="V427" s="49"/>
      <x:c r="W427" s="50"/>
    </x:row>
    <x:row r="428" spans="22:23" ht="13.19999999999999928946" hidden="1">
      <x:c r="V428" s="49"/>
      <x:c r="W428" s="50"/>
    </x:row>
    <x:row r="429" spans="22:23" ht="13.19999999999999928946" hidden="1">
      <x:c r="V429" s="49"/>
      <x:c r="W429" s="50"/>
    </x:row>
    <x:row r="430" spans="22:23" ht="13.19999999999999928946" hidden="1">
      <x:c r="V430" s="49"/>
      <x:c r="W430" s="50"/>
    </x:row>
    <x:row r="431" spans="22:23" ht="13.19999999999999928946" hidden="1">
      <x:c r="V431" s="49"/>
      <x:c r="W431" s="50"/>
    </x:row>
    <x:row r="432" spans="22:23" ht="13.19999999999999928946" hidden="1">
      <x:c r="V432" s="49"/>
      <x:c r="W432" s="50"/>
    </x:row>
    <x:row r="433" spans="22:23" ht="13.19999999999999928946" hidden="1">
      <x:c r="V433" s="49"/>
      <x:c r="W433" s="50"/>
    </x:row>
    <x:row r="434" spans="22:23" ht="13.19999999999999928946" hidden="1">
      <x:c r="V434" s="49"/>
      <x:c r="W434" s="50"/>
    </x:row>
    <x:row r="435" spans="22:23" ht="13.19999999999999928946" hidden="1">
      <x:c r="V435" s="49"/>
      <x:c r="W435" s="50"/>
    </x:row>
    <x:row r="436" spans="22:23" ht="13.19999999999999928946" hidden="1">
      <x:c r="V436" s="49"/>
      <x:c r="W436" s="50"/>
    </x:row>
    <x:row r="437" spans="22:23" ht="13.19999999999999928946" hidden="1">
      <x:c r="V437" s="49"/>
      <x:c r="W437" s="50"/>
    </x:row>
    <x:row r="438" spans="22:23" ht="13.19999999999999928946" hidden="1">
      <x:c r="V438" s="49"/>
      <x:c r="W438" s="50"/>
    </x:row>
    <x:row r="439" spans="22:23" ht="13.19999999999999928946" hidden="1">
      <x:c r="V439" s="49"/>
      <x:c r="W439" s="50"/>
    </x:row>
    <x:row r="440" spans="22:23" ht="13.19999999999999928946" hidden="1">
      <x:c r="V440" s="49"/>
      <x:c r="W440" s="50"/>
    </x:row>
    <x:row r="441" spans="22:23" ht="13.19999999999999928946" hidden="1">
      <x:c r="V441" s="49"/>
      <x:c r="W441" s="50"/>
    </x:row>
    <x:row r="442" spans="22:23" ht="13.19999999999999928946" hidden="1">
      <x:c r="V442" s="49"/>
      <x:c r="W442" s="50"/>
    </x:row>
    <x:row r="443" spans="22:23" ht="13.19999999999999928946" hidden="1">
      <x:c r="V443" s="49"/>
      <x:c r="W443" s="50"/>
    </x:row>
    <x:row r="444" spans="22:23" ht="13.19999999999999928946" hidden="1">
      <x:c r="V444" s="49"/>
      <x:c r="W444" s="50"/>
    </x:row>
    <x:row r="445" spans="22:23" ht="13.19999999999999928946" hidden="1">
      <x:c r="V445" s="49"/>
      <x:c r="W445" s="50"/>
    </x:row>
    <x:row r="446" spans="22:23" ht="13.19999999999999928946" hidden="1">
      <x:c r="V446" s="49"/>
      <x:c r="W446" s="50"/>
    </x:row>
    <x:row r="447" spans="22:23" ht="13.19999999999999928946" hidden="1">
      <x:c r="V447" s="49"/>
      <x:c r="W447" s="50"/>
    </x:row>
    <x:row r="448" spans="22:23" ht="13.19999999999999928946" hidden="1">
      <x:c r="V448" s="49"/>
      <x:c r="W448" s="50"/>
    </x:row>
    <x:row r="449" spans="22:23" ht="13.19999999999999928946" hidden="1">
      <x:c r="V449" s="49"/>
      <x:c r="W449" s="50"/>
    </x:row>
    <x:row r="450" spans="22:23" ht="13.19999999999999928946" hidden="1">
      <x:c r="V450" s="49"/>
      <x:c r="W450" s="50"/>
    </x:row>
    <x:row r="451" spans="22:23" ht="13.19999999999999928946" hidden="1">
      <x:c r="V451" s="49"/>
      <x:c r="W451" s="50"/>
    </x:row>
    <x:row r="452" spans="22:23" ht="13.19999999999999928946" hidden="1">
      <x:c r="V452" s="49"/>
      <x:c r="W452" s="50"/>
    </x:row>
    <x:row r="453" spans="22:23" ht="13.19999999999999928946" hidden="1">
      <x:c r="V453" s="49"/>
      <x:c r="W453" s="50"/>
    </x:row>
    <x:row r="454" spans="22:23" ht="13.19999999999999928946" hidden="1">
      <x:c r="V454" s="49"/>
      <x:c r="W454" s="50"/>
    </x:row>
    <x:row r="455" spans="22:23" ht="13.19999999999999928946" hidden="1">
      <x:c r="V455" s="49"/>
      <x:c r="W455" s="50"/>
    </x:row>
    <x:row r="456" spans="22:23" ht="13.19999999999999928946" hidden="1">
      <x:c r="V456" s="49"/>
      <x:c r="W456" s="50"/>
    </x:row>
    <x:row r="457" spans="22:23" ht="13.19999999999999928946" hidden="1">
      <x:c r="V457" s="49"/>
      <x:c r="W457" s="50"/>
    </x:row>
    <x:row r="458" spans="22:23" ht="13.19999999999999928946" hidden="1">
      <x:c r="V458" s="49"/>
      <x:c r="W458" s="50"/>
    </x:row>
    <x:row r="459" spans="22:23" ht="13.19999999999999928946" hidden="1">
      <x:c r="V459" s="49"/>
      <x:c r="W459" s="50"/>
    </x:row>
    <x:row r="460" spans="22:23" ht="13.19999999999999928946" hidden="1">
      <x:c r="V460" s="49"/>
      <x:c r="W460" s="50"/>
    </x:row>
    <x:row r="461" spans="22:23" ht="13.19999999999999928946" hidden="1">
      <x:c r="V461" s="49"/>
      <x:c r="W461" s="50"/>
    </x:row>
    <x:row r="462" spans="22:23" ht="13.19999999999999928946" hidden="1">
      <x:c r="V462" s="49"/>
      <x:c r="W462" s="50"/>
    </x:row>
    <x:row r="463" spans="22:23" ht="13.19999999999999928946" hidden="1">
      <x:c r="V463" s="49"/>
      <x:c r="W463" s="50"/>
    </x:row>
    <x:row r="464" spans="22:23" ht="13.19999999999999928946" hidden="1">
      <x:c r="V464" s="49"/>
      <x:c r="W464" s="50"/>
    </x:row>
    <x:row r="465" spans="22:23" ht="13.19999999999999928946" hidden="1">
      <x:c r="V465" s="49"/>
      <x:c r="W465" s="50"/>
    </x:row>
    <x:row r="466" spans="22:23" ht="13.19999999999999928946" hidden="1">
      <x:c r="V466" s="49"/>
      <x:c r="W466" s="50"/>
    </x:row>
    <x:row r="467" spans="22:23" ht="13.19999999999999928946" hidden="1">
      <x:c r="V467" s="49"/>
      <x:c r="W467" s="50"/>
    </x:row>
    <x:row r="468" spans="22:23" ht="13.19999999999999928946" hidden="1">
      <x:c r="V468" s="49"/>
      <x:c r="W468" s="50"/>
    </x:row>
    <x:row r="469" spans="22:23" ht="13.19999999999999928946" hidden="1">
      <x:c r="V469" s="49"/>
      <x:c r="W469" s="50"/>
    </x:row>
    <x:row r="470" spans="22:23" ht="13.19999999999999928946" hidden="1">
      <x:c r="V470" s="49"/>
      <x:c r="W470" s="50"/>
    </x:row>
    <x:row r="471" spans="22:23" ht="13.19999999999999928946" hidden="1">
      <x:c r="V471" s="49"/>
      <x:c r="W471" s="50"/>
    </x:row>
    <x:row r="472" spans="22:23" ht="13.19999999999999928946" hidden="1">
      <x:c r="V472" s="49"/>
      <x:c r="W472" s="50"/>
    </x:row>
    <x:row r="473" spans="22:23" ht="13.19999999999999928946" hidden="1">
      <x:c r="V473" s="49"/>
      <x:c r="W473" s="50"/>
    </x:row>
    <x:row r="474" spans="22:23" ht="13.19999999999999928946" hidden="1">
      <x:c r="V474" s="49"/>
      <x:c r="W474" s="50"/>
    </x:row>
    <x:row r="475" spans="22:23" ht="13.19999999999999928946" hidden="1">
      <x:c r="V475" s="49"/>
      <x:c r="W475" s="50"/>
    </x:row>
    <x:row r="476" spans="22:23" ht="13.19999999999999928946" hidden="1">
      <x:c r="V476" s="49"/>
      <x:c r="W476" s="50"/>
    </x:row>
    <x:row r="477" spans="22:23" ht="13.19999999999999928946" hidden="1">
      <x:c r="V477" s="49"/>
      <x:c r="W477" s="50"/>
    </x:row>
    <x:row r="478" spans="22:23" ht="13.19999999999999928946" hidden="1">
      <x:c r="V478" s="49"/>
      <x:c r="W478" s="50"/>
    </x:row>
    <x:row r="479" spans="22:23" ht="13.19999999999999928946" hidden="1">
      <x:c r="V479" s="49"/>
      <x:c r="W479" s="50"/>
    </x:row>
    <x:row r="480" spans="22:23" ht="13.19999999999999928946" hidden="1">
      <x:c r="V480" s="49"/>
      <x:c r="W480" s="50"/>
    </x:row>
    <x:row r="481" spans="22:23" ht="13.19999999999999928946" hidden="1">
      <x:c r="V481" s="49"/>
      <x:c r="W481" s="50"/>
    </x:row>
    <x:row r="482" spans="22:23" ht="13.19999999999999928946" hidden="1">
      <x:c r="V482" s="49"/>
      <x:c r="W482" s="50"/>
    </x:row>
    <x:row r="483" spans="22:23" ht="13.19999999999999928946" hidden="1">
      <x:c r="V483" s="49"/>
      <x:c r="W483" s="50"/>
    </x:row>
    <x:row r="484" spans="22:23" ht="13.19999999999999928946" hidden="1">
      <x:c r="V484" s="49"/>
      <x:c r="W484" s="50"/>
    </x:row>
    <x:row r="485" spans="22:23" ht="13.19999999999999928946" hidden="1">
      <x:c r="V485" s="49"/>
      <x:c r="W485" s="50"/>
    </x:row>
    <x:row r="486" spans="22:23" ht="13.19999999999999928946" hidden="1">
      <x:c r="V486" s="49"/>
      <x:c r="W486" s="50"/>
    </x:row>
    <x:row r="487" spans="22:23" ht="13.19999999999999928946" hidden="1">
      <x:c r="V487" s="49"/>
      <x:c r="W487" s="50"/>
    </x:row>
    <x:row r="488" spans="22:23" ht="13.19999999999999928946" hidden="1">
      <x:c r="V488" s="49"/>
      <x:c r="W488" s="50"/>
    </x:row>
    <x:row r="489" spans="22:23" ht="13.19999999999999928946" hidden="1">
      <x:c r="V489" s="49"/>
      <x:c r="W489" s="50"/>
    </x:row>
    <x:row r="490" spans="22:23" ht="13.19999999999999928946" hidden="1">
      <x:c r="V490" s="49"/>
      <x:c r="W490" s="50"/>
    </x:row>
    <x:row r="491" spans="22:23" ht="13.19999999999999928946" hidden="1">
      <x:c r="V491" s="49"/>
      <x:c r="W491" s="50"/>
    </x:row>
    <x:row r="492" spans="22:23" ht="13.19999999999999928946" hidden="1">
      <x:c r="V492" s="49"/>
      <x:c r="W492" s="50"/>
    </x:row>
    <x:row r="493" spans="22:23" ht="13.19999999999999928946" hidden="1">
      <x:c r="V493" s="49"/>
      <x:c r="W493" s="50"/>
    </x:row>
    <x:row r="494" spans="22:23" ht="13.19999999999999928946" hidden="1">
      <x:c r="V494" s="49"/>
      <x:c r="W494" s="50"/>
    </x:row>
    <x:row r="495" spans="22:23" ht="13.19999999999999928946" hidden="1">
      <x:c r="V495" s="49"/>
      <x:c r="W495" s="50"/>
    </x:row>
    <x:row r="496" spans="22:23" ht="13.19999999999999928946" hidden="1">
      <x:c r="V496" s="49"/>
      <x:c r="W496" s="50"/>
    </x:row>
    <x:row r="497" spans="22:23" ht="13.19999999999999928946" hidden="1">
      <x:c r="V497" s="49"/>
      <x:c r="W497" s="50"/>
    </x:row>
    <x:row r="498" spans="22:23" ht="13.19999999999999928946" hidden="1">
      <x:c r="V498" s="49"/>
      <x:c r="W498" s="50"/>
    </x:row>
    <x:row r="499" spans="22:23" ht="13.19999999999999928946" hidden="1">
      <x:c r="V499" s="49"/>
      <x:c r="W499" s="50"/>
    </x:row>
    <x:row r="500" spans="22:23" ht="13.19999999999999928946" hidden="1">
      <x:c r="V500" s="49"/>
      <x:c r="W500" s="50"/>
    </x:row>
    <x:row r="501" spans="22:23" ht="13.19999999999999928946" hidden="1">
      <x:c r="V501" s="49"/>
      <x:c r="W501" s="50"/>
    </x:row>
    <x:row r="502" spans="22:23" ht="13.19999999999999928946" hidden="1">
      <x:c r="V502" s="49"/>
      <x:c r="W502" s="50"/>
    </x:row>
    <x:row r="503" spans="22:23" ht="13.19999999999999928946" hidden="1">
      <x:c r="V503" s="49"/>
      <x:c r="W503" s="50"/>
    </x:row>
    <x:row r="504" spans="22:23" ht="13.19999999999999928946" hidden="1">
      <x:c r="V504" s="49"/>
      <x:c r="W504" s="50"/>
    </x:row>
    <x:row r="505" spans="22:23" ht="13.19999999999999928946" hidden="1">
      <x:c r="V505" s="49"/>
      <x:c r="W505" s="50"/>
    </x:row>
    <x:row r="506" spans="22:23" ht="13.19999999999999928946" hidden="1">
      <x:c r="V506" s="49"/>
      <x:c r="W506" s="50"/>
    </x:row>
    <x:row r="507" spans="22:23" ht="13.19999999999999928946" hidden="1">
      <x:c r="V507" s="49"/>
      <x:c r="W507" s="50"/>
    </x:row>
    <x:row r="508" spans="22:23" ht="13.19999999999999928946" hidden="1">
      <x:c r="V508" s="49"/>
      <x:c r="W508" s="50"/>
    </x:row>
    <x:row r="509" spans="22:23" ht="13.19999999999999928946" hidden="1">
      <x:c r="V509" s="49"/>
      <x:c r="W509" s="50"/>
    </x:row>
    <x:row r="510" spans="22:23" ht="13.19999999999999928946" hidden="1">
      <x:c r="V510" s="49"/>
      <x:c r="W510" s="50"/>
    </x:row>
    <x:row r="511" spans="22:23" ht="13.19999999999999928946" hidden="1">
      <x:c r="V511" s="49"/>
      <x:c r="W511" s="50"/>
    </x:row>
    <x:row r="512" spans="22:23" ht="13.19999999999999928946" hidden="1">
      <x:c r="V512" s="49"/>
      <x:c r="W512" s="50"/>
    </x:row>
    <x:row r="513" spans="22:23" ht="13.19999999999999928946" hidden="1">
      <x:c r="V513" s="49"/>
      <x:c r="W513" s="50"/>
    </x:row>
    <x:row r="514" spans="22:23" ht="13.19999999999999928946" hidden="1">
      <x:c r="V514" s="49"/>
      <x:c r="W514" s="50"/>
    </x:row>
    <x:row r="515" spans="22:23" ht="13.19999999999999928946" hidden="1">
      <x:c r="V515" s="49"/>
      <x:c r="W515" s="50"/>
    </x:row>
    <x:row r="516" spans="22:23" ht="13.19999999999999928946" hidden="1">
      <x:c r="V516" s="49"/>
      <x:c r="W516" s="50"/>
    </x:row>
    <x:row r="517" spans="22:23" ht="13.19999999999999928946" hidden="1">
      <x:c r="V517" s="49"/>
      <x:c r="W517" s="50"/>
    </x:row>
    <x:row r="518" spans="22:23" ht="13.19999999999999928946" hidden="1">
      <x:c r="V518" s="49"/>
      <x:c r="W518" s="50"/>
    </x:row>
    <x:row r="519" spans="22:23" ht="13.19999999999999928946" hidden="1">
      <x:c r="V519" s="49"/>
      <x:c r="W519" s="50"/>
    </x:row>
    <x:row r="520" spans="22:23" ht="13.19999999999999928946" hidden="1">
      <x:c r="V520" s="49"/>
      <x:c r="W520" s="50"/>
    </x:row>
    <x:row r="521" spans="22:23" ht="13.19999999999999928946" hidden="1">
      <x:c r="V521" s="49"/>
      <x:c r="W521" s="50"/>
    </x:row>
    <x:row r="522" spans="22:23" ht="13.19999999999999928946" hidden="1">
      <x:c r="V522" s="49"/>
      <x:c r="W522" s="50"/>
    </x:row>
    <x:row r="523" spans="22:23" ht="13.19999999999999928946" hidden="1">
      <x:c r="V523" s="49"/>
      <x:c r="W523" s="50"/>
    </x:row>
    <x:row r="524" spans="22:23" ht="13.19999999999999928946" hidden="1">
      <x:c r="V524" s="49"/>
      <x:c r="W524" s="50"/>
    </x:row>
    <x:row r="525" spans="22:23" ht="13.19999999999999928946" hidden="1">
      <x:c r="V525" s="49"/>
      <x:c r="W525" s="50"/>
    </x:row>
    <x:row r="526" spans="22:23" ht="13.19999999999999928946" hidden="1">
      <x:c r="V526" s="49"/>
      <x:c r="W526" s="50"/>
    </x:row>
    <x:row r="527" spans="22:23" ht="13.19999999999999928946" hidden="1">
      <x:c r="V527" s="49"/>
      <x:c r="W527" s="50"/>
    </x:row>
    <x:row r="528" spans="22:23" ht="13.19999999999999928946" hidden="1">
      <x:c r="V528" s="49"/>
      <x:c r="W528" s="50"/>
    </x:row>
    <x:row r="529" spans="22:23" ht="13.19999999999999928946" hidden="1">
      <x:c r="V529" s="49"/>
      <x:c r="W529" s="50"/>
    </x:row>
    <x:row r="530" spans="22:23" ht="13.19999999999999928946" hidden="1">
      <x:c r="V530" s="49"/>
      <x:c r="W530" s="50"/>
    </x:row>
    <x:row r="531" spans="22:23" ht="13.19999999999999928946" hidden="1">
      <x:c r="V531" s="49"/>
      <x:c r="W531" s="50"/>
    </x:row>
    <x:row r="532" spans="22:23" ht="13.19999999999999928946" hidden="1">
      <x:c r="V532" s="49"/>
      <x:c r="W532" s="50"/>
    </x:row>
    <x:row r="533" spans="22:23" ht="13.19999999999999928946" hidden="1">
      <x:c r="V533" s="49"/>
      <x:c r="W533" s="50"/>
    </x:row>
    <x:row r="534" spans="22:23" ht="13.19999999999999928946" hidden="1">
      <x:c r="V534" s="49"/>
      <x:c r="W534" s="50"/>
    </x:row>
    <x:row r="535" spans="22:23" ht="13.19999999999999928946" hidden="1">
      <x:c r="V535" s="49"/>
      <x:c r="W535" s="50"/>
    </x:row>
    <x:row r="536" spans="22:23" ht="13.19999999999999928946" hidden="1">
      <x:c r="V536" s="49"/>
      <x:c r="W536" s="50"/>
    </x:row>
    <x:row r="537" spans="22:23" ht="13.19999999999999928946" hidden="1">
      <x:c r="V537" s="49"/>
      <x:c r="W537" s="50"/>
    </x:row>
    <x:row r="538" spans="22:23" ht="13.19999999999999928946" hidden="1">
      <x:c r="V538" s="49"/>
      <x:c r="W538" s="50"/>
    </x:row>
    <x:row r="539" spans="22:23" ht="13.19999999999999928946" hidden="1">
      <x:c r="V539" s="49"/>
      <x:c r="W539" s="50"/>
    </x:row>
    <x:row r="540" spans="22:23" ht="13.19999999999999928946" hidden="1">
      <x:c r="V540" s="49"/>
      <x:c r="W540" s="50"/>
    </x:row>
    <x:row r="541" spans="22:23" ht="13.19999999999999928946" hidden="1">
      <x:c r="V541" s="49"/>
      <x:c r="W541" s="50"/>
    </x:row>
    <x:row r="542" spans="22:23" ht="13.19999999999999928946" hidden="1">
      <x:c r="V542" s="49"/>
      <x:c r="W542" s="50"/>
    </x:row>
    <x:row r="543" spans="22:23" ht="13.19999999999999928946" hidden="1">
      <x:c r="V543" s="49"/>
      <x:c r="W543" s="50"/>
    </x:row>
    <x:row r="544" spans="22:23" ht="13.19999999999999928946" hidden="1">
      <x:c r="V544" s="49"/>
      <x:c r="W544" s="50"/>
    </x:row>
    <x:row r="545" spans="22:23" ht="13.19999999999999928946" hidden="1">
      <x:c r="V545" s="49"/>
      <x:c r="W545" s="50"/>
    </x:row>
    <x:row r="546" spans="22:23" ht="13.19999999999999928946" hidden="1">
      <x:c r="V546" s="49"/>
      <x:c r="W546" s="50"/>
    </x:row>
    <x:row r="547" spans="22:23" ht="13.19999999999999928946" hidden="1">
      <x:c r="V547" s="49"/>
      <x:c r="W547" s="50"/>
    </x:row>
    <x:row r="548" spans="22:23" ht="13.19999999999999928946" hidden="1">
      <x:c r="V548" s="49"/>
      <x:c r="W548" s="50"/>
    </x:row>
    <x:row r="549" spans="22:23" ht="13.19999999999999928946" hidden="1">
      <x:c r="V549" s="49"/>
      <x:c r="W549" s="50"/>
    </x:row>
    <x:row r="550" spans="22:23" ht="13.19999999999999928946" hidden="1">
      <x:c r="V550" s="49"/>
      <x:c r="W550" s="50"/>
    </x:row>
    <x:row r="551" spans="22:23" ht="13.19999999999999928946" hidden="1">
      <x:c r="V551" s="49"/>
      <x:c r="W551" s="50"/>
    </x:row>
    <x:row r="552" spans="22:23" ht="13.19999999999999928946" hidden="1">
      <x:c r="V552" s="49"/>
      <x:c r="W552" s="50"/>
    </x:row>
    <x:row r="553" spans="22:23" ht="13.19999999999999928946" hidden="1">
      <x:c r="V553" s="49"/>
      <x:c r="W553" s="50"/>
    </x:row>
    <x:row r="554" spans="22:23" ht="13.19999999999999928946" hidden="1">
      <x:c r="V554" s="49"/>
      <x:c r="W554" s="50"/>
    </x:row>
    <x:row r="555" spans="22:23" ht="13.19999999999999928946" hidden="1">
      <x:c r="V555" s="49"/>
      <x:c r="W555" s="50"/>
    </x:row>
    <x:row r="556" spans="22:23" ht="13.19999999999999928946" hidden="1">
      <x:c r="V556" s="49"/>
      <x:c r="W556" s="50"/>
    </x:row>
    <x:row r="557" spans="22:23" ht="13.19999999999999928946" hidden="1">
      <x:c r="V557" s="49"/>
      <x:c r="W557" s="50"/>
    </x:row>
    <x:row r="558" spans="22:23" ht="13.19999999999999928946" hidden="1">
      <x:c r="V558" s="49"/>
      <x:c r="W558" s="50"/>
    </x:row>
    <x:row r="559" spans="22:23" ht="13.19999999999999928946" hidden="1">
      <x:c r="V559" s="49"/>
      <x:c r="W559" s="50"/>
    </x:row>
    <x:row r="560" spans="22:23" ht="13.19999999999999928946" hidden="1">
      <x:c r="V560" s="49"/>
      <x:c r="W560" s="50"/>
    </x:row>
    <x:row r="561" spans="22:23" ht="13.19999999999999928946" hidden="1">
      <x:c r="V561" s="49"/>
      <x:c r="W561" s="50"/>
    </x:row>
    <x:row r="562" spans="22:23" ht="13.19999999999999928946" hidden="1">
      <x:c r="V562" s="49"/>
      <x:c r="W562" s="50"/>
    </x:row>
    <x:row r="563" spans="22:23" ht="13.19999999999999928946" hidden="1">
      <x:c r="V563" s="49"/>
      <x:c r="W563" s="50"/>
    </x:row>
    <x:row r="564" spans="22:23" ht="13.19999999999999928946" hidden="1">
      <x:c r="V564" s="49"/>
      <x:c r="W564" s="50"/>
    </x:row>
    <x:row r="565" spans="22:23" ht="13.19999999999999928946" hidden="1">
      <x:c r="V565" s="49"/>
      <x:c r="W565" s="50"/>
    </x:row>
    <x:row r="566" spans="22:23" ht="13.19999999999999928946" hidden="1">
      <x:c r="V566" s="49"/>
      <x:c r="W566" s="50"/>
    </x:row>
    <x:row r="567" spans="22:23" ht="13.19999999999999928946" hidden="1">
      <x:c r="V567" s="49"/>
      <x:c r="W567" s="50"/>
    </x:row>
    <x:row r="568" spans="22:23" ht="13.19999999999999928946" hidden="1">
      <x:c r="V568" s="49"/>
      <x:c r="W568" s="50"/>
    </x:row>
    <x:row r="569" spans="22:23" ht="13.19999999999999928946" hidden="1">
      <x:c r="V569" s="49"/>
      <x:c r="W569" s="50"/>
    </x:row>
    <x:row r="570" spans="22:23" ht="13.19999999999999928946" hidden="1">
      <x:c r="V570" s="49"/>
      <x:c r="W570" s="50"/>
    </x:row>
    <x:row r="571" spans="22:23" ht="13.19999999999999928946" hidden="1">
      <x:c r="V571" s="49"/>
      <x:c r="W571" s="50"/>
    </x:row>
    <x:row r="572" spans="22:23" ht="13.19999999999999928946" hidden="1">
      <x:c r="V572" s="49"/>
      <x:c r="W572" s="50"/>
    </x:row>
    <x:row r="573" spans="22:23" ht="13.19999999999999928946" hidden="1">
      <x:c r="V573" s="49"/>
      <x:c r="W573" s="50"/>
    </x:row>
    <x:row r="574" spans="22:23" ht="13.19999999999999928946" hidden="1">
      <x:c r="V574" s="49"/>
      <x:c r="W574" s="50"/>
    </x:row>
    <x:row r="575" spans="22:23" ht="13.19999999999999928946" hidden="1">
      <x:c r="V575" s="49"/>
      <x:c r="W575" s="50"/>
    </x:row>
    <x:row r="576" spans="22:23" ht="13.19999999999999928946" hidden="1">
      <x:c r="V576" s="49"/>
      <x:c r="W576" s="50"/>
    </x:row>
    <x:row r="577" spans="22:23" ht="13.19999999999999928946" hidden="1">
      <x:c r="V577" s="49"/>
      <x:c r="W577" s="50"/>
    </x:row>
    <x:row r="578" spans="22:23" ht="13.19999999999999928946" hidden="1">
      <x:c r="V578" s="49"/>
      <x:c r="W578" s="50"/>
    </x:row>
    <x:row r="579" spans="22:23" ht="13.19999999999999928946" hidden="1">
      <x:c r="V579" s="49"/>
      <x:c r="W579" s="50"/>
    </x:row>
    <x:row r="580" spans="22:23" ht="13.19999999999999928946" hidden="1">
      <x:c r="V580" s="49"/>
      <x:c r="W580" s="50"/>
    </x:row>
    <x:row r="581" spans="22:23" ht="13.19999999999999928946" hidden="1">
      <x:c r="V581" s="49"/>
      <x:c r="W581" s="50"/>
    </x:row>
    <x:row r="582" spans="22:23" ht="13.19999999999999928946" hidden="1">
      <x:c r="V582" s="49"/>
      <x:c r="W582" s="50"/>
    </x:row>
    <x:row r="583" spans="22:23" ht="13.19999999999999928946" hidden="1">
      <x:c r="V583" s="49"/>
      <x:c r="W583" s="50"/>
    </x:row>
    <x:row r="584" spans="22:23" ht="13.19999999999999928946" hidden="1">
      <x:c r="V584" s="49"/>
      <x:c r="W584" s="50"/>
    </x:row>
    <x:row r="585" spans="22:23" ht="13.19999999999999928946" hidden="1">
      <x:c r="V585" s="49"/>
      <x:c r="W585" s="50"/>
    </x:row>
    <x:row r="586" spans="22:23" ht="13.19999999999999928946" hidden="1">
      <x:c r="V586" s="49"/>
      <x:c r="W586" s="50"/>
    </x:row>
    <x:row r="587" spans="22:23" ht="13.19999999999999928946" hidden="1">
      <x:c r="V587" s="49"/>
      <x:c r="W587" s="50"/>
    </x:row>
    <x:row r="588" spans="22:23" ht="13.19999999999999928946" hidden="1">
      <x:c r="V588" s="49"/>
      <x:c r="W588" s="50"/>
    </x:row>
    <x:row r="589" spans="22:23" ht="13.19999999999999928946" hidden="1">
      <x:c r="V589" s="49"/>
      <x:c r="W589" s="50"/>
    </x:row>
    <x:row r="590" spans="22:23" ht="13.19999999999999928946" hidden="1">
      <x:c r="V590" s="49"/>
      <x:c r="W590" s="50"/>
    </x:row>
    <x:row r="591" spans="22:23" ht="13.19999999999999928946" hidden="1">
      <x:c r="V591" s="49"/>
      <x:c r="W591" s="50"/>
    </x:row>
    <x:row r="592" spans="22:23" ht="13.19999999999999928946" hidden="1">
      <x:c r="V592" s="49"/>
      <x:c r="W592" s="50"/>
    </x:row>
    <x:row r="593" spans="22:23" ht="13.19999999999999928946" hidden="1">
      <x:c r="V593" s="49"/>
      <x:c r="W593" s="50"/>
    </x:row>
    <x:row r="594" spans="22:23" ht="13.19999999999999928946" hidden="1">
      <x:c r="V594" s="49"/>
      <x:c r="W594" s="50"/>
    </x:row>
    <x:row r="595" spans="22:23" ht="13.19999999999999928946" hidden="1">
      <x:c r="V595" s="49"/>
      <x:c r="W595" s="50"/>
    </x:row>
    <x:row r="596" spans="22:23" ht="13.19999999999999928946" hidden="1">
      <x:c r="V596" s="49"/>
      <x:c r="W596" s="50"/>
    </x:row>
    <x:row r="597" spans="22:23" ht="13.19999999999999928946" hidden="1">
      <x:c r="V597" s="49"/>
      <x:c r="W597" s="50"/>
    </x:row>
    <x:row r="598" spans="22:23" ht="13.19999999999999928946" hidden="1">
      <x:c r="V598" s="49"/>
      <x:c r="W598" s="50"/>
    </x:row>
    <x:row r="599" spans="22:23" ht="13.19999999999999928946" hidden="1">
      <x:c r="V599" s="49"/>
      <x:c r="W599" s="50"/>
    </x:row>
    <x:row r="600" spans="22:23" ht="13.19999999999999928946" hidden="1">
      <x:c r="V600" s="49"/>
      <x:c r="W600" s="50"/>
    </x:row>
    <x:row r="601" spans="22:23" ht="13.19999999999999928946" hidden="1">
      <x:c r="V601" s="49"/>
      <x:c r="W601" s="50"/>
    </x:row>
    <x:row r="602" spans="22:23" ht="13.19999999999999928946" hidden="1">
      <x:c r="V602" s="49"/>
      <x:c r="W602" s="50"/>
    </x:row>
    <x:row r="603" spans="22:23" ht="13.19999999999999928946" hidden="1">
      <x:c r="V603" s="49"/>
      <x:c r="W603" s="50"/>
    </x:row>
    <x:row r="604" spans="22:23" ht="13.19999999999999928946" hidden="1">
      <x:c r="V604" s="49"/>
      <x:c r="W604" s="50"/>
    </x:row>
    <x:row r="605" spans="22:23" ht="13.19999999999999928946" hidden="1">
      <x:c r="V605" s="49"/>
      <x:c r="W605" s="50"/>
    </x:row>
    <x:row r="606" spans="22:23" ht="13.19999999999999928946" hidden="1">
      <x:c r="V606" s="49"/>
      <x:c r="W606" s="50"/>
    </x:row>
    <x:row r="607" spans="22:23" ht="13.19999999999999928946" hidden="1">
      <x:c r="V607" s="49"/>
      <x:c r="W607" s="50"/>
    </x:row>
    <x:row r="608" spans="22:23" ht="13.19999999999999928946" hidden="1">
      <x:c r="V608" s="49"/>
      <x:c r="W608" s="50"/>
    </x:row>
    <x:row r="609" spans="22:23" ht="13.19999999999999928946" hidden="1">
      <x:c r="V609" s="49"/>
      <x:c r="W609" s="50"/>
    </x:row>
    <x:row r="610" spans="22:23" ht="13.19999999999999928946" hidden="1">
      <x:c r="V610" s="49"/>
      <x:c r="W610" s="50"/>
    </x:row>
    <x:row r="611" spans="22:23" ht="13.19999999999999928946" hidden="1">
      <x:c r="V611" s="49"/>
      <x:c r="W611" s="50"/>
    </x:row>
    <x:row r="612" spans="22:23" ht="13.19999999999999928946" hidden="1">
      <x:c r="V612" s="49"/>
      <x:c r="W612" s="50"/>
    </x:row>
    <x:row r="613" spans="22:23" ht="13.19999999999999928946" hidden="1">
      <x:c r="V613" s="49"/>
      <x:c r="W613" s="50"/>
    </x:row>
    <x:row r="614" spans="22:23" ht="13.19999999999999928946" hidden="1">
      <x:c r="V614" s="49"/>
      <x:c r="W614" s="50"/>
    </x:row>
    <x:row r="615" spans="22:23" ht="13.19999999999999928946" hidden="1">
      <x:c r="V615" s="49"/>
      <x:c r="W615" s="50"/>
    </x:row>
    <x:row r="616" spans="22:23" ht="13.19999999999999928946" hidden="1">
      <x:c r="V616" s="49"/>
      <x:c r="W616" s="50"/>
    </x:row>
    <x:row r="617" spans="22:23" ht="13.19999999999999928946" hidden="1">
      <x:c r="V617" s="49"/>
      <x:c r="W617" s="50"/>
    </x:row>
    <x:row r="618" spans="22:23" ht="13.19999999999999928946" hidden="1">
      <x:c r="V618" s="49"/>
      <x:c r="W618" s="50"/>
    </x:row>
    <x:row r="619" spans="22:23" ht="13.19999999999999928946" hidden="1">
      <x:c r="V619" s="49"/>
      <x:c r="W619" s="50"/>
    </x:row>
    <x:row r="620" spans="22:23" ht="13.19999999999999928946" hidden="1">
      <x:c r="V620" s="49"/>
      <x:c r="W620" s="50"/>
    </x:row>
    <x:row r="621" spans="22:23" ht="13.19999999999999928946" hidden="1">
      <x:c r="V621" s="49"/>
      <x:c r="W621" s="50"/>
    </x:row>
    <x:row r="622" spans="22:23" ht="13.19999999999999928946" hidden="1">
      <x:c r="V622" s="49"/>
      <x:c r="W622" s="50"/>
    </x:row>
    <x:row r="623" spans="22:23" ht="13.19999999999999928946" hidden="1">
      <x:c r="V623" s="49"/>
      <x:c r="W623" s="50"/>
    </x:row>
    <x:row r="624" spans="22:23" ht="13.19999999999999928946" hidden="1">
      <x:c r="V624" s="49"/>
      <x:c r="W624" s="50"/>
    </x:row>
    <x:row r="625" spans="22:23" ht="13.19999999999999928946" hidden="1">
      <x:c r="V625" s="49"/>
      <x:c r="W625" s="50"/>
    </x:row>
    <x:row r="626" spans="22:23" ht="13.19999999999999928946" hidden="1">
      <x:c r="V626" s="49"/>
      <x:c r="W626" s="50"/>
    </x:row>
    <x:row r="627" spans="22:23" ht="13.19999999999999928946" hidden="1">
      <x:c r="V627" s="49"/>
      <x:c r="W627" s="50"/>
    </x:row>
    <x:row r="628" spans="22:23" ht="13.19999999999999928946" hidden="1">
      <x:c r="V628" s="49"/>
      <x:c r="W628" s="50"/>
    </x:row>
    <x:row r="629" spans="22:23" ht="13.19999999999999928946" hidden="1">
      <x:c r="V629" s="49"/>
      <x:c r="W629" s="50"/>
    </x:row>
    <x:row r="630" spans="22:23" ht="13.19999999999999928946" hidden="1">
      <x:c r="V630" s="49"/>
      <x:c r="W630" s="50"/>
    </x:row>
    <x:row r="631" spans="22:23" ht="13.19999999999999928946" hidden="1">
      <x:c r="V631" s="49"/>
      <x:c r="W631" s="50"/>
    </x:row>
    <x:row r="632" spans="22:23" ht="13.19999999999999928946" hidden="1">
      <x:c r="V632" s="49"/>
      <x:c r="W632" s="50"/>
    </x:row>
    <x:row r="633" spans="22:23" ht="13.19999999999999928946" hidden="1">
      <x:c r="V633" s="49"/>
      <x:c r="W633" s="50"/>
    </x:row>
    <x:row r="634" spans="22:23" ht="13.19999999999999928946" hidden="1">
      <x:c r="V634" s="49"/>
      <x:c r="W634" s="50"/>
    </x:row>
    <x:row r="635" spans="22:23" ht="13.19999999999999928946" hidden="1">
      <x:c r="V635" s="49"/>
      <x:c r="W635" s="50"/>
    </x:row>
    <x:row r="636" spans="22:23" ht="13.19999999999999928946" hidden="1">
      <x:c r="V636" s="49"/>
      <x:c r="W636" s="50"/>
    </x:row>
    <x:row r="637" spans="22:23" ht="13.19999999999999928946" hidden="1">
      <x:c r="V637" s="49"/>
      <x:c r="W637" s="50"/>
    </x:row>
    <x:row r="638" spans="22:23" ht="13.19999999999999928946" hidden="1">
      <x:c r="V638" s="49"/>
      <x:c r="W638" s="50"/>
    </x:row>
    <x:row r="639" spans="22:23" ht="13.19999999999999928946" hidden="1">
      <x:c r="V639" s="49"/>
      <x:c r="W639" s="50"/>
    </x:row>
    <x:row r="640" spans="22:23" ht="13.19999999999999928946" hidden="1">
      <x:c r="V640" s="49"/>
      <x:c r="W640" s="50"/>
    </x:row>
    <x:row r="641" spans="22:23" ht="13.19999999999999928946" hidden="1">
      <x:c r="V641" s="49"/>
      <x:c r="W641" s="50"/>
    </x:row>
    <x:row r="642" spans="22:23" ht="13.19999999999999928946" hidden="1">
      <x:c r="V642" s="49"/>
      <x:c r="W642" s="50"/>
    </x:row>
    <x:row r="643" spans="22:23" ht="13.19999999999999928946" hidden="1">
      <x:c r="V643" s="49"/>
      <x:c r="W643" s="50"/>
    </x:row>
    <x:row r="644" spans="22:23" ht="13.19999999999999928946" hidden="1">
      <x:c r="V644" s="49"/>
      <x:c r="W644" s="50"/>
    </x:row>
    <x:row r="645" spans="22:23" ht="13.19999999999999928946" hidden="1">
      <x:c r="V645" s="49"/>
      <x:c r="W645" s="50"/>
    </x:row>
    <x:row r="646" spans="22:23" ht="13.19999999999999928946" hidden="1">
      <x:c r="V646" s="49"/>
      <x:c r="W646" s="50"/>
    </x:row>
    <x:row r="647" spans="22:23" ht="13.19999999999999928946" hidden="1">
      <x:c r="V647" s="49"/>
      <x:c r="W647" s="50"/>
    </x:row>
    <x:row r="648" spans="22:23" ht="13.19999999999999928946" hidden="1">
      <x:c r="V648" s="49"/>
      <x:c r="W648" s="50"/>
    </x:row>
    <x:row r="649" spans="22:23" ht="13.19999999999999928946" hidden="1">
      <x:c r="V649" s="49"/>
      <x:c r="W649" s="50"/>
    </x:row>
    <x:row r="650" spans="22:23" ht="13.19999999999999928946" hidden="1">
      <x:c r="V650" s="49"/>
      <x:c r="W650" s="50"/>
    </x:row>
    <x:row r="651" spans="22:23" ht="13.19999999999999928946" hidden="1">
      <x:c r="V651" s="49"/>
      <x:c r="W651" s="50"/>
    </x:row>
    <x:row r="652" spans="22:23" ht="13.19999999999999928946" hidden="1">
      <x:c r="V652" s="49"/>
      <x:c r="W652" s="50"/>
    </x:row>
    <x:row r="653" spans="22:23" ht="13.19999999999999928946" hidden="1">
      <x:c r="V653" s="49"/>
      <x:c r="W653" s="50"/>
    </x:row>
    <x:row r="654" spans="22:23" ht="13.19999999999999928946" hidden="1">
      <x:c r="V654" s="49"/>
      <x:c r="W654" s="50"/>
    </x:row>
    <x:row r="655" spans="22:23" ht="13.19999999999999928946" hidden="1">
      <x:c r="V655" s="49"/>
      <x:c r="W655" s="50"/>
    </x:row>
    <x:row r="656" spans="22:23" ht="13.19999999999999928946" hidden="1">
      <x:c r="V656" s="49"/>
      <x:c r="W656" s="50"/>
    </x:row>
    <x:row r="657" spans="22:23" ht="13.19999999999999928946" hidden="1">
      <x:c r="V657" s="49"/>
      <x:c r="W657" s="50"/>
    </x:row>
    <x:row r="658" spans="22:23" ht="13.19999999999999928946" hidden="1">
      <x:c r="V658" s="49"/>
      <x:c r="W658" s="50"/>
    </x:row>
    <x:row r="659" spans="22:23" ht="13.19999999999999928946" hidden="1">
      <x:c r="V659" s="49"/>
      <x:c r="W659" s="50"/>
    </x:row>
    <x:row r="660" spans="22:23" ht="13.19999999999999928946" hidden="1">
      <x:c r="V660" s="49"/>
      <x:c r="W660" s="50"/>
    </x:row>
    <x:row r="661" spans="22:23" ht="13.19999999999999928946" hidden="1">
      <x:c r="V661" s="49"/>
      <x:c r="W661" s="50"/>
    </x:row>
    <x:row r="662" spans="22:23" ht="13.19999999999999928946" hidden="1">
      <x:c r="V662" s="49"/>
      <x:c r="W662" s="50"/>
    </x:row>
    <x:row r="663" spans="22:23" ht="13.19999999999999928946" hidden="1">
      <x:c r="V663" s="49"/>
      <x:c r="W663" s="50"/>
    </x:row>
    <x:row r="664" spans="22:23" ht="13.19999999999999928946" hidden="1">
      <x:c r="V664" s="49"/>
      <x:c r="W664" s="50"/>
    </x:row>
    <x:row r="665" spans="22:23" ht="13.19999999999999928946" hidden="1">
      <x:c r="V665" s="49"/>
      <x:c r="W665" s="50"/>
    </x:row>
    <x:row r="666" spans="22:23" ht="13.19999999999999928946" hidden="1">
      <x:c r="V666" s="49"/>
      <x:c r="W666" s="50"/>
    </x:row>
    <x:row r="667" spans="22:23" ht="13.19999999999999928946" hidden="1">
      <x:c r="V667" s="49"/>
      <x:c r="W667" s="50"/>
    </x:row>
    <x:row r="668" spans="22:23" ht="13.19999999999999928946" hidden="1">
      <x:c r="V668" s="49"/>
      <x:c r="W668" s="50"/>
    </x:row>
    <x:row r="669" spans="22:23" ht="13.19999999999999928946" hidden="1">
      <x:c r="V669" s="49"/>
      <x:c r="W669" s="50"/>
    </x:row>
    <x:row r="670" spans="22:23" ht="13.19999999999999928946" hidden="1">
      <x:c r="V670" s="49"/>
      <x:c r="W670" s="50"/>
    </x:row>
    <x:row r="671" spans="22:23" ht="13.19999999999999928946" hidden="1">
      <x:c r="V671" s="49"/>
      <x:c r="W671" s="50"/>
    </x:row>
    <x:row r="672" spans="22:23" ht="13.19999999999999928946" hidden="1">
      <x:c r="V672" s="49"/>
      <x:c r="W672" s="50"/>
    </x:row>
    <x:row r="673" spans="22:23" ht="13.19999999999999928946" hidden="1">
      <x:c r="V673" s="49"/>
      <x:c r="W673" s="50"/>
    </x:row>
    <x:row r="674" spans="22:23" ht="13.19999999999999928946" hidden="1">
      <x:c r="V674" s="49"/>
      <x:c r="W674" s="50"/>
    </x:row>
    <x:row r="675" spans="22:23" ht="13.19999999999999928946" hidden="1">
      <x:c r="V675" s="49"/>
      <x:c r="W675" s="50"/>
    </x:row>
    <x:row r="676" spans="22:23" ht="13.19999999999999928946" hidden="1">
      <x:c r="V676" s="49"/>
      <x:c r="W676" s="50"/>
    </x:row>
    <x:row r="677" spans="22:23" ht="13.19999999999999928946" hidden="1">
      <x:c r="V677" s="49"/>
      <x:c r="W677" s="50"/>
    </x:row>
    <x:row r="678" spans="22:23" ht="13.19999999999999928946" hidden="1">
      <x:c r="V678" s="49"/>
      <x:c r="W678" s="50"/>
    </x:row>
    <x:row r="679" spans="22:23" ht="13.19999999999999928946" hidden="1">
      <x:c r="V679" s="49"/>
      <x:c r="W679" s="50"/>
    </x:row>
    <x:row r="680" spans="22:23" ht="13.19999999999999928946" hidden="1">
      <x:c r="V680" s="49"/>
      <x:c r="W680" s="50"/>
    </x:row>
    <x:row r="681" spans="22:23" ht="13.19999999999999928946" hidden="1">
      <x:c r="V681" s="49"/>
      <x:c r="W681" s="50"/>
    </x:row>
    <x:row r="682" spans="22:23" ht="13.19999999999999928946" hidden="1">
      <x:c r="V682" s="49"/>
      <x:c r="W682" s="50"/>
    </x:row>
    <x:row r="683" spans="22:23" ht="13.19999999999999928946" hidden="1">
      <x:c r="V683" s="49"/>
      <x:c r="W683" s="50"/>
    </x:row>
    <x:row r="684" spans="22:23" ht="13.19999999999999928946" hidden="1">
      <x:c r="V684" s="49"/>
      <x:c r="W684" s="50"/>
    </x:row>
    <x:row r="685" spans="22:23" ht="13.19999999999999928946" hidden="1">
      <x:c r="V685" s="49"/>
      <x:c r="W685" s="50"/>
    </x:row>
    <x:row r="686" spans="22:23" ht="13.19999999999999928946" hidden="1">
      <x:c r="V686" s="49"/>
      <x:c r="W686" s="50"/>
    </x:row>
    <x:row r="687" spans="22:23" ht="13.19999999999999928946" hidden="1">
      <x:c r="V687" s="49"/>
      <x:c r="W687" s="50"/>
    </x:row>
    <x:row r="688" spans="22:23" ht="13.19999999999999928946" hidden="1">
      <x:c r="V688" s="49"/>
      <x:c r="W688" s="50"/>
    </x:row>
    <x:row r="689" spans="22:23" ht="13.19999999999999928946" hidden="1">
      <x:c r="V689" s="49"/>
      <x:c r="W689" s="50"/>
    </x:row>
    <x:row r="690" spans="22:23" ht="13.19999999999999928946" hidden="1">
      <x:c r="V690" s="49"/>
      <x:c r="W690" s="50"/>
    </x:row>
    <x:row r="691" spans="22:23" ht="13.19999999999999928946" hidden="1">
      <x:c r="V691" s="49"/>
      <x:c r="W691" s="50"/>
    </x:row>
    <x:row r="692" spans="22:23" ht="13.19999999999999928946" hidden="1">
      <x:c r="V692" s="49"/>
      <x:c r="W692" s="50"/>
    </x:row>
    <x:row r="693" spans="22:23" ht="13.19999999999999928946" hidden="1">
      <x:c r="V693" s="49"/>
      <x:c r="W693" s="50"/>
    </x:row>
    <x:row r="694" spans="22:23" ht="13.19999999999999928946" hidden="1">
      <x:c r="V694" s="49"/>
      <x:c r="W694" s="50"/>
    </x:row>
    <x:row r="695" spans="22:23" ht="13.19999999999999928946" hidden="1">
      <x:c r="V695" s="49"/>
      <x:c r="W695" s="50"/>
    </x:row>
    <x:row r="696" spans="22:23" ht="13.19999999999999928946" hidden="1">
      <x:c r="V696" s="49"/>
      <x:c r="W696" s="50"/>
    </x:row>
    <x:row r="697" spans="22:23" ht="13.19999999999999928946" hidden="1">
      <x:c r="V697" s="49"/>
      <x:c r="W697" s="50"/>
    </x:row>
    <x:row r="698" spans="22:23" ht="13.19999999999999928946" hidden="1">
      <x:c r="V698" s="49"/>
      <x:c r="W698" s="50"/>
    </x:row>
    <x:row r="699" spans="22:23" ht="13.19999999999999928946" hidden="1">
      <x:c r="V699" s="49"/>
      <x:c r="W699" s="50"/>
    </x:row>
    <x:row r="700" spans="22:23" ht="13.19999999999999928946" hidden="1">
      <x:c r="V700" s="49"/>
      <x:c r="W700" s="50"/>
    </x:row>
    <x:row r="701" spans="22:23" ht="13.19999999999999928946" hidden="1">
      <x:c r="V701" s="49"/>
      <x:c r="W701" s="50"/>
    </x:row>
    <x:row r="702" spans="22:23" ht="13.19999999999999928946" hidden="1">
      <x:c r="V702" s="49"/>
      <x:c r="W702" s="50"/>
    </x:row>
    <x:row r="703" spans="22:23" ht="13.19999999999999928946" hidden="1">
      <x:c r="V703" s="49"/>
      <x:c r="W703" s="50"/>
    </x:row>
    <x:row r="704" spans="22:23" ht="13.19999999999999928946" hidden="1">
      <x:c r="V704" s="49"/>
      <x:c r="W704" s="50"/>
    </x:row>
    <x:row r="705" spans="22:23" ht="13.19999999999999928946" hidden="1">
      <x:c r="V705" s="49"/>
      <x:c r="W705" s="50"/>
    </x:row>
    <x:row r="706" spans="22:23" ht="13.19999999999999928946" hidden="1">
      <x:c r="V706" s="49"/>
      <x:c r="W706" s="50"/>
    </x:row>
    <x:row r="707" spans="22:23" ht="13.19999999999999928946" hidden="1">
      <x:c r="V707" s="49"/>
      <x:c r="W707" s="50"/>
    </x:row>
    <x:row r="708" spans="22:23" ht="13.19999999999999928946" hidden="1">
      <x:c r="V708" s="49"/>
      <x:c r="W708" s="50"/>
    </x:row>
    <x:row r="709" spans="22:23" ht="13.19999999999999928946" hidden="1">
      <x:c r="V709" s="49"/>
      <x:c r="W709" s="50"/>
    </x:row>
    <x:row r="710" spans="22:23" ht="13.19999999999999928946" hidden="1">
      <x:c r="V710" s="49"/>
      <x:c r="W710" s="50"/>
    </x:row>
    <x:row r="711" spans="22:23" ht="13.19999999999999928946" hidden="1">
      <x:c r="V711" s="49"/>
      <x:c r="W711" s="50"/>
    </x:row>
    <x:row r="712" spans="22:23" ht="13.19999999999999928946" hidden="1">
      <x:c r="V712" s="49"/>
      <x:c r="W712" s="50"/>
    </x:row>
    <x:row r="713" spans="22:23" ht="13.19999999999999928946" hidden="1">
      <x:c r="V713" s="49"/>
      <x:c r="W713" s="50"/>
    </x:row>
    <x:row r="714" spans="22:23" ht="13.19999999999999928946" hidden="1">
      <x:c r="V714" s="49"/>
      <x:c r="W714" s="50"/>
    </x:row>
    <x:row r="715" spans="22:23" ht="13.19999999999999928946" hidden="1">
      <x:c r="V715" s="49"/>
      <x:c r="W715" s="50"/>
    </x:row>
    <x:row r="716" spans="22:23" ht="13.19999999999999928946" hidden="1">
      <x:c r="V716" s="49"/>
      <x:c r="W716" s="50"/>
    </x:row>
    <x:row r="717" spans="22:23" ht="13.19999999999999928946" hidden="1">
      <x:c r="V717" s="49"/>
      <x:c r="W717" s="50"/>
    </x:row>
    <x:row r="718" spans="22:23" ht="13.19999999999999928946" hidden="1">
      <x:c r="V718" s="49"/>
      <x:c r="W718" s="50"/>
    </x:row>
    <x:row r="719" spans="22:23" ht="13.19999999999999928946" hidden="1">
      <x:c r="V719" s="49"/>
      <x:c r="W719" s="50"/>
    </x:row>
    <x:row r="720" spans="22:23" ht="13.19999999999999928946" hidden="1">
      <x:c r="V720" s="49"/>
      <x:c r="W720" s="50"/>
    </x:row>
    <x:row r="721" spans="22:23" ht="13.19999999999999928946" hidden="1">
      <x:c r="V721" s="49"/>
      <x:c r="W721" s="50"/>
    </x:row>
    <x:row r="722" spans="22:23" ht="13.19999999999999928946" hidden="1">
      <x:c r="V722" s="49"/>
      <x:c r="W722" s="50"/>
    </x:row>
    <x:row r="723" spans="22:23" ht="13.19999999999999928946" hidden="1">
      <x:c r="V723" s="49"/>
      <x:c r="W723" s="50"/>
    </x:row>
    <x:row r="724" spans="22:23" ht="13.19999999999999928946" hidden="1">
      <x:c r="V724" s="49"/>
      <x:c r="W724" s="50"/>
    </x:row>
    <x:row r="725" spans="22:23" ht="13.19999999999999928946" hidden="1">
      <x:c r="V725" s="49"/>
      <x:c r="W725" s="50"/>
    </x:row>
    <x:row r="726" spans="22:23" ht="13.19999999999999928946" hidden="1">
      <x:c r="V726" s="49"/>
      <x:c r="W726" s="50"/>
    </x:row>
    <x:row r="727" spans="22:23" ht="13.19999999999999928946" hidden="1">
      <x:c r="V727" s="49"/>
      <x:c r="W727" s="50"/>
    </x:row>
    <x:row r="728" spans="22:23" ht="13.19999999999999928946" hidden="1">
      <x:c r="V728" s="49"/>
      <x:c r="W728" s="50"/>
    </x:row>
    <x:row r="729" spans="22:23" ht="13.19999999999999928946" hidden="1">
      <x:c r="V729" s="49"/>
      <x:c r="W729" s="50"/>
    </x:row>
    <x:row r="730" spans="22:23" ht="13.19999999999999928946" hidden="1">
      <x:c r="V730" s="49"/>
      <x:c r="W730" s="50"/>
    </x:row>
    <x:row r="731" spans="22:23" ht="13.19999999999999928946" hidden="1">
      <x:c r="V731" s="49"/>
      <x:c r="W731" s="50"/>
    </x:row>
    <x:row r="732" spans="22:23" ht="13.19999999999999928946" hidden="1">
      <x:c r="V732" s="49"/>
      <x:c r="W732" s="50"/>
    </x:row>
    <x:row r="733" spans="22:23" ht="13.19999999999999928946" hidden="1">
      <x:c r="V733" s="49"/>
      <x:c r="W733" s="50"/>
    </x:row>
    <x:row r="734" spans="22:23" ht="13.19999999999999928946" hidden="1">
      <x:c r="V734" s="49"/>
      <x:c r="W734" s="50"/>
    </x:row>
    <x:row r="735" spans="22:23" ht="13.19999999999999928946" hidden="1">
      <x:c r="V735" s="49"/>
      <x:c r="W735" s="50"/>
    </x:row>
    <x:row r="736" spans="22:23" ht="13.19999999999999928946" hidden="1">
      <x:c r="V736" s="49"/>
      <x:c r="W736" s="50"/>
    </x:row>
    <x:row r="737" spans="22:23" ht="13.19999999999999928946" hidden="1">
      <x:c r="V737" s="49"/>
      <x:c r="W737" s="50"/>
    </x:row>
    <x:row r="738" spans="22:23" ht="13.19999999999999928946" hidden="1">
      <x:c r="V738" s="49"/>
      <x:c r="W738" s="50"/>
    </x:row>
    <x:row r="739" spans="22:23" ht="13.19999999999999928946" hidden="1">
      <x:c r="V739" s="49"/>
      <x:c r="W739" s="50"/>
    </x:row>
    <x:row r="740" spans="22:23" ht="13.19999999999999928946" hidden="1">
      <x:c r="V740" s="49"/>
      <x:c r="W740" s="50"/>
    </x:row>
    <x:row r="741" spans="22:23" ht="13.19999999999999928946" hidden="1">
      <x:c r="V741" s="49"/>
      <x:c r="W741" s="50"/>
    </x:row>
    <x:row r="742" spans="22:23" ht="13.19999999999999928946" hidden="1">
      <x:c r="V742" s="49"/>
      <x:c r="W742" s="50"/>
    </x:row>
    <x:row r="743" spans="22:23" ht="13.19999999999999928946" hidden="1">
      <x:c r="V743" s="49"/>
      <x:c r="W743" s="50"/>
    </x:row>
    <x:row r="744" spans="22:23" ht="13.19999999999999928946" hidden="1">
      <x:c r="V744" s="49"/>
      <x:c r="W744" s="50"/>
    </x:row>
    <x:row r="745" spans="22:23" ht="13.19999999999999928946" hidden="1">
      <x:c r="V745" s="49"/>
      <x:c r="W745" s="50"/>
    </x:row>
    <x:row r="746" spans="22:23" ht="13.19999999999999928946" hidden="1">
      <x:c r="V746" s="49"/>
      <x:c r="W746" s="50"/>
    </x:row>
    <x:row r="747" spans="22:23" ht="13.19999999999999928946" hidden="1">
      <x:c r="V747" s="49"/>
      <x:c r="W747" s="50"/>
    </x:row>
    <x:row r="748" spans="22:23" ht="13.19999999999999928946" hidden="1">
      <x:c r="V748" s="49"/>
      <x:c r="W748" s="50"/>
    </x:row>
    <x:row r="749" spans="22:23" ht="13.19999999999999928946" hidden="1">
      <x:c r="V749" s="49"/>
      <x:c r="W749" s="50"/>
    </x:row>
    <x:row r="750" spans="22:23" ht="13.19999999999999928946" hidden="1">
      <x:c r="V750" s="49"/>
      <x:c r="W750" s="50"/>
    </x:row>
    <x:row r="751" spans="22:23" ht="13.19999999999999928946" hidden="1">
      <x:c r="V751" s="49"/>
      <x:c r="W751" s="50"/>
    </x:row>
    <x:row r="752" spans="22:23" ht="13.19999999999999928946" hidden="1">
      <x:c r="V752" s="49"/>
      <x:c r="W752" s="50"/>
    </x:row>
    <x:row r="753" spans="22:23" ht="13.19999999999999928946" hidden="1">
      <x:c r="V753" s="49"/>
      <x:c r="W753" s="50"/>
    </x:row>
    <x:row r="754" spans="22:23" ht="13.19999999999999928946" hidden="1">
      <x:c r="V754" s="49"/>
      <x:c r="W754" s="50"/>
    </x:row>
    <x:row r="755" spans="22:23" ht="13.19999999999999928946" hidden="1">
      <x:c r="V755" s="49"/>
      <x:c r="W755" s="50"/>
    </x:row>
    <x:row r="756" spans="22:23" ht="13.19999999999999928946" hidden="1">
      <x:c r="V756" s="49"/>
      <x:c r="W756" s="50"/>
    </x:row>
    <x:row r="757" spans="22:23" ht="13.19999999999999928946" hidden="1">
      <x:c r="V757" s="49"/>
      <x:c r="W757" s="50"/>
    </x:row>
    <x:row r="758" spans="22:23" ht="13.19999999999999928946" hidden="1">
      <x:c r="V758" s="49"/>
      <x:c r="W758" s="50"/>
    </x:row>
    <x:row r="759" spans="22:23" ht="13.19999999999999928946" hidden="1">
      <x:c r="V759" s="49"/>
      <x:c r="W759" s="50"/>
    </x:row>
    <x:row r="760" spans="22:23" ht="13.19999999999999928946" hidden="1">
      <x:c r="V760" s="49"/>
      <x:c r="W760" s="50"/>
    </x:row>
    <x:row r="761" spans="22:23" ht="13.19999999999999928946" hidden="1">
      <x:c r="V761" s="49"/>
      <x:c r="W761" s="50"/>
    </x:row>
    <x:row r="762" spans="22:23" ht="13.19999999999999928946" hidden="1">
      <x:c r="V762" s="49"/>
      <x:c r="W762" s="50"/>
    </x:row>
    <x:row r="763" spans="22:23" ht="13.19999999999999928946" hidden="1">
      <x:c r="V763" s="49"/>
      <x:c r="W763" s="50"/>
    </x:row>
    <x:row r="764" spans="22:23" ht="13.19999999999999928946" hidden="1">
      <x:c r="V764" s="49"/>
      <x:c r="W764" s="50"/>
    </x:row>
    <x:row r="765" spans="22:23" ht="13.19999999999999928946" hidden="1">
      <x:c r="V765" s="49"/>
      <x:c r="W765" s="50"/>
    </x:row>
    <x:row r="766" spans="22:23" ht="13.19999999999999928946" hidden="1">
      <x:c r="V766" s="49"/>
      <x:c r="W766" s="50"/>
    </x:row>
    <x:row r="767" spans="22:23" ht="13.19999999999999928946" hidden="1">
      <x:c r="V767" s="49"/>
      <x:c r="W767" s="50"/>
    </x:row>
    <x:row r="768" spans="22:23" ht="13.19999999999999928946" hidden="1">
      <x:c r="V768" s="49"/>
      <x:c r="W768" s="50"/>
    </x:row>
    <x:row r="769" spans="22:23" ht="13.19999999999999928946" hidden="1">
      <x:c r="V769" s="49"/>
      <x:c r="W769" s="50"/>
    </x:row>
    <x:row r="770" spans="22:23" ht="13.19999999999999928946" hidden="1">
      <x:c r="V770" s="49"/>
      <x:c r="W770" s="50"/>
    </x:row>
    <x:row r="771" spans="22:23" ht="13.19999999999999928946" hidden="1">
      <x:c r="V771" s="49"/>
      <x:c r="W771" s="50"/>
    </x:row>
    <x:row r="772" spans="22:23" ht="13.19999999999999928946" hidden="1">
      <x:c r="V772" s="49"/>
      <x:c r="W772" s="50"/>
    </x:row>
    <x:row r="773" spans="22:23" ht="13.19999999999999928946" hidden="1">
      <x:c r="V773" s="49"/>
      <x:c r="W773" s="50"/>
    </x:row>
    <x:row r="774" spans="22:23" ht="13.19999999999999928946" hidden="1">
      <x:c r="V774" s="49"/>
      <x:c r="W774" s="50"/>
    </x:row>
    <x:row r="775" spans="22:23" ht="13.19999999999999928946" hidden="1">
      <x:c r="V775" s="49"/>
      <x:c r="W775" s="50"/>
    </x:row>
    <x:row r="776" spans="22:23" ht="13.19999999999999928946" hidden="1">
      <x:c r="V776" s="49"/>
      <x:c r="W776" s="50"/>
    </x:row>
    <x:row r="777" spans="22:23" ht="13.19999999999999928946" hidden="1">
      <x:c r="V777" s="49"/>
      <x:c r="W777" s="50"/>
    </x:row>
    <x:row r="778" spans="22:23" ht="13.19999999999999928946" hidden="1">
      <x:c r="V778" s="49"/>
      <x:c r="W778" s="50"/>
    </x:row>
    <x:row r="779" spans="22:23" ht="13.19999999999999928946" hidden="1">
      <x:c r="V779" s="49"/>
      <x:c r="W779" s="50"/>
    </x:row>
    <x:row r="780" spans="22:23" ht="13.19999999999999928946" hidden="1">
      <x:c r="V780" s="49"/>
      <x:c r="W780" s="50"/>
    </x:row>
    <x:row r="781" spans="22:23" ht="13.19999999999999928946" hidden="1">
      <x:c r="V781" s="49"/>
      <x:c r="W781" s="50"/>
    </x:row>
    <x:row r="782" spans="22:23" ht="13.19999999999999928946" hidden="1">
      <x:c r="V782" s="49"/>
      <x:c r="W782" s="50"/>
    </x:row>
    <x:row r="783" spans="22:23" ht="13.19999999999999928946" hidden="1">
      <x:c r="V783" s="49"/>
      <x:c r="W783" s="50"/>
    </x:row>
    <x:row r="784" spans="22:23" ht="13.19999999999999928946" hidden="1">
      <x:c r="V784" s="49"/>
      <x:c r="W784" s="50"/>
    </x:row>
    <x:row r="785" spans="22:23" ht="13.19999999999999928946" hidden="1">
      <x:c r="V785" s="49"/>
      <x:c r="W785" s="50"/>
    </x:row>
    <x:row r="786" spans="22:23" ht="13.19999999999999928946" hidden="1">
      <x:c r="V786" s="49"/>
      <x:c r="W786" s="50"/>
    </x:row>
    <x:row r="787" spans="22:23" ht="13.19999999999999928946" hidden="1">
      <x:c r="V787" s="49"/>
      <x:c r="W787" s="50"/>
    </x:row>
    <x:row r="788" spans="22:23" ht="13.19999999999999928946" hidden="1">
      <x:c r="V788" s="49"/>
      <x:c r="W788" s="50"/>
    </x:row>
    <x:row r="789" spans="22:23" ht="13.19999999999999928946" hidden="1">
      <x:c r="V789" s="49"/>
      <x:c r="W789" s="50"/>
    </x:row>
    <x:row r="790" spans="22:23" ht="13.19999999999999928946" hidden="1">
      <x:c r="V790" s="49"/>
      <x:c r="W790" s="50"/>
    </x:row>
    <x:row r="791" spans="22:23" ht="13.19999999999999928946" hidden="1">
      <x:c r="V791" s="49"/>
      <x:c r="W791" s="50"/>
    </x:row>
    <x:row r="792" spans="22:23" ht="13.19999999999999928946" hidden="1">
      <x:c r="V792" s="49"/>
      <x:c r="W792" s="50"/>
    </x:row>
    <x:row r="793" spans="22:23" ht="13.19999999999999928946" hidden="1">
      <x:c r="V793" s="49"/>
      <x:c r="W793" s="50"/>
    </x:row>
    <x:row r="794" spans="22:23" ht="13.19999999999999928946" hidden="1">
      <x:c r="V794" s="49"/>
      <x:c r="W794" s="50"/>
    </x:row>
    <x:row r="795" spans="22:23" ht="13.19999999999999928946" hidden="1">
      <x:c r="V795" s="49"/>
      <x:c r="W795" s="50"/>
    </x:row>
    <x:row r="796" spans="22:23" ht="13.19999999999999928946" hidden="1">
      <x:c r="V796" s="49"/>
      <x:c r="W796" s="50"/>
    </x:row>
    <x:row r="797" spans="22:23" ht="13.19999999999999928946" hidden="1">
      <x:c r="V797" s="49"/>
      <x:c r="W797" s="50"/>
    </x:row>
    <x:row r="798" spans="22:23" ht="13.19999999999999928946" hidden="1">
      <x:c r="V798" s="49"/>
      <x:c r="W798" s="50"/>
    </x:row>
    <x:row r="799" spans="22:23" ht="13.19999999999999928946" hidden="1">
      <x:c r="V799" s="49"/>
      <x:c r="W799" s="50"/>
    </x:row>
    <x:row r="800" spans="22:23" ht="13.19999999999999928946" hidden="1">
      <x:c r="V800" s="49"/>
      <x:c r="W800" s="50"/>
    </x:row>
    <x:row r="801" spans="22:23" ht="13.19999999999999928946" hidden="1">
      <x:c r="V801" s="49"/>
      <x:c r="W801" s="50"/>
    </x:row>
    <x:row r="802" spans="22:23" ht="13.19999999999999928946" hidden="1">
      <x:c r="V802" s="49"/>
      <x:c r="W802" s="50"/>
    </x:row>
    <x:row r="803" spans="22:23" ht="13.19999999999999928946" hidden="1">
      <x:c r="V803" s="49"/>
      <x:c r="W803" s="50"/>
    </x:row>
    <x:row r="804" spans="22:23" ht="13.19999999999999928946" hidden="1">
      <x:c r="V804" s="49"/>
      <x:c r="W804" s="50"/>
    </x:row>
    <x:row r="805" spans="22:23" ht="13.19999999999999928946" hidden="1">
      <x:c r="V805" s="49"/>
      <x:c r="W805" s="50"/>
    </x:row>
    <x:row r="806" spans="22:23" ht="13.19999999999999928946" hidden="1">
      <x:c r="V806" s="49"/>
      <x:c r="W806" s="50"/>
    </x:row>
    <x:row r="807" spans="22:23" ht="13.19999999999999928946" hidden="1">
      <x:c r="V807" s="49"/>
      <x:c r="W807" s="50"/>
    </x:row>
    <x:row r="808" spans="22:23" ht="13.19999999999999928946" hidden="1">
      <x:c r="V808" s="49"/>
      <x:c r="W808" s="50"/>
    </x:row>
    <x:row r="809" spans="22:23" ht="13.19999999999999928946" hidden="1">
      <x:c r="V809" s="49"/>
      <x:c r="W809" s="50"/>
    </x:row>
    <x:row r="810" spans="22:23" ht="13.19999999999999928946" hidden="1">
      <x:c r="V810" s="49"/>
      <x:c r="W810" s="50"/>
    </x:row>
    <x:row r="811" spans="22:23" ht="13.19999999999999928946" hidden="1">
      <x:c r="V811" s="49"/>
      <x:c r="W811" s="50"/>
    </x:row>
    <x:row r="812" spans="22:23" ht="13.19999999999999928946" hidden="1">
      <x:c r="V812" s="49"/>
      <x:c r="W812" s="50"/>
    </x:row>
    <x:row r="813" spans="22:23" ht="13.19999999999999928946" hidden="1">
      <x:c r="V813" s="49"/>
      <x:c r="W813" s="50"/>
    </x:row>
    <x:row r="814" spans="22:23" ht="13.19999999999999928946" hidden="1">
      <x:c r="V814" s="49"/>
      <x:c r="W814" s="50"/>
    </x:row>
    <x:row r="815" spans="22:23" ht="13.19999999999999928946" hidden="1">
      <x:c r="V815" s="49"/>
      <x:c r="W815" s="50"/>
    </x:row>
    <x:row r="816" spans="22:23" ht="13.19999999999999928946" hidden="1">
      <x:c r="V816" s="49"/>
      <x:c r="W816" s="50"/>
    </x:row>
    <x:row r="817" spans="22:23" ht="13.19999999999999928946" hidden="1">
      <x:c r="V817" s="49"/>
      <x:c r="W817" s="50"/>
    </x:row>
    <x:row r="818" spans="22:23" ht="13.19999999999999928946" hidden="1">
      <x:c r="V818" s="49"/>
      <x:c r="W818" s="50"/>
    </x:row>
    <x:row r="819" spans="22:23" ht="13.19999999999999928946" hidden="1">
      <x:c r="V819" s="49"/>
      <x:c r="W819" s="50"/>
    </x:row>
    <x:row r="820" spans="22:23" ht="13.19999999999999928946" hidden="1">
      <x:c r="V820" s="49"/>
      <x:c r="W820" s="50"/>
    </x:row>
    <x:row r="821" spans="22:23" ht="13.19999999999999928946" hidden="1">
      <x:c r="V821" s="49"/>
      <x:c r="W821" s="50"/>
    </x:row>
    <x:row r="822" spans="22:23" ht="13.19999999999999928946" hidden="1">
      <x:c r="V822" s="49"/>
      <x:c r="W822" s="50"/>
    </x:row>
    <x:row r="823" spans="22:23" ht="13.19999999999999928946" hidden="1">
      <x:c r="V823" s="49"/>
      <x:c r="W823" s="50"/>
    </x:row>
    <x:row r="824" spans="22:23" ht="13.19999999999999928946" hidden="1">
      <x:c r="V824" s="49"/>
      <x:c r="W824" s="50"/>
    </x:row>
    <x:row r="825" spans="22:23" ht="13.19999999999999928946" hidden="1">
      <x:c r="V825" s="49"/>
      <x:c r="W825" s="50"/>
    </x:row>
    <x:row r="826" spans="22:23" ht="13.19999999999999928946" hidden="1">
      <x:c r="V826" s="49"/>
      <x:c r="W826" s="50"/>
    </x:row>
    <x:row r="827" spans="22:23" ht="13.19999999999999928946" hidden="1">
      <x:c r="V827" s="49"/>
      <x:c r="W827" s="50"/>
    </x:row>
    <x:row r="828" spans="22:23" ht="13.19999999999999928946" hidden="1">
      <x:c r="V828" s="49"/>
      <x:c r="W828" s="50"/>
    </x:row>
    <x:row r="829" spans="22:23" ht="13.19999999999999928946" hidden="1">
      <x:c r="V829" s="49"/>
      <x:c r="W829" s="50"/>
    </x:row>
    <x:row r="830" spans="22:23" ht="13.19999999999999928946" hidden="1">
      <x:c r="V830" s="49"/>
      <x:c r="W830" s="50"/>
    </x:row>
    <x:row r="831" spans="22:23" ht="13.19999999999999928946" hidden="1">
      <x:c r="V831" s="49"/>
      <x:c r="W831" s="50"/>
    </x:row>
    <x:row r="832" spans="22:23" ht="13.19999999999999928946" hidden="1">
      <x:c r="V832" s="49"/>
      <x:c r="W832" s="50"/>
    </x:row>
    <x:row r="833" spans="22:23" ht="13.19999999999999928946" hidden="1">
      <x:c r="V833" s="49"/>
      <x:c r="W833" s="50"/>
    </x:row>
    <x:row r="834" spans="22:23" ht="13.19999999999999928946" hidden="1">
      <x:c r="V834" s="49"/>
      <x:c r="W834" s="50"/>
    </x:row>
    <x:row r="835" spans="22:23" ht="13.19999999999999928946" hidden="1">
      <x:c r="V835" s="49"/>
      <x:c r="W835" s="50"/>
    </x:row>
    <x:row r="836" spans="22:23" ht="13.19999999999999928946" hidden="1">
      <x:c r="V836" s="49"/>
      <x:c r="W836" s="50"/>
    </x:row>
    <x:row r="837" spans="22:23" ht="13.19999999999999928946" hidden="1">
      <x:c r="V837" s="49"/>
      <x:c r="W837" s="50"/>
    </x:row>
    <x:row r="838" spans="22:23" ht="13.19999999999999928946" hidden="1">
      <x:c r="V838" s="49"/>
      <x:c r="W838" s="50"/>
    </x:row>
    <x:row r="839" spans="22:23" ht="13.19999999999999928946" hidden="1">
      <x:c r="V839" s="49"/>
      <x:c r="W839" s="50"/>
    </x:row>
    <x:row r="840" spans="22:23" ht="13.19999999999999928946" hidden="1">
      <x:c r="V840" s="49"/>
      <x:c r="W840" s="50"/>
    </x:row>
    <x:row r="841" spans="22:23" ht="13.19999999999999928946" hidden="1">
      <x:c r="V841" s="49"/>
      <x:c r="W841" s="50"/>
    </x:row>
    <x:row r="842" spans="22:23" ht="13.19999999999999928946" hidden="1">
      <x:c r="V842" s="49"/>
      <x:c r="W842" s="50"/>
    </x:row>
    <x:row r="843" spans="22:23" ht="13.19999999999999928946" hidden="1">
      <x:c r="V843" s="49"/>
      <x:c r="W843" s="50"/>
    </x:row>
    <x:row r="844" spans="22:23" ht="13.19999999999999928946" hidden="1">
      <x:c r="V844" s="49"/>
      <x:c r="W844" s="50"/>
    </x:row>
    <x:row r="845" spans="22:23" ht="13.19999999999999928946" hidden="1">
      <x:c r="V845" s="49"/>
      <x:c r="W845" s="50"/>
    </x:row>
    <x:row r="846" spans="22:23" ht="13.19999999999999928946" hidden="1">
      <x:c r="V846" s="49"/>
      <x:c r="W846" s="50"/>
    </x:row>
    <x:row r="847" spans="22:23" ht="13.19999999999999928946" hidden="1">
      <x:c r="V847" s="49"/>
      <x:c r="W847" s="50"/>
    </x:row>
    <x:row r="848" spans="22:23" ht="13.19999999999999928946" hidden="1">
      <x:c r="V848" s="49"/>
      <x:c r="W848" s="50"/>
    </x:row>
    <x:row r="849" spans="22:23" ht="13.19999999999999928946" hidden="1">
      <x:c r="V849" s="49"/>
      <x:c r="W849" s="50"/>
    </x:row>
    <x:row r="850" spans="22:23" ht="13.19999999999999928946" hidden="1">
      <x:c r="V850" s="49"/>
      <x:c r="W850" s="50"/>
    </x:row>
    <x:row r="851" spans="22:23" ht="13.19999999999999928946" hidden="1">
      <x:c r="V851" s="49"/>
      <x:c r="W851" s="50"/>
    </x:row>
    <x:row r="852" spans="22:23" ht="13.19999999999999928946" hidden="1">
      <x:c r="V852" s="49"/>
      <x:c r="W852" s="50"/>
    </x:row>
    <x:row r="853" spans="22:23" ht="13.19999999999999928946" hidden="1">
      <x:c r="V853" s="49"/>
      <x:c r="W853" s="50"/>
    </x:row>
    <x:row r="854" spans="22:23" ht="13.19999999999999928946" hidden="1">
      <x:c r="V854" s="49"/>
      <x:c r="W854" s="50"/>
    </x:row>
    <x:row r="855" spans="22:23" ht="13.19999999999999928946" hidden="1">
      <x:c r="V855" s="49"/>
      <x:c r="W855" s="50"/>
    </x:row>
    <x:row r="856" spans="22:23" ht="13.19999999999999928946" hidden="1">
      <x:c r="V856" s="49"/>
      <x:c r="W856" s="50"/>
    </x:row>
    <x:row r="857" spans="22:23" ht="13.19999999999999928946" hidden="1">
      <x:c r="V857" s="49"/>
      <x:c r="W857" s="50"/>
    </x:row>
    <x:row r="858" spans="22:23" ht="13.19999999999999928946" hidden="1">
      <x:c r="V858" s="49"/>
      <x:c r="W858" s="50"/>
    </x:row>
    <x:row r="859" spans="22:23" ht="13.19999999999999928946" hidden="1">
      <x:c r="V859" s="49"/>
      <x:c r="W859" s="50"/>
    </x:row>
    <x:row r="860" spans="22:23" ht="13.19999999999999928946" hidden="1">
      <x:c r="V860" s="49"/>
      <x:c r="W860" s="50"/>
    </x:row>
    <x:row r="861" spans="22:23" ht="13.19999999999999928946" hidden="1">
      <x:c r="V861" s="49"/>
      <x:c r="W861" s="50"/>
    </x:row>
    <x:row r="862" spans="22:23" ht="13.19999999999999928946" hidden="1">
      <x:c r="V862" s="49"/>
      <x:c r="W862" s="50"/>
    </x:row>
    <x:row r="863" spans="22:23" ht="13.19999999999999928946" hidden="1">
      <x:c r="V863" s="49"/>
      <x:c r="W863" s="50"/>
    </x:row>
    <x:row r="864" spans="22:23" ht="13.19999999999999928946" hidden="1">
      <x:c r="V864" s="49"/>
      <x:c r="W864" s="50"/>
    </x:row>
    <x:row r="865" spans="22:23" ht="13.19999999999999928946" hidden="1">
      <x:c r="V865" s="49"/>
      <x:c r="W865" s="50"/>
    </x:row>
    <x:row r="866" spans="22:23" ht="13.19999999999999928946" hidden="1">
      <x:c r="V866" s="49"/>
      <x:c r="W866" s="50"/>
    </x:row>
    <x:row r="867" spans="22:23" ht="13.19999999999999928946" hidden="1">
      <x:c r="V867" s="49"/>
      <x:c r="W867" s="50"/>
    </x:row>
    <x:row r="868" spans="22:23" ht="13.19999999999999928946" hidden="1">
      <x:c r="V868" s="49"/>
      <x:c r="W868" s="50"/>
    </x:row>
    <x:row r="869" spans="22:23" ht="13.19999999999999928946" hidden="1">
      <x:c r="V869" s="49"/>
      <x:c r="W869" s="50"/>
    </x:row>
    <x:row r="870" spans="22:23" ht="13.19999999999999928946" hidden="1">
      <x:c r="V870" s="49"/>
      <x:c r="W870" s="50"/>
    </x:row>
    <x:row r="871" spans="22:23" ht="13.19999999999999928946" hidden="1">
      <x:c r="V871" s="49"/>
      <x:c r="W871" s="50"/>
    </x:row>
    <x:row r="872" spans="22:23" ht="13.19999999999999928946" hidden="1">
      <x:c r="V872" s="49"/>
      <x:c r="W872" s="50"/>
    </x:row>
    <x:row r="873" spans="22:23" ht="13.19999999999999928946" hidden="1">
      <x:c r="V873" s="49"/>
      <x:c r="W873" s="50"/>
    </x:row>
    <x:row r="874" spans="22:23" ht="13.19999999999999928946" hidden="1">
      <x:c r="V874" s="49"/>
      <x:c r="W874" s="50"/>
    </x:row>
    <x:row r="875" spans="22:23" ht="13.19999999999999928946" hidden="1">
      <x:c r="V875" s="49"/>
      <x:c r="W875" s="50"/>
    </x:row>
    <x:row r="876" spans="22:23" ht="13.19999999999999928946" hidden="1">
      <x:c r="V876" s="49"/>
      <x:c r="W876" s="50"/>
    </x:row>
    <x:row r="877" spans="22:23" ht="13.19999999999999928946" hidden="1">
      <x:c r="V877" s="49"/>
      <x:c r="W877" s="50"/>
    </x:row>
    <x:row r="878" spans="22:23" ht="13.19999999999999928946" hidden="1">
      <x:c r="V878" s="49"/>
      <x:c r="W878" s="50"/>
    </x:row>
    <x:row r="879" spans="22:23" ht="13.19999999999999928946" hidden="1">
      <x:c r="V879" s="49"/>
      <x:c r="W879" s="50"/>
    </x:row>
    <x:row r="880" spans="22:23" ht="13.19999999999999928946" hidden="1">
      <x:c r="V880" s="49"/>
      <x:c r="W880" s="50"/>
    </x:row>
    <x:row r="881" spans="22:23" ht="13.19999999999999928946" hidden="1">
      <x:c r="V881" s="49"/>
      <x:c r="W881" s="50"/>
    </x:row>
    <x:row r="882" spans="22:23" ht="13.19999999999999928946" hidden="1">
      <x:c r="V882" s="49"/>
      <x:c r="W882" s="50"/>
    </x:row>
    <x:row r="883" spans="22:23" ht="13.19999999999999928946" hidden="1">
      <x:c r="V883" s="49"/>
      <x:c r="W883" s="50"/>
    </x:row>
    <x:row r="884" spans="22:23" ht="13.19999999999999928946" hidden="1">
      <x:c r="V884" s="49"/>
      <x:c r="W884" s="50"/>
    </x:row>
    <x:row r="885" spans="22:23" ht="13.19999999999999928946" hidden="1">
      <x:c r="V885" s="49"/>
      <x:c r="W885" s="50"/>
    </x:row>
    <x:row r="886" spans="22:23" ht="13.19999999999999928946" hidden="1">
      <x:c r="V886" s="49"/>
      <x:c r="W886" s="50"/>
    </x:row>
    <x:row r="887" spans="22:23" ht="13.19999999999999928946" hidden="1">
      <x:c r="V887" s="49"/>
      <x:c r="W887" s="50"/>
    </x:row>
    <x:row r="888" spans="22:23" ht="13.19999999999999928946" hidden="1">
      <x:c r="V888" s="49"/>
      <x:c r="W888" s="50"/>
    </x:row>
    <x:row r="889" spans="22:23" ht="13.19999999999999928946" hidden="1">
      <x:c r="V889" s="49"/>
      <x:c r="W889" s="50"/>
    </x:row>
    <x:row r="890" spans="22:23" ht="13.19999999999999928946" hidden="1">
      <x:c r="V890" s="49"/>
      <x:c r="W890" s="50"/>
    </x:row>
    <x:row r="891" spans="22:23" ht="13.19999999999999928946" hidden="1">
      <x:c r="V891" s="49"/>
      <x:c r="W891" s="50"/>
    </x:row>
    <x:row r="892" spans="22:23" ht="13.19999999999999928946" hidden="1">
      <x:c r="V892" s="49"/>
      <x:c r="W892" s="50"/>
    </x:row>
    <x:row r="893" spans="22:23" ht="13.19999999999999928946" hidden="1">
      <x:c r="V893" s="49"/>
      <x:c r="W893" s="50"/>
    </x:row>
    <x:row r="894" spans="22:23" ht="13.19999999999999928946" hidden="1">
      <x:c r="V894" s="49"/>
      <x:c r="W894" s="50"/>
    </x:row>
    <x:row r="895" spans="22:23" ht="13.19999999999999928946" hidden="1">
      <x:c r="V895" s="49"/>
      <x:c r="W895" s="50"/>
    </x:row>
    <x:row r="896" spans="22:23" ht="13.19999999999999928946" hidden="1">
      <x:c r="V896" s="49"/>
      <x:c r="W896" s="50"/>
    </x:row>
    <x:row r="897" spans="22:23" ht="13.19999999999999928946" hidden="1">
      <x:c r="V897" s="49"/>
      <x:c r="W897" s="50"/>
    </x:row>
    <x:row r="898" spans="22:23" ht="13.19999999999999928946" hidden="1">
      <x:c r="V898" s="49"/>
      <x:c r="W898" s="50"/>
    </x:row>
    <x:row r="899" spans="22:23" ht="13.19999999999999928946" hidden="1">
      <x:c r="V899" s="49"/>
      <x:c r="W899" s="50"/>
    </x:row>
    <x:row r="900" spans="22:23" ht="13.19999999999999928946" hidden="1">
      <x:c r="V900" s="49"/>
      <x:c r="W900" s="50"/>
    </x:row>
    <x:row r="901" spans="22:23" ht="13.19999999999999928946" hidden="1">
      <x:c r="V901" s="49"/>
      <x:c r="W901" s="50"/>
    </x:row>
    <x:row r="902" spans="22:23" ht="13.19999999999999928946" hidden="1">
      <x:c r="V902" s="49"/>
      <x:c r="W902" s="50"/>
    </x:row>
    <x:row r="903" spans="22:23" ht="13.19999999999999928946" hidden="1">
      <x:c r="V903" s="49"/>
      <x:c r="W903" s="50"/>
    </x:row>
    <x:row r="904" spans="22:23" ht="13.19999999999999928946" hidden="1">
      <x:c r="V904" s="49"/>
      <x:c r="W904" s="50"/>
    </x:row>
    <x:row r="905" spans="22:23" ht="13.19999999999999928946" hidden="1">
      <x:c r="V905" s="49"/>
      <x:c r="W905" s="50"/>
    </x:row>
    <x:row r="906" spans="22:23" ht="13.19999999999999928946" hidden="1">
      <x:c r="V906" s="49"/>
      <x:c r="W906" s="50"/>
    </x:row>
    <x:row r="907" spans="22:23" ht="13.19999999999999928946" hidden="1">
      <x:c r="V907" s="49"/>
      <x:c r="W907" s="50"/>
    </x:row>
    <x:row r="908" spans="22:23" ht="13.19999999999999928946" hidden="1">
      <x:c r="V908" s="49"/>
      <x:c r="W908" s="50"/>
    </x:row>
    <x:row r="909" spans="22:23" ht="13.19999999999999928946" hidden="1">
      <x:c r="V909" s="49"/>
      <x:c r="W909" s="50"/>
    </x:row>
    <x:row r="910" spans="22:23" ht="13.19999999999999928946" hidden="1">
      <x:c r="V910" s="49"/>
      <x:c r="W910" s="50"/>
    </x:row>
    <x:row r="911" spans="22:23" ht="13.19999999999999928946" hidden="1">
      <x:c r="V911" s="49"/>
      <x:c r="W911" s="50"/>
    </x:row>
    <x:row r="912" spans="22:23" ht="13.19999999999999928946" hidden="1">
      <x:c r="V912" s="49"/>
      <x:c r="W912" s="50"/>
    </x:row>
    <x:row r="913" spans="22:23" ht="13.19999999999999928946" hidden="1">
      <x:c r="V913" s="49"/>
      <x:c r="W913" s="50"/>
    </x:row>
    <x:row r="914" spans="22:23" ht="13.19999999999999928946" hidden="1">
      <x:c r="V914" s="49"/>
      <x:c r="W914" s="50"/>
    </x:row>
    <x:row r="915" spans="22:23" ht="13.19999999999999928946" hidden="1">
      <x:c r="V915" s="49"/>
      <x:c r="W915" s="50"/>
    </x:row>
    <x:row r="916" spans="22:23" ht="13.19999999999999928946" hidden="1">
      <x:c r="V916" s="49"/>
      <x:c r="W916" s="50"/>
    </x:row>
    <x:row r="917" spans="22:23" ht="13.19999999999999928946" hidden="1">
      <x:c r="V917" s="49"/>
      <x:c r="W917" s="50"/>
    </x:row>
    <x:row r="918" spans="22:23" ht="13.19999999999999928946" hidden="1">
      <x:c r="V918" s="49"/>
      <x:c r="W918" s="50"/>
    </x:row>
    <x:row r="919" spans="22:23" ht="13.19999999999999928946" hidden="1">
      <x:c r="V919" s="49"/>
      <x:c r="W919" s="50"/>
    </x:row>
    <x:row r="920" spans="22:23" ht="13.19999999999999928946" hidden="1">
      <x:c r="V920" s="49"/>
      <x:c r="W920" s="50"/>
    </x:row>
    <x:row r="921" spans="22:23" ht="13.19999999999999928946" hidden="1">
      <x:c r="V921" s="49"/>
      <x:c r="W921" s="50"/>
    </x:row>
    <x:row r="922" spans="22:23" ht="13.19999999999999928946" hidden="1">
      <x:c r="V922" s="49"/>
      <x:c r="W922" s="50"/>
    </x:row>
    <x:row r="923" spans="22:23" ht="13.19999999999999928946" hidden="1">
      <x:c r="V923" s="49"/>
      <x:c r="W923" s="50"/>
    </x:row>
    <x:row r="924" spans="22:23" ht="13.19999999999999928946" hidden="1">
      <x:c r="V924" s="49"/>
      <x:c r="W924" s="50"/>
    </x:row>
    <x:row r="925" spans="22:23" ht="13.19999999999999928946" hidden="1">
      <x:c r="V925" s="49"/>
      <x:c r="W925" s="50"/>
    </x:row>
    <x:row r="926" spans="22:23" ht="13.19999999999999928946" hidden="1">
      <x:c r="V926" s="49"/>
      <x:c r="W926" s="50"/>
    </x:row>
    <x:row r="927" spans="22:23" ht="13.19999999999999928946" hidden="1">
      <x:c r="V927" s="49"/>
      <x:c r="W927" s="50"/>
    </x:row>
    <x:row r="928" spans="22:23" ht="13.19999999999999928946" hidden="1">
      <x:c r="V928" s="49"/>
      <x:c r="W928" s="50"/>
    </x:row>
    <x:row r="929" spans="22:23" ht="13.19999999999999928946" hidden="1">
      <x:c r="V929" s="49"/>
      <x:c r="W929" s="50"/>
    </x:row>
    <x:row r="930" spans="22:23" ht="13.19999999999999928946" hidden="1">
      <x:c r="V930" s="49"/>
      <x:c r="W930" s="50"/>
    </x:row>
    <x:row r="931" spans="22:23" ht="13.19999999999999928946" hidden="1">
      <x:c r="V931" s="49"/>
      <x:c r="W931" s="50"/>
    </x:row>
    <x:row r="932" spans="22:23" ht="13.19999999999999928946" hidden="1">
      <x:c r="V932" s="49"/>
      <x:c r="W932" s="50"/>
    </x:row>
    <x:row r="933" spans="22:23" ht="13.19999999999999928946" hidden="1">
      <x:c r="V933" s="49"/>
      <x:c r="W933" s="50"/>
    </x:row>
    <x:row r="934" spans="22:23" ht="13.19999999999999928946" hidden="1">
      <x:c r="V934" s="49"/>
      <x:c r="W934" s="50"/>
    </x:row>
    <x:row r="935" spans="22:23" ht="13.19999999999999928946" hidden="1">
      <x:c r="V935" s="49"/>
      <x:c r="W935" s="50"/>
    </x:row>
    <x:row r="936" spans="22:23" ht="13.19999999999999928946" hidden="1">
      <x:c r="V936" s="49"/>
      <x:c r="W936" s="50"/>
    </x:row>
    <x:row r="937" spans="22:23" ht="13.19999999999999928946" hidden="1">
      <x:c r="V937" s="49"/>
      <x:c r="W937" s="50"/>
    </x:row>
    <x:row r="938" spans="22:23" ht="13.19999999999999928946" hidden="1">
      <x:c r="V938" s="49"/>
      <x:c r="W938" s="50"/>
    </x:row>
    <x:row r="939" spans="22:23" ht="13.19999999999999928946" hidden="1">
      <x:c r="V939" s="49"/>
      <x:c r="W939" s="50"/>
    </x:row>
    <x:row r="940" spans="22:23" ht="13.19999999999999928946" hidden="1">
      <x:c r="V940" s="49"/>
      <x:c r="W940" s="50"/>
    </x:row>
    <x:row r="941" spans="22:23" ht="13.19999999999999928946" hidden="1">
      <x:c r="V941" s="49"/>
      <x:c r="W941" s="50"/>
    </x:row>
    <x:row r="942" spans="22:23" ht="13.19999999999999928946" hidden="1">
      <x:c r="V942" s="49"/>
      <x:c r="W942" s="50"/>
    </x:row>
    <x:row r="943" spans="22:23" ht="13.19999999999999928946" hidden="1">
      <x:c r="V943" s="49"/>
      <x:c r="W943" s="50"/>
    </x:row>
    <x:row r="944" spans="22:23" ht="13.19999999999999928946" hidden="1">
      <x:c r="V944" s="49"/>
      <x:c r="W944" s="50"/>
    </x:row>
    <x:row r="945" spans="22:23" ht="13.19999999999999928946" hidden="1">
      <x:c r="V945" s="49"/>
      <x:c r="W945" s="50"/>
    </x:row>
    <x:row r="946" spans="22:23" ht="13.19999999999999928946" hidden="1">
      <x:c r="V946" s="49"/>
      <x:c r="W946" s="50"/>
    </x:row>
    <x:row r="947" spans="22:23" ht="13.19999999999999928946" hidden="1">
      <x:c r="V947" s="49"/>
      <x:c r="W947" s="50"/>
    </x:row>
    <x:row r="948" spans="22:23" ht="13.19999999999999928946" hidden="1">
      <x:c r="V948" s="49"/>
      <x:c r="W948" s="50"/>
    </x:row>
    <x:row r="949" spans="22:23" ht="13.19999999999999928946" hidden="1">
      <x:c r="V949" s="49"/>
      <x:c r="W949" s="50"/>
    </x:row>
    <x:row r="950" spans="22:23" ht="13.19999999999999928946" hidden="1">
      <x:c r="V950" s="49"/>
      <x:c r="W950" s="50"/>
    </x:row>
    <x:row r="951" spans="22:23" ht="13.19999999999999928946" hidden="1">
      <x:c r="V951" s="49"/>
      <x:c r="W951" s="50"/>
    </x:row>
    <x:row r="952" spans="22:23" ht="13.19999999999999928946" hidden="1">
      <x:c r="V952" s="49"/>
      <x:c r="W952" s="50"/>
    </x:row>
    <x:row r="953" spans="22:23" ht="13.19999999999999928946" hidden="1">
      <x:c r="V953" s="49"/>
      <x:c r="W953" s="50"/>
    </x:row>
    <x:row r="954" spans="22:23" ht="13.19999999999999928946" hidden="1">
      <x:c r="V954" s="49"/>
      <x:c r="W954" s="50"/>
    </x:row>
    <x:row r="955" spans="22:23" ht="13.19999999999999928946" hidden="1">
      <x:c r="V955" s="49"/>
      <x:c r="W955" s="50"/>
    </x:row>
    <x:row r="956" spans="22:23" ht="13.19999999999999928946" hidden="1">
      <x:c r="V956" s="49"/>
      <x:c r="W956" s="50"/>
    </x:row>
    <x:row r="957" spans="22:23" ht="13.19999999999999928946" hidden="1">
      <x:c r="V957" s="49"/>
      <x:c r="W957" s="50"/>
    </x:row>
    <x:row r="958" spans="22:23" ht="13.19999999999999928946" hidden="1">
      <x:c r="V958" s="49"/>
      <x:c r="W958" s="50"/>
    </x:row>
    <x:row r="959" spans="22:23" ht="13.19999999999999928946" hidden="1">
      <x:c r="V959" s="49"/>
      <x:c r="W959" s="50"/>
    </x:row>
    <x:row r="960" spans="22:23" ht="13.19999999999999928946" hidden="1">
      <x:c r="V960" s="49"/>
      <x:c r="W960" s="50"/>
    </x:row>
    <x:row r="961" spans="22:23" ht="13.19999999999999928946" hidden="1">
      <x:c r="V961" s="49"/>
      <x:c r="W961" s="50"/>
    </x:row>
    <x:row r="962" spans="22:23" ht="13.19999999999999928946" hidden="1">
      <x:c r="V962" s="49"/>
      <x:c r="W962" s="50"/>
    </x:row>
    <x:row r="963" spans="22:23" ht="13.19999999999999928946" hidden="1">
      <x:c r="V963" s="49"/>
      <x:c r="W963" s="50"/>
    </x:row>
    <x:row r="964" spans="22:23" ht="13.19999999999999928946" hidden="1">
      <x:c r="V964" s="49"/>
      <x:c r="W964" s="50"/>
    </x:row>
    <x:row r="965" spans="22:23" ht="13.19999999999999928946" hidden="1">
      <x:c r="V965" s="49"/>
      <x:c r="W965" s="50"/>
    </x:row>
    <x:row r="966" spans="22:23" ht="13.19999999999999928946" hidden="1">
      <x:c r="V966" s="49"/>
      <x:c r="W966" s="50"/>
    </x:row>
    <x:row r="967" spans="22:23" ht="13.19999999999999928946" hidden="1">
      <x:c r="V967" s="49"/>
      <x:c r="W967" s="50"/>
    </x:row>
    <x:row r="968" spans="22:23" ht="13.19999999999999928946" hidden="1">
      <x:c r="V968" s="49"/>
      <x:c r="W968" s="50"/>
    </x:row>
    <x:row r="969" spans="22:23" ht="13.19999999999999928946" hidden="1">
      <x:c r="V969" s="49"/>
      <x:c r="W969" s="50"/>
    </x:row>
    <x:row r="970" spans="22:23" ht="13.19999999999999928946" hidden="1">
      <x:c r="V970" s="49"/>
      <x:c r="W970" s="50"/>
    </x:row>
    <x:row r="971" spans="22:23" ht="13.19999999999999928946" hidden="1">
      <x:c r="V971" s="49"/>
      <x:c r="W971" s="50"/>
    </x:row>
    <x:row r="972" spans="22:23" ht="13.19999999999999928946" hidden="1">
      <x:c r="V972" s="49"/>
      <x:c r="W972" s="50"/>
    </x:row>
    <x:row r="973" spans="22:23" ht="13.19999999999999928946" hidden="1">
      <x:c r="V973" s="49"/>
      <x:c r="W973" s="50"/>
    </x:row>
    <x:row r="974" spans="22:23" ht="13.19999999999999928946" hidden="1">
      <x:c r="V974" s="49"/>
      <x:c r="W974" s="50"/>
    </x:row>
    <x:row r="975" spans="22:23" ht="13.19999999999999928946" hidden="1">
      <x:c r="V975" s="49"/>
      <x:c r="W975" s="50"/>
    </x:row>
    <x:row r="976" spans="22:23" ht="13.19999999999999928946" hidden="1">
      <x:c r="V976" s="49"/>
      <x:c r="W976" s="50"/>
    </x:row>
    <x:row r="977" spans="22:23" ht="13.19999999999999928946" hidden="1">
      <x:c r="V977" s="49"/>
      <x:c r="W977" s="50"/>
    </x:row>
    <x:row r="978" spans="22:23" ht="13.19999999999999928946" hidden="1">
      <x:c r="V978" s="49"/>
      <x:c r="W978" s="50"/>
    </x:row>
    <x:row r="979" spans="22:23" ht="13.19999999999999928946" hidden="1">
      <x:c r="V979" s="49"/>
      <x:c r="W979" s="50"/>
    </x:row>
    <x:row r="980" spans="22:23" ht="13.19999999999999928946" hidden="1">
      <x:c r="V980" s="49"/>
      <x:c r="W980" s="50"/>
    </x:row>
    <x:row r="981" spans="22:23" ht="13.19999999999999928946" hidden="1">
      <x:c r="V981" s="49"/>
      <x:c r="W981" s="50"/>
    </x:row>
    <x:row r="982" spans="22:23" ht="13.19999999999999928946" hidden="1">
      <x:c r="V982" s="49"/>
      <x:c r="W982" s="50"/>
    </x:row>
    <x:row r="983" spans="22:23" ht="13.19999999999999928946" hidden="1">
      <x:c r="V983" s="49"/>
      <x:c r="W983" s="50"/>
    </x:row>
    <x:row r="984" spans="22:23" ht="13.19999999999999928946" hidden="1">
      <x:c r="V984" s="49"/>
      <x:c r="W984" s="50"/>
    </x:row>
    <x:row r="985" spans="22:23" ht="13.19999999999999928946" hidden="1">
      <x:c r="V985" s="49"/>
      <x:c r="W985" s="50"/>
    </x:row>
    <x:row r="986" spans="22:23" ht="13.19999999999999928946" hidden="1">
      <x:c r="V986" s="49"/>
      <x:c r="W986" s="50"/>
    </x:row>
    <x:row r="987" spans="22:23" ht="13.19999999999999928946" hidden="1">
      <x:c r="V987" s="49"/>
      <x:c r="W987" s="50"/>
    </x:row>
    <x:row r="988" spans="22:23" ht="13.19999999999999928946" hidden="1">
      <x:c r="V988" s="49"/>
      <x:c r="W988" s="50"/>
    </x:row>
    <x:row r="989" spans="22:23" ht="13.19999999999999928946" hidden="1">
      <x:c r="V989" s="49"/>
      <x:c r="W989" s="50"/>
    </x:row>
    <x:row r="990" spans="22:23" ht="13.19999999999999928946" hidden="1">
      <x:c r="V990" s="49"/>
      <x:c r="W990" s="50"/>
    </x:row>
    <x:row r="991" spans="22:23" ht="13.19999999999999928946" hidden="1">
      <x:c r="V991" s="49"/>
      <x:c r="W991" s="50"/>
    </x:row>
    <x:row r="992" spans="22:23" ht="13.19999999999999928946" hidden="1">
      <x:c r="V992" s="49"/>
      <x:c r="W992" s="50"/>
    </x:row>
    <x:row r="993" spans="22:23" ht="13.19999999999999928946" hidden="1">
      <x:c r="V993" s="49"/>
      <x:c r="W993" s="50"/>
    </x:row>
    <x:row r="994" spans="22:23" ht="13.19999999999999928946" hidden="1">
      <x:c r="V994" s="49"/>
      <x:c r="W994" s="50"/>
    </x:row>
    <x:row r="995" spans="22:23" ht="13.19999999999999928946" hidden="1">
      <x:c r="V995" s="49"/>
      <x:c r="W995" s="50"/>
    </x:row>
    <x:row r="996" spans="22:23" ht="13.19999999999999928946" hidden="1">
      <x:c r="V996" s="49"/>
      <x:c r="W996" s="50"/>
    </x:row>
    <x:row r="997" spans="22:23" ht="13.19999999999999928946" hidden="1">
      <x:c r="V997" s="49"/>
      <x:c r="W997" s="50"/>
    </x:row>
    <x:row r="998" spans="22:23" ht="13.19999999999999928946" hidden="1">
      <x:c r="V998" s="49"/>
      <x:c r="W998" s="50"/>
    </x:row>
    <x:row r="999" spans="22:23" ht="13.19999999999999928946" hidden="1">
      <x:c r="V999" s="49"/>
      <x:c r="W999" s="50"/>
    </x:row>
    <x:row r="1000" spans="22:23" ht="13.19999999999999928946" hidden="1">
      <x:c r="V1000" s="49"/>
      <x:c r="W1000" s="50"/>
    </x:row>
  </x:sheetData>
  <x:mergeCells count="27">
    <x:mergeCell ref="A1:A3"/>
    <x:mergeCell ref="B1:B3"/>
    <x:mergeCell ref="C1:D1"/>
    <x:mergeCell ref="E1:E3"/>
    <x:mergeCell ref="F1:F3"/>
    <x:mergeCell ref="G1:G3"/>
    <x:mergeCell ref="H1:H3"/>
    <x:mergeCell ref="I1:I3"/>
    <x:mergeCell ref="J1:J3"/>
    <x:mergeCell ref="K1:M1"/>
    <x:mergeCell ref="N1:Q1"/>
    <x:mergeCell ref="R1:U1"/>
    <x:mergeCell ref="V1:V3"/>
    <x:mergeCell ref="W1:W3"/>
    <x:mergeCell ref="X1:Y2"/>
    <x:mergeCell ref="Z1:Z3"/>
    <x:mergeCell ref="C2:C3"/>
    <x:mergeCell ref="D2:D3"/>
    <x:mergeCell ref="L2:M2"/>
    <x:mergeCell ref="N2:N3"/>
    <x:mergeCell ref="O2:O3"/>
    <x:mergeCell ref="P2:P3"/>
    <x:mergeCell ref="Q2:Q3"/>
    <x:mergeCell ref="R2:R3"/>
    <x:mergeCell ref="S2:S3"/>
    <x:mergeCell ref="T2:T3"/>
    <x:mergeCell ref="U2:U3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 filterMode="1"/>
  <x:dimension ref="A1:X1000"/>
  <x:sheetViews>
    <x:sheetView tabSelected="1" topLeftCell="A1" zoomScale="60" zoomScaleNormal="60" zoomScaleSheetLayoutView="60" workbookViewId="0">
      <x:pane xSplit="13" ySplit="3" topLeftCell="N4" activePane="bottomRight" state="frozen"/>
      <x:selection pane="bottomRight" activeCell="W6" activeCellId="0" sqref="W6:X6"/>
    </x:sheetView>
  </x:sheetViews>
  <x:sheetFormatPr defaultColWidth="12.62890625" defaultRowHeight="15.75" customHeight="1" zeroHeight="1"/>
  <x:cols>
    <x:col min="1" max="2" width="7" style="47" customWidth="1"/>
    <x:col min="3" max="4" width="6.75" style="46" customWidth="1"/>
    <x:col min="5" max="5" width="23.87890625" style="47" customWidth="1"/>
    <x:col min="6" max="6" width="13.37890625" style="47" customWidth="1"/>
    <x:col min="7" max="7" width="5.5" style="47" customWidth="1"/>
    <x:col min="8" max="8" width="8.12890625" style="47" customWidth="1"/>
    <x:col min="9" max="9" width="5.12890625" style="47" customWidth="1"/>
    <x:col min="10" max="10" width="11.25" style="47" customWidth="1"/>
    <x:col min="11" max="11" width="12.12890625" style="47" customWidth="1"/>
    <x:col min="12" max="12" width="12.62890625" style="47"/>
    <x:col min="13" max="13" width="7.37890625" style="47" customWidth="1"/>
    <x:col min="14" max="14" width="21" style="47" customWidth="1"/>
    <x:col min="15" max="15" width="17.14453125" style="47" customWidth="1"/>
    <x:col min="16" max="16" width="16.5703125" style="47" customWidth="1"/>
    <x:col min="17" max="17" width="48.5" style="47" customWidth="1"/>
    <x:col min="18" max="18" width="41.5" style="47" customWidth="1"/>
    <x:col min="19" max="20" width="12.62890625" style="46"/>
    <x:col min="21" max="21" width="50.75" style="46" customWidth="1"/>
    <x:col min="22" max="16384" width="12.62890625" style="47"/>
  </x:cols>
  <x:sheetData>
    <x:row r="1" spans="1:21" customFormat="1" ht="16.39999999999999857891" customHeight="1">
      <x:c r="A1" s="51" t="s">
        <x:v>101</x:v>
      </x:c>
      <x:c r="B1" s="65" t="s">
        <x:v>183</x:v>
      </x:c>
      <x:c r="C1" s="71" t="s">
        <x:v>685</x:v>
      </x:c>
      <x:c r="D1" s="72"/>
      <x:c r="E1" s="51" t="s">
        <x:v>39</x:v>
      </x:c>
      <x:c r="F1" s="51" t="s">
        <x:v>665</x:v>
      </x:c>
      <x:c r="G1" s="51" t="s">
        <x:v>34</x:v>
      </x:c>
      <x:c r="H1" s="51" t="s">
        <x:v>35</x:v>
      </x:c>
      <x:c r="I1" s="51" t="s">
        <x:v>29</x:v>
      </x:c>
      <x:c r="J1" s="51" t="s">
        <x:v>667</x:v>
      </x:c>
      <x:c r="K1" s="56" t="s">
        <x:v>533</x:v>
      </x:c>
      <x:c r="L1" s="57"/>
      <x:c r="M1" s="55"/>
      <x:c r="N1" s="58" t="s">
        <x:v>38</x:v>
      </x:c>
      <x:c r="O1" s="57"/>
      <x:c r="P1" s="58"/>
      <x:c r="Q1" s="63" t="s">
        <x:v>678</x:v>
      </x:c>
      <x:c r="R1" s="64" t="s">
        <x:v>673</x:v>
      </x:c>
      <x:c r="S1" s="59" t="s">
        <x:v>33</x:v>
      </x:c>
      <x:c r="T1" s="60"/>
      <x:c r="U1" s="51" t="s">
        <x:v>45</x:v>
      </x:c>
    </x:row>
    <x:row r="2" spans="1:21" customFormat="1" ht="16.39999999999999857891" customHeight="1">
      <x:c r="A2" s="52"/>
      <x:c r="B2" s="70"/>
      <x:c r="C2" s="73" t="s">
        <x:v>41</x:v>
      </x:c>
      <x:c r="D2" s="75" t="s">
        <x:v>44</x:v>
      </x:c>
      <x:c r="E2" s="52"/>
      <x:c r="F2" s="52"/>
      <x:c r="G2" s="52"/>
      <x:c r="H2" s="52"/>
      <x:c r="I2" s="52"/>
      <x:c r="J2" s="52"/>
      <x:c r="K2" s="1" t="s">
        <x:v>661</x:v>
      </x:c>
      <x:c r="L2" s="56" t="s">
        <x:v>660</x:v>
      </x:c>
      <x:c r="M2" s="55"/>
      <x:c r="N2" s="77" t="s">
        <x:v>37</x:v>
      </x:c>
      <x:c r="O2" s="79" t="s">
        <x:v>49</x:v>
      </x:c>
      <x:c r="P2" s="81" t="s">
        <x:v>665</x:v>
      </x:c>
      <x:c r="Q2" s="52"/>
      <x:c r="R2" s="52"/>
      <x:c r="S2" s="61"/>
      <x:c r="T2" s="62"/>
      <x:c r="U2" s="52"/>
    </x:row>
    <x:row r="3" spans="1:21" customFormat="1" ht="15.84999999999999964473" hidden="1">
      <x:c r="A3" s="53"/>
      <x:c r="B3" s="66"/>
      <x:c r="C3" s="74"/>
      <x:c r="D3" s="76"/>
      <x:c r="E3" s="53"/>
      <x:c r="F3" s="53"/>
      <x:c r="G3" s="53"/>
      <x:c r="H3" s="53"/>
      <x:c r="I3" s="53"/>
      <x:c r="J3" s="53"/>
      <x:c r="K3" s="1" t="s">
        <x:v>31</x:v>
      </x:c>
      <x:c r="L3" s="1" t="s">
        <x:v>31</x:v>
      </x:c>
      <x:c r="M3" s="1" t="s">
        <x:v>71</x:v>
      </x:c>
      <x:c r="N3" s="78"/>
      <x:c r="O3" s="80"/>
      <x:c r="P3" s="82"/>
      <x:c r="Q3" s="53"/>
      <x:c r="R3" s="53"/>
      <x:c r="S3" s="1" t="s">
        <x:v>67</x:v>
      </x:c>
      <x:c r="T3" s="1" t="s">
        <x:v>679</x:v>
      </x:c>
      <x:c r="U3" s="53"/>
    </x:row>
    <x:row r="4" spans="1:24" customFormat="1" ht="79.04999999999999715783" hidden="1">
      <x:c r="A4" s="3"/>
      <x:c r="B4" s="3" t="s">
        <x:v>194</x:v>
      </x:c>
      <x:c r="C4" s="3" t="str">
        <x:f>IF(초입!H4&lt;&gt;"","O","")</x:f>
        <x:v/>
      </x:c>
      <x:c r="D4" s="3" t="str">
        <x:f>IF(초입!I4&lt;&gt;"","O","")</x:f>
        <x:v>O</x:v>
      </x:c>
      <x:c r="E4" s="3" t="str">
        <x:f>초입!B4</x:f>
        <x:v>시립동구어린이집</x:v>
      </x:c>
      <x:c r="F4" s="4" t="str">
        <x:f>IF(초입!C4="","",초입!C4)</x:f>
        <x:v/>
      </x:c>
      <x:c r="G4" s="3">
        <x:f>IF(초입!D4="","",초입!D4)</x:f>
        <x:v>3</x:v>
      </x:c>
      <x:c r="H4" s="3" t="str">
        <x:f>IF(초입!E4="","",초입!E4)</x:f>
        <x:v>김연성</x:v>
      </x:c>
      <x:c r="I4" s="3" t="str">
        <x:f>IF(초입!F4="","",초입!F4)</x:f>
        <x:v>남</x:v>
      </x:c>
      <x:c r="J4" s="3" t="str">
        <x:f>IF(초입!G4="","",초입!G4)</x:f>
        <x:v>2020.02.25.</x:v>
      </x:c>
      <x:c r="K4" s="3" t="str">
        <x:f>IF(초입!J4="","",초입!J4)</x:f>
        <x:v>의사소통장애
(지적장애 범주)</x:v>
      </x:c>
      <x:c r="L4" s="3" t="str">
        <x:f>IF(초입!K4="","",초입!K4)</x:f>
        <x:v/>
      </x:c>
      <x:c r="M4" s="3" t="str">
        <x:f>IF(초입!L4="","",초입!L4)</x:f>
        <x:v/>
      </x:c>
      <x:c r="N4" s="3" t="str">
        <x:f>IF(초입!AF4="","","1. "&amp;초입!AF4&amp;IF(초입!AI4&lt;&gt;"",CHAR(10)&amp;"2. "&amp;초입!AI4,"")&amp;IF(초입!AL4&lt;&gt;"",CHAR(10)&amp;"3. "&amp;초입!AL4,""))</x:f>
        <x:v/>
      </x:c>
      <x:c r="O4" s="3" t="str">
        <x:f>IF(초입!AG4="","",초입!AG4&amp;IF(초입!AJ4&lt;&gt;"",CHAR(10)&amp;초입!AJ4,"")&amp;IF(초입!AM4&lt;&gt;"",CHAR(10)&amp;초입!AM4,""))</x:f>
        <x:v/>
      </x:c>
      <x:c r="P4" s="3" t="str">
        <x:f>IF(초입!AH4="","",초입!AH4&amp;IF(초입!AK4&lt;&gt;"",CHAR(10)&amp;초입!AK4,"")&amp;IF(초입!AN4&lt;&gt;"",CHAR(10)&amp;초입!AN4,""))</x:f>
        <x:v/>
      </x:c>
      <x:c r="Q4" s="3" t="str">
        <x:f>IF(초입!AO4="","",초입!AO4)</x:f>
        <x:v>※심리평가보고서(2026.3.12.)
□ K-WPPSI-Ⅳ: 전체IQ 53(언어이해 50, 시공간 79, 유동추론 66, 작업기억 61, 처리속도 64/매우 낮음)
□ 사회성숙도: SA 4세7개월, SQ 78.33(경계선)
□ CARS: 22.5점
□ 적응행동검사: 표준점수 70(저조한 수준)</x:v>
      </x:c>
      <x:c r="R4" s="3" t="str">
        <x:f>IF(초입!AP4="","",초입!AP4)</x:f>
        <x:v>*검사결과 지적장애 범주. 신규지만 지적장애로 유형변경</x:v>
      </x:c>
      <x:c r="S4" s="3" t="str">
        <x:f>IF(초입!AD4="","",초입!AD4)</x:f>
        <x:v>010-8865-6065</x:v>
      </x:c>
      <x:c r="T4" s="3" t="str">
        <x:f>IF(초입!AE4="","",초입!AE4)</x:f>
        <x:v/>
      </x:c>
      <x:c r="U4" s="3" t="str">
        <x:f>IF(초입!M4="","",초입!M4)</x:f>
        <x:v>경기도 구리시 경춘로276번길 21, 107동 1002호(구리역한양수자인)</x:v>
      </x:c>
      <x:c r="V4" s="5"/>
      <x:c r="W4" s="7"/>
      <x:c r="X4" s="7"/>
    </x:row>
    <x:row r="5" spans="1:24" customFormat="1" ht="39.54999999999999715783" hidden="1">
      <x:c r="A5" s="3"/>
      <x:c r="B5" s="3" t="s">
        <x:v>194</x:v>
      </x:c>
      <x:c r="C5" s="3" t="str">
        <x:f>IF(초입!H5&lt;&gt;"","O","")</x:f>
        <x:v/>
      </x:c>
      <x:c r="D5" s="3" t="str">
        <x:f>IF(초입!I5&lt;&gt;"","O","")</x:f>
        <x:v>O</x:v>
      </x:c>
      <x:c r="E5" s="3" t="str">
        <x:f>초입!B5</x:f>
        <x:v>없음</x:v>
      </x:c>
      <x:c r="F5" s="3" t="str">
        <x:f>IF(초입!C5="","",초입!C5)</x:f>
        <x:v/>
      </x:c>
      <x:c r="G5" s="3" t="str">
        <x:f>IF(초입!D5="","",초입!D5)</x:f>
        <x:v/>
      </x:c>
      <x:c r="H5" s="3" t="str">
        <x:f>IF(초입!E5="","",초입!E5)</x:f>
        <x:v>김주연</x:v>
      </x:c>
      <x:c r="I5" s="3" t="str">
        <x:f>IF(초입!F5="","",초입!F5)</x:f>
        <x:v>여</x:v>
      </x:c>
      <x:c r="J5" s="3" t="str">
        <x:f>IF(초입!G5="","",초입!G5)</x:f>
        <x:v>2020.10.10.</x:v>
      </x:c>
      <x:c r="K5" s="3" t="str">
        <x:f>IF(초입!J5="","",초입!J5)</x:f>
        <x:v>지적장애</x:v>
      </x:c>
      <x:c r="L5" s="3" t="str">
        <x:f>IF(초입!K5="","",초입!K5)</x:f>
        <x:v>지적·자폐성장애</x:v>
      </x:c>
      <x:c r="M5" s="3" t="str">
        <x:f>IF(초입!L5="","",초입!L5)</x:f>
        <x:v>중증</x:v>
      </x:c>
      <x:c r="N5" s="3" t="str">
        <x:f>IF(초입!AF5="","","1. "&amp;초입!AF5&amp;IF(초입!AI5&lt;&gt;"",CHAR(10)&amp;"2. "&amp;초입!AI5,"")&amp;IF(초입!AL5&lt;&gt;"",CHAR(10)&amp;"3. "&amp;초입!AL5,""))</x:f>
        <x:v/>
      </x:c>
      <x:c r="O5" s="3" t="str">
        <x:f>IF(초입!AG5="","",초입!AG5&amp;IF(초입!AJ5&lt;&gt;"",CHAR(10)&amp;초입!AJ5,"")&amp;IF(초입!AM5&lt;&gt;"",CHAR(10)&amp;초입!AM5,""))</x:f>
        <x:v/>
      </x:c>
      <x:c r="P5" s="3" t="str">
        <x:f>IF(초입!AH5="","",초입!AH5&amp;IF(초입!AK5&lt;&gt;"",CHAR(10)&amp;초입!AK5,"")&amp;IF(초입!AN5&lt;&gt;"",CHAR(10)&amp;초입!AN5,""))</x:f>
        <x:v/>
      </x:c>
      <x:c r="Q5" s="3" t="str">
        <x:f>IF(초입!AO5="","",초입!AO5)</x:f>
        <x:v>□ 복지카드: 지적,자폐성장애 중증(~2032.03.02.)</x:v>
      </x:c>
      <x:c r="R5" s="3" t="str">
        <x:f>IF(초입!AP5="","",초입!AP5)</x:f>
        <x:v>7월30일 거주지 이전 / 대중교통 이용 / 현 주소 기준으로 거리 작성됨 / 자차기준 토평, 백문, 도림, 교문 모두 1.1~1.2km임 / 1순위 안되면 참고</x:v>
      </x:c>
      <x:c r="S5" s="3" t="str">
        <x:f>IF(초입!AD5="","",초입!AD5)</x:f>
        <x:v>010-8999-2232</x:v>
      </x:c>
      <x:c r="T5" s="3" t="str">
        <x:f>IF(초입!AE5="","",초입!AE5)</x:f>
        <x:v/>
      </x:c>
      <x:c r="U5" s="3" t="str">
        <x:f>IF(초입!M5="","",초입!M5)</x:f>
        <x:v>현: 경기도 구리시 건원대로 92, 115동 1405호(인창동 주공아파트)
이사: 경기도 구리시 수택동 444-6</x:v>
      </x:c>
      <x:c r="V5" s="7"/>
      <x:c r="W5" s="7"/>
      <x:c r="X5" s="7"/>
    </x:row>
    <x:row r="6" spans="1:24" customFormat="1" ht="39.54999999999999715783">
      <x:c r="A6" s="3">
        <x:f>SUBTOTAL(103,$N$6:N6)</x:f>
        <x:v>1</x:v>
      </x:c>
      <x:c r="B6" s="3" t="s">
        <x:v>194</x:v>
      </x:c>
      <x:c r="C6" s="3" t="str">
        <x:f>IF(초입!H6&lt;&gt;"","O","")</x:f>
        <x:v/>
      </x:c>
      <x:c r="D6" s="3" t="str">
        <x:f>IF(초입!I6&lt;&gt;"","O","")</x:f>
        <x:v>O</x:v>
      </x:c>
      <x:c r="E6" s="3" t="str">
        <x:f>초입!B6</x:f>
        <x:v>하늘숲어린이집</x:v>
      </x:c>
      <x:c r="F6" s="3" t="str">
        <x:f>IF(초입!C6="","",초입!C6)</x:f>
        <x:v/>
      </x:c>
      <x:c r="G6" s="3">
        <x:f>IF(초입!D6="","",초입!D6)</x:f>
        <x:v>3</x:v>
      </x:c>
      <x:c r="H6" s="3" t="str">
        <x:f>IF(초입!E6="","",초입!E6)</x:f>
        <x:v>양서율</x:v>
      </x:c>
      <x:c r="I6" s="3" t="str">
        <x:f>IF(초입!F6="","",초입!F6)</x:f>
        <x:v>여</x:v>
      </x:c>
      <x:c r="J6" s="3" t="str">
        <x:f>IF(초입!G6="","",초입!G6)</x:f>
        <x:v>2020.01.26.</x:v>
      </x:c>
      <x:c r="K6" s="3" t="str">
        <x:f>IF(초입!J6="","",초입!J6)</x:f>
        <x:v>자폐성장애</x:v>
      </x:c>
      <x:c r="L6" s="3" t="str">
        <x:f>IF(초입!K6="","",초입!K6)</x:f>
        <x:v>자폐성장애</x:v>
      </x:c>
      <x:c r="M6" s="3" t="str">
        <x:f>IF(초입!L6="","",초입!L6)</x:f>
        <x:v>중증</x:v>
      </x:c>
      <x:c r="N6" s="3" t="str">
        <x:f>IF(초입!AG6="","","1. "&amp;초입!AG6&amp;IF(초입!AJ6&lt;&gt;"",CHAR(10)&amp;"2. "&amp;초입!AJ6,"")&amp;IF(초입!AM6&lt;&gt;"",CHAR(10)&amp;"3. "&amp;초입!AM6,""))</x:f>
        <x:v>1. 경은학교
2. 복합특수학급 신설
3. 송민학교</x:v>
      </x:c>
      <x:c r="O6" s="3" t="str">
        <x:f>IF(초입!AF6="","",초입!AF6&amp;IF(초입!AI6&lt;&gt;"",CHAR(10)&amp;초입!AI6,"")&amp;IF(초입!AL6&lt;&gt;"",CHAR(10)&amp;초입!AL6,""))</x:f>
        <x:v>구리남양주
구리남양주
의정부</x:v>
      </x:c>
      <x:c r="P6" s="3" t="str">
        <x:f>IF(초입!AH6="","",초입!AH6&amp;IF(초입!AK6&lt;&gt;"",CHAR(10)&amp;초입!AK6,"")&amp;IF(초입!AN6&lt;&gt;"",CHAR(10)&amp;초입!AN6,""))</x:f>
        <x:v>특수학교
복합특수학급
특수학교</x:v>
      </x:c>
      <x:c r="Q6" s="3" t="str">
        <x:f>IF(초입!AO6="","",초입!AO6)</x:f>
        <x:v>□ 복지카드: 자폐성장애 중증(~2028.09.28.)</x:v>
      </x:c>
      <x:c r="R6" s="3" t="str">
        <x:f>IF(초입!AP6="","",초입!AP6)</x:f>
        <x:v/>
      </x:c>
      <x:c r="S6" s="3" t="str">
        <x:f>IF(초입!AD6="","",초입!AD6)</x:f>
        <x:v>010-2228-7151</x:v>
      </x:c>
      <x:c r="T6" s="3" t="str">
        <x:f>IF(초입!AE6="","",초입!AE6)</x:f>
        <x:v/>
      </x:c>
      <x:c r="U6" s="3" t="str">
        <x:f>IF(초입!M6="","",초입!M6)</x:f>
        <x:v>경기도 남양주시 오남읍 양지로46번길 130, 102동 503호</x:v>
      </x:c>
      <x:c r="V6" s="7"/>
      <x:c r="W6" s="7"/>
      <x:c r="X6" s="7"/>
    </x:row>
    <x:row r="7" spans="1:24" customFormat="1" ht="26.35000000000000142109" hidden="1">
      <x:c r="A7" s="3"/>
      <x:c r="B7" s="3" t="s">
        <x:v>194</x:v>
      </x:c>
      <x:c r="C7" s="3" t="str">
        <x:f>IF(초입!H7&lt;&gt;"","O","")</x:f>
        <x:v/>
      </x:c>
      <x:c r="D7" s="3" t="str">
        <x:f>IF(초입!I7&lt;&gt;"","O","")</x:f>
        <x:v>O</x:v>
      </x:c>
      <x:c r="E7" s="3" t="str">
        <x:f>초입!B7</x:f>
        <x:v>시립토평마을어린이집</x:v>
      </x:c>
      <x:c r="F7" s="3" t="str">
        <x:f>IF(초입!C7="","",초입!C7)</x:f>
        <x:v/>
      </x:c>
      <x:c r="G7" s="3">
        <x:f>IF(초입!D7="","",초입!D7)</x:f>
        <x:v>3</x:v>
      </x:c>
      <x:c r="H7" s="3" t="str">
        <x:f>IF(초입!E7="","",초입!E7)</x:f>
        <x:v>신주원</x:v>
      </x:c>
      <x:c r="I7" s="3" t="str">
        <x:f>IF(초입!F7="","",초입!F7)</x:f>
        <x:v>남</x:v>
      </x:c>
      <x:c r="J7" s="3" t="str">
        <x:f>IF(초입!G7="","",초입!G7)</x:f>
        <x:v>2020.08.16.</x:v>
      </x:c>
      <x:c r="K7" s="3" t="str">
        <x:f>IF(초입!J7="","",초입!J7)</x:f>
        <x:v>자폐성장애</x:v>
      </x:c>
      <x:c r="L7" s="3" t="str">
        <x:f>IF(초입!K7="","",초입!K7)</x:f>
        <x:v>자폐성장애</x:v>
      </x:c>
      <x:c r="M7" s="3" t="str">
        <x:f>IF(초입!L7="","",초입!L7)</x:f>
        <x:v>중증</x:v>
      </x:c>
      <x:c r="N7" s="3" t="str">
        <x:f>IF(초입!AF7="","","1. "&amp;초입!AF7&amp;IF(초입!AI7&lt;&gt;"",CHAR(10)&amp;"2. "&amp;초입!AI7,"")&amp;IF(초입!AL7&lt;&gt;"",CHAR(10)&amp;"3. "&amp;초입!AL7,""))</x:f>
        <x:v/>
      </x:c>
      <x:c r="O7" s="3" t="str">
        <x:f>IF(초입!AG7="","",초입!AG7&amp;IF(초입!AJ7&lt;&gt;"",CHAR(10)&amp;초입!AJ7,"")&amp;IF(초입!AM7&lt;&gt;"",CHAR(10)&amp;초입!AM7,""))</x:f>
        <x:v/>
      </x:c>
      <x:c r="P7" s="3" t="str">
        <x:f>IF(초입!AH7="","",초입!AH7&amp;IF(초입!AK7&lt;&gt;"",CHAR(10)&amp;초입!AK7,"")&amp;IF(초입!AN7&lt;&gt;"",CHAR(10)&amp;초입!AN7,""))</x:f>
        <x:v/>
      </x:c>
      <x:c r="Q7" s="3" t="str">
        <x:f>IF(초입!AO7="","",초입!AO7)</x:f>
        <x:v>□ 복지카드: 자폐성장애 중증(~2032.01.14.)</x:v>
      </x:c>
      <x:c r="R7" s="3" t="str">
        <x:f>IF(초입!AP7="","",초입!AP7)</x:f>
        <x:v>도보 기준 작성함.
자동차기준, 교문1.2 / 토평1.1  / 수택 1.9</x:v>
      </x:c>
      <x:c r="S7" s="3" t="str">
        <x:f>IF(초입!AD7="","",초입!AD7)</x:f>
        <x:v>010-3003-1574</x:v>
      </x:c>
      <x:c r="T7" s="3" t="str">
        <x:f>IF(초입!AE7="","",초입!AE7)</x:f>
        <x:v/>
      </x:c>
      <x:c r="U7" s="3" t="str">
        <x:f>IF(초입!M7="","",초입!M7)</x:f>
        <x:v>경기도 구리시 검배로72번길 89, 3층</x:v>
      </x:c>
      <x:c r="V7" s="7"/>
      <x:c r="W7" s="7"/>
      <x:c r="X7" s="7"/>
    </x:row>
    <x:row r="8" spans="1:24" customFormat="1" ht="26.35000000000000142109" hidden="1">
      <x:c r="A8" s="3"/>
      <x:c r="B8" s="3" t="s">
        <x:v>194</x:v>
      </x:c>
      <x:c r="C8" s="3" t="str">
        <x:f>IF(초입!H8&lt;&gt;"","O","")</x:f>
        <x:v/>
      </x:c>
      <x:c r="D8" s="3" t="str">
        <x:f>IF(초입!I8&lt;&gt;"","O","")</x:f>
        <x:v>O</x:v>
      </x:c>
      <x:c r="E8" s="3" t="str">
        <x:f>초입!B8</x:f>
        <x:v>시립토평마을어린이집</x:v>
      </x:c>
      <x:c r="F8" s="3" t="str">
        <x:f>IF(초입!C8="","",초입!C8)</x:f>
        <x:v/>
      </x:c>
      <x:c r="G8" s="3">
        <x:f>IF(초입!D8="","",초입!D8)</x:f>
        <x:v>3</x:v>
      </x:c>
      <x:c r="H8" s="3" t="str">
        <x:f>IF(초입!E8="","",초입!E8)</x:f>
        <x:v>김서하</x:v>
      </x:c>
      <x:c r="I8" s="3" t="str">
        <x:f>IF(초입!F8="","",초입!F8)</x:f>
        <x:v>남</x:v>
      </x:c>
      <x:c r="J8" s="3" t="str">
        <x:f>IF(초입!G8="","",초입!G8)</x:f>
        <x:v>2020.07.15.</x:v>
      </x:c>
      <x:c r="K8" s="3" t="str">
        <x:f>IF(초입!J8="","",초입!J8)</x:f>
        <x:v>청각장애</x:v>
      </x:c>
      <x:c r="L8" s="3" t="str">
        <x:f>IF(초입!K8="","",초입!K8)</x:f>
        <x:v>청각장애</x:v>
      </x:c>
      <x:c r="M8" s="3" t="str">
        <x:f>IF(초입!L8="","",초입!L8)</x:f>
        <x:v>중증</x:v>
      </x:c>
      <x:c r="N8" s="3" t="str">
        <x:f>IF(초입!AF8="","","1. "&amp;초입!AF8&amp;IF(초입!AI8&lt;&gt;"",CHAR(10)&amp;"2. "&amp;초입!AI8,"")&amp;IF(초입!AL8&lt;&gt;"",CHAR(10)&amp;"3. "&amp;초입!AL8,""))</x:f>
        <x:v/>
      </x:c>
      <x:c r="O8" s="3" t="str">
        <x:f>IF(초입!AG8="","",초입!AG8&amp;IF(초입!AJ8&lt;&gt;"",CHAR(10)&amp;초입!AJ8,"")&amp;IF(초입!AM8&lt;&gt;"",CHAR(10)&amp;초입!AM8,""))</x:f>
        <x:v/>
      </x:c>
      <x:c r="P8" s="3" t="str">
        <x:f>IF(초입!AH8="","",초입!AH8&amp;IF(초입!AK8&lt;&gt;"",CHAR(10)&amp;초입!AK8,"")&amp;IF(초입!AN8&lt;&gt;"",CHAR(10)&amp;초입!AN8,""))</x:f>
        <x:v/>
      </x:c>
      <x:c r="Q8" s="3" t="str">
        <x:f>IF(초입!AO8="","",초입!AO8)</x:f>
        <x:v>□ 복지카드: 청각장애 중증(유효기한 없음)</x:v>
      </x:c>
      <x:c r="R8" s="3" t="str">
        <x:f>IF(초입!AP8="","",초입!AP8)</x:f>
        <x:v>쌍둥이(김루하)와 동일교 배치 희망, 등본제출함</x:v>
      </x:c>
      <x:c r="S8" s="3" t="str">
        <x:f>IF(초입!AD8="","",초입!AD8)</x:f>
        <x:v>010-9133-1701</x:v>
      </x:c>
      <x:c r="T8" s="3" t="str">
        <x:f>IF(초입!AE8="","",초입!AE8)</x:f>
        <x:v/>
      </x:c>
      <x:c r="U8" s="3" t="str">
        <x:f>IF(초입!M8="","",초입!M8)</x:f>
        <x:v>경기도 구리시 검배로 142 204동, 1104호(SK신일아파트)</x:v>
      </x:c>
      <x:c r="V8" s="7"/>
      <x:c r="W8" s="7"/>
      <x:c r="X8" s="7"/>
    </x:row>
    <x:row r="9" spans="1:24" customFormat="1" ht="26.35000000000000142109" hidden="1">
      <x:c r="A9" s="3"/>
      <x:c r="B9" s="3" t="s">
        <x:v>194</x:v>
      </x:c>
      <x:c r="C9" s="3" t="str">
        <x:f>IF(초입!H9&lt;&gt;"","O","")</x:f>
        <x:v/>
      </x:c>
      <x:c r="D9" s="3" t="str">
        <x:f>IF(초입!I9&lt;&gt;"","O","")</x:f>
        <x:v>O</x:v>
      </x:c>
      <x:c r="E9" s="3" t="str">
        <x:f>초입!B9</x:f>
        <x:v>시립토평마을어린이집</x:v>
      </x:c>
      <x:c r="F9" s="3" t="str">
        <x:f>IF(초입!C9="","",초입!C9)</x:f>
        <x:v/>
      </x:c>
      <x:c r="G9" s="3">
        <x:f>IF(초입!D9="","",초입!D9)</x:f>
        <x:v>3</x:v>
      </x:c>
      <x:c r="H9" s="3" t="str">
        <x:f>IF(초입!E9="","",초입!E9)</x:f>
        <x:v>김루하</x:v>
      </x:c>
      <x:c r="I9" s="3" t="str">
        <x:f>IF(초입!F9="","",초입!F9)</x:f>
        <x:v>남</x:v>
      </x:c>
      <x:c r="J9" s="3" t="str">
        <x:f>IF(초입!G9="","",초입!G9)</x:f>
        <x:v>2020.07.15.</x:v>
      </x:c>
      <x:c r="K9" s="3" t="str">
        <x:f>IF(초입!J9="","",초입!J9)</x:f>
        <x:v>청각장애</x:v>
      </x:c>
      <x:c r="L9" s="3" t="str">
        <x:f>IF(초입!K9="","",초입!K9)</x:f>
        <x:v>청각장애</x:v>
      </x:c>
      <x:c r="M9" s="3" t="str">
        <x:f>IF(초입!L9="","",초입!L9)</x:f>
        <x:v>경증</x:v>
      </x:c>
      <x:c r="N9" s="3" t="str">
        <x:f>IF(초입!AF9="","","1. "&amp;초입!AF9&amp;IF(초입!AI9&lt;&gt;"",CHAR(10)&amp;"2. "&amp;초입!AI9,"")&amp;IF(초입!AL9&lt;&gt;"",CHAR(10)&amp;"3. "&amp;초입!AL9,""))</x:f>
        <x:v/>
      </x:c>
      <x:c r="O9" s="3" t="str">
        <x:f>IF(초입!AG9="","",초입!AG9&amp;IF(초입!AJ9&lt;&gt;"",CHAR(10)&amp;초입!AJ9,"")&amp;IF(초입!AM9&lt;&gt;"",CHAR(10)&amp;초입!AM9,""))</x:f>
        <x:v/>
      </x:c>
      <x:c r="P9" s="3" t="str">
        <x:f>IF(초입!AH9="","",초입!AH9&amp;IF(초입!AK9&lt;&gt;"",CHAR(10)&amp;초입!AK9,"")&amp;IF(초입!AN9&lt;&gt;"",CHAR(10)&amp;초입!AN9,""))</x:f>
        <x:v/>
      </x:c>
      <x:c r="Q9" s="3" t="str">
        <x:f>IF(초입!AO9="","",초입!AO9)</x:f>
        <x:v>□ 복지카드: 청각장애 경증(~2028.07.28)</x:v>
      </x:c>
      <x:c r="R9" s="3" t="str">
        <x:f>IF(초입!AP9="","",초입!AP9)</x:f>
        <x:v>쌍둥이(김서하)와 동일교 배치 희망, 등본제출함</x:v>
      </x:c>
      <x:c r="S9" s="3" t="str">
        <x:f>IF(초입!AD9="","",초입!AD9)</x:f>
        <x:v>010-9133-1701</x:v>
      </x:c>
      <x:c r="T9" s="3" t="str">
        <x:f>IF(초입!AE9="","",초입!AE9)</x:f>
        <x:v/>
      </x:c>
      <x:c r="U9" s="3" t="str">
        <x:f>IF(초입!M9="","",초입!M9)</x:f>
        <x:v>경기도 구리시 검배로 142 204동, 1104호(SK신일아파트)</x:v>
      </x:c>
      <x:c r="V9" s="7"/>
      <x:c r="W9" s="7"/>
      <x:c r="X9" s="7"/>
    </x:row>
    <x:row r="10" spans="1:24" customFormat="1" ht="26.35000000000000142109" hidden="1">
      <x:c r="A10" s="3"/>
      <x:c r="B10" s="3" t="s">
        <x:v>194</x:v>
      </x:c>
      <x:c r="C10" s="3" t="str">
        <x:f>IF(초입!H10&lt;&gt;"","O","")</x:f>
        <x:v/>
      </x:c>
      <x:c r="D10" s="3" t="str">
        <x:f>IF(초입!I10&lt;&gt;"","O","")</x:f>
        <x:v>O</x:v>
      </x:c>
      <x:c r="E10" s="3" t="str">
        <x:f>초입!B10</x:f>
        <x:v>화도어린이집</x:v>
      </x:c>
      <x:c r="F10" s="3" t="str">
        <x:f>IF(초입!C10="","",초입!C10)</x:f>
        <x:v/>
      </x:c>
      <x:c r="G10" s="3">
        <x:f>IF(초입!D10="","",초입!D10)</x:f>
        <x:v>3</x:v>
      </x:c>
      <x:c r="H10" s="3" t="str">
        <x:f>IF(초입!E10="","",초입!E10)</x:f>
        <x:v>김로건</x:v>
      </x:c>
      <x:c r="I10" s="3" t="str">
        <x:f>IF(초입!F10="","",초입!F10)</x:f>
        <x:v>남</x:v>
      </x:c>
      <x:c r="J10" s="3" t="str">
        <x:f>IF(초입!G10="","",초입!G10)</x:f>
        <x:v>2020.10.12.</x:v>
      </x:c>
      <x:c r="K10" s="3" t="str">
        <x:f>IF(초입!J10="","",초입!J10)</x:f>
        <x:v>자폐성장애</x:v>
      </x:c>
      <x:c r="L10" s="3" t="str">
        <x:f>IF(초입!K10="","",초입!K10)</x:f>
        <x:v>자폐성장애</x:v>
      </x:c>
      <x:c r="M10" s="3" t="str">
        <x:f>IF(초입!L10="","",초입!L10)</x:f>
        <x:v>중증</x:v>
      </x:c>
      <x:c r="N10" s="3" t="str">
        <x:f>IF(초입!AF10="","","1. "&amp;초입!AF10&amp;IF(초입!AI10&lt;&gt;"",CHAR(10)&amp;"2. "&amp;초입!AI10,"")&amp;IF(초입!AL10&lt;&gt;"",CHAR(10)&amp;"3. "&amp;초입!AL10,""))</x:f>
        <x:v/>
      </x:c>
      <x:c r="O10" s="3" t="str">
        <x:f>IF(초입!AG10="","",초입!AG10&amp;IF(초입!AJ10&lt;&gt;"",CHAR(10)&amp;초입!AJ10,"")&amp;IF(초입!AM10&lt;&gt;"",CHAR(10)&amp;초입!AM10,""))</x:f>
        <x:v/>
      </x:c>
      <x:c r="P10" s="3" t="str">
        <x:f>IF(초입!AH10="","",초입!AH10&amp;IF(초입!AK10&lt;&gt;"",CHAR(10)&amp;초입!AK10,"")&amp;IF(초입!AN10&lt;&gt;"",CHAR(10)&amp;초입!AN10,""))</x:f>
        <x:v/>
      </x:c>
      <x:c r="Q10" s="3" t="str">
        <x:f>IF(초입!AO10="","",초입!AO10)</x:f>
        <x:v>□ 복지카드: 자폐성장애 중증(~2029.10.10.)</x:v>
      </x:c>
      <x:c r="R10" s="3" t="str">
        <x:f>IF(초입!AP10="","",초입!AP10)</x:f>
        <x:v/>
      </x:c>
      <x:c r="S10" s="3" t="str">
        <x:f>IF(초입!AD10="","",초입!AD10)</x:f>
        <x:v>010-5350-1095</x:v>
      </x:c>
      <x:c r="T10" s="3" t="str">
        <x:f>IF(초입!AE10="","",초입!AE10)</x:f>
        <x:v/>
      </x:c>
      <x:c r="U10" s="3" t="str">
        <x:f>IF(초입!M10="","",초입!M10)</x:f>
        <x:v>경기도 남양주시 화도읍 북한강로 1503번길2, 2층</x:v>
      </x:c>
      <x:c r="V10" s="7"/>
      <x:c r="W10" s="7"/>
      <x:c r="X10" s="7"/>
    </x:row>
    <x:row r="11" spans="1:24" customFormat="1" ht="26.35000000000000142109" hidden="1">
      <x:c r="A11" s="3"/>
      <x:c r="B11" s="3" t="s">
        <x:v>194</x:v>
      </x:c>
      <x:c r="C11" s="3" t="str">
        <x:f>IF(초입!H11&lt;&gt;"","O","")</x:f>
        <x:v/>
      </x:c>
      <x:c r="D11" s="3" t="str">
        <x:f>IF(초입!I11&lt;&gt;"","O","")</x:f>
        <x:v>O</x:v>
      </x:c>
      <x:c r="E11" s="3" t="str">
        <x:f>초입!B11</x:f>
        <x:v>장현새싹어린이집</x:v>
      </x:c>
      <x:c r="F11" s="3" t="str">
        <x:f>IF(초입!C11="","",초입!C11)</x:f>
        <x:v/>
      </x:c>
      <x:c r="G11" s="3">
        <x:f>IF(초입!D11="","",초입!D11)</x:f>
        <x:v>3</x:v>
      </x:c>
      <x:c r="H11" s="3" t="str">
        <x:f>IF(초입!E11="","",초입!E11)</x:f>
        <x:v>오태희</x:v>
      </x:c>
      <x:c r="I11" s="3" t="str">
        <x:f>IF(초입!F11="","",초입!F11)</x:f>
        <x:v>여</x:v>
      </x:c>
      <x:c r="J11" s="3" t="str">
        <x:f>IF(초입!G11="","",초입!G11)</x:f>
        <x:v>2020.04.17.</x:v>
      </x:c>
      <x:c r="K11" s="3" t="str">
        <x:f>IF(초입!J11="","",초입!J11)</x:f>
        <x:v>발달지체</x:v>
      </x:c>
      <x:c r="L11" s="3" t="str">
        <x:f>IF(초입!K11="","",초입!K11)</x:f>
        <x:v/>
      </x:c>
      <x:c r="M11" s="3" t="str">
        <x:f>IF(초입!L11="","",초입!L11)</x:f>
        <x:v/>
      </x:c>
      <x:c r="N11" s="3" t="str">
        <x:f>IF(초입!AF11="","","1. "&amp;초입!AF11&amp;IF(초입!AI11&lt;&gt;"",CHAR(10)&amp;"2. "&amp;초입!AI11,"")&amp;IF(초입!AL11&lt;&gt;"",CHAR(10)&amp;"3. "&amp;초입!AL11,""))</x:f>
        <x:v/>
      </x:c>
      <x:c r="O11" s="3" t="str">
        <x:f>IF(초입!AG11="","",초입!AG11&amp;IF(초입!AJ11&lt;&gt;"",CHAR(10)&amp;초입!AJ11,"")&amp;IF(초입!AM11&lt;&gt;"",CHAR(10)&amp;초입!AM11,""))</x:f>
        <x:v/>
      </x:c>
      <x:c r="P11" s="3" t="str">
        <x:f>IF(초입!AH11="","",초입!AH11&amp;IF(초입!AK11&lt;&gt;"",CHAR(10)&amp;초입!AK11,"")&amp;IF(초입!AN11&lt;&gt;"",CHAR(10)&amp;초입!AN11,""))</x:f>
        <x:v/>
      </x:c>
      <x:c r="Q11" s="3" t="str">
        <x:f>IF(초입!AO11="","",초입!AO11)</x:f>
        <x:v>진단평가 필요</x:v>
      </x:c>
      <x:c r="R11" s="3" t="str">
        <x:f>IF(초입!AP11="","",초입!AP11)</x:f>
        <x:v/>
      </x:c>
      <x:c r="S11" s="3" t="str">
        <x:f>IF(초입!AD11="","",초입!AD11)</x:f>
        <x:v>010-2895-1244</x:v>
      </x:c>
      <x:c r="T11" s="3" t="str">
        <x:f>IF(초입!AE11="","",초입!AE11)</x:f>
        <x:v/>
      </x:c>
      <x:c r="U11" s="3" t="str">
        <x:f>IF(초입!M11="","",초입!M11)</x:f>
        <x:v>경기도 남양주시 진접읍 장현로 87번길 9, 남양주택 라동 403호</x:v>
      </x:c>
      <x:c r="V11" s="7"/>
      <x:c r="W11" s="7"/>
      <x:c r="X11" s="7"/>
    </x:row>
    <x:row r="12" spans="1:24" customFormat="1" ht="105.40000000000000568434">
      <x:c r="A12" s="3">
        <x:f>SUBTOTAL(103,$N$6:N12)</x:f>
        <x:v>2</x:v>
      </x:c>
      <x:c r="B12" s="3" t="s">
        <x:v>194</x:v>
      </x:c>
      <x:c r="C12" s="3" t="str">
        <x:f>IF(초입!H12&lt;&gt;"","O","")</x:f>
        <x:v/>
      </x:c>
      <x:c r="D12" s="3" t="str">
        <x:f>IF(초입!I12&lt;&gt;"","O","")</x:f>
        <x:v>O</x:v>
      </x:c>
      <x:c r="E12" s="3" t="str">
        <x:f>초입!B12</x:f>
        <x:v>구리시립갈매어린이집</x:v>
      </x:c>
      <x:c r="F12" s="3" t="str">
        <x:f>IF(초입!C12="","",초입!C12)</x:f>
        <x:v/>
      </x:c>
      <x:c r="G12" s="3">
        <x:f>IF(초입!D12="","",초입!D12)</x:f>
        <x:v>3</x:v>
      </x:c>
      <x:c r="H12" s="3" t="str">
        <x:f>IF(초입!E12="","",초입!E12)</x:f>
        <x:v>이인규</x:v>
      </x:c>
      <x:c r="I12" s="3" t="str">
        <x:f>IF(초입!F12="","",초입!F12)</x:f>
        <x:v>남</x:v>
      </x:c>
      <x:c r="J12" s="3" t="str">
        <x:f>IF(초입!G12="","",초입!G12)</x:f>
        <x:v>2020.11.12.</x:v>
      </x:c>
      <x:c r="K12" s="3" t="str">
        <x:f>IF(초입!J12="","",초입!J12)</x:f>
        <x:v>의사소통장애
(지적장애 범주이나, 검사결과 신뢰X, 발달지체?, 심층관찰 시 자폐 성향)</x:v>
      </x:c>
      <x:c r="L12" s="3" t="str">
        <x:f>IF(초입!K12="","",초입!K12)</x:f>
        <x:v/>
      </x:c>
      <x:c r="M12" s="3" t="str">
        <x:f>IF(초입!L12="","",초입!L12)</x:f>
        <x:v/>
      </x:c>
      <x:c r="N12" s="3" t="str">
        <x:f>IF(초입!AG12="","","1. "&amp;초입!AG12&amp;IF(초입!AJ12&lt;&gt;"",CHAR(10)&amp;"2. "&amp;초입!AJ12,"")&amp;IF(초입!AM12&lt;&gt;"",CHAR(10)&amp;"3. "&amp;초입!AM12,""))</x:f>
        <x:v>1. 경은학교
2. 복합특수학급 신설</x:v>
      </x:c>
      <x:c r="O12" s="3" t="str">
        <x:f>IF(초입!AF12="","",초입!AF12&amp;IF(초입!AI12&lt;&gt;"",CHAR(10)&amp;초입!AI12,"")&amp;IF(초입!AL12&lt;&gt;"",CHAR(10)&amp;초입!AL12,""))</x:f>
        <x:v>구리남양주
구리남양주</x:v>
      </x:c>
      <x:c r="P12" s="3" t="str">
        <x:f>IF(초입!AH12="","",초입!AH12&amp;IF(초입!AK12&lt;&gt;"",CHAR(10)&amp;초입!AK12,"")&amp;IF(초입!AN12&lt;&gt;"",CHAR(10)&amp;초입!AN12,""))</x:f>
        <x:v>특수학교
복합특수학급</x:v>
      </x:c>
      <x:c r="Q12" s="3" t="str">
        <x:f>IF(초입!AO12="","",초입!AO12)</x:f>
        <x:v>※2026년 7월 9일 검사 실시
□K-WPPSI-IV: 전체IQ 40 (언어이해 45, 시공간 79, 유동추론 45,        
  작업기억 45, 처리속도 45/매우 낮음)
□적응행동검사: 표준점수 54(상당히 저조한 수준)
□사회성숙도: SA 1세 11개월, SQ 35.30(중등도)</x:v>
      </x:c>
      <x:c r="R12" s="3" t="str">
        <x:f>IF(초입!AP12="","",초입!AP12)</x:f>
        <x:v/>
      </x:c>
      <x:c r="S12" s="3" t="str">
        <x:f>IF(초입!AD12="","",초입!AD12)</x:f>
        <x:v>010-4397-1648</x:v>
      </x:c>
      <x:c r="T12" s="3" t="str">
        <x:f>IF(초입!AE12="","",초입!AE12)</x:f>
        <x:v/>
      </x:c>
      <x:c r="U12" s="3" t="str">
        <x:f>IF(초입!M12="","",초입!M12)</x:f>
        <x:v>경기도 남양주시 퇴계원읍 도제원로 89-1, 102동 301호(삼성하이츠)</x:v>
      </x:c>
      <x:c r="V12" s="7"/>
      <x:c r="W12" s="7"/>
      <x:c r="X12" s="7"/>
    </x:row>
    <x:row r="13" spans="1:24" customFormat="1" ht="52.70000000000000284217" hidden="1">
      <x:c r="A13" s="3"/>
      <x:c r="B13" s="3" t="s">
        <x:v>194</x:v>
      </x:c>
      <x:c r="C13" s="3" t="str">
        <x:f>IF(초입!H13&lt;&gt;"","O","")</x:f>
        <x:v/>
      </x:c>
      <x:c r="D13" s="3" t="str">
        <x:f>IF(초입!I13&lt;&gt;"","O","")</x:f>
        <x:v>O</x:v>
      </x:c>
      <x:c r="E13" s="3" t="str">
        <x:f>초입!B13</x:f>
        <x:v>다산아이사랑어린이집</x:v>
      </x:c>
      <x:c r="F13" s="3" t="str">
        <x:f>IF(초입!C13="","",초입!C13)</x:f>
        <x:v/>
      </x:c>
      <x:c r="G13" s="3">
        <x:f>IF(초입!D13="","",초입!D13)</x:f>
        <x:v>3</x:v>
      </x:c>
      <x:c r="H13" s="3" t="str">
        <x:f>IF(초입!E13="","",초입!E13)</x:f>
        <x:v>정이안</x:v>
      </x:c>
      <x:c r="I13" s="3" t="str">
        <x:f>IF(초입!F13="","",초입!F13)</x:f>
        <x:v>여</x:v>
      </x:c>
      <x:c r="J13" s="3" t="str">
        <x:f>IF(초입!G13="","",초입!G13)</x:f>
        <x:v>2020.08.10.</x:v>
      </x:c>
      <x:c r="K13" s="3" t="str">
        <x:f>IF(초입!J13="","",초입!J13)</x:f>
        <x:v>자폐성장애</x:v>
      </x:c>
      <x:c r="L13" s="3" t="str">
        <x:f>IF(초입!K13="","",초입!K13)</x:f>
        <x:v>발급중</x:v>
      </x:c>
      <x:c r="M13" s="3" t="str">
        <x:f>IF(초입!L13="","",초입!L13)</x:f>
        <x:v/>
      </x:c>
      <x:c r="N13" s="3" t="str">
        <x:f>IF(초입!AF13="","","1. "&amp;초입!AF13&amp;IF(초입!AI13&lt;&gt;"",CHAR(10)&amp;"2. "&amp;초입!AI13,"")&amp;IF(초입!AL13&lt;&gt;"",CHAR(10)&amp;"3. "&amp;초입!AL13,""))</x:f>
        <x:v/>
      </x:c>
      <x:c r="O13" s="3" t="str">
        <x:f>IF(초입!AG13="","",초입!AG13&amp;IF(초입!AJ13&lt;&gt;"",CHAR(10)&amp;초입!AJ13,"")&amp;IF(초입!AM13&lt;&gt;"",CHAR(10)&amp;초입!AM13,""))</x:f>
        <x:v/>
      </x:c>
      <x:c r="P13" s="3" t="str">
        <x:f>IF(초입!AH13="","",초입!AH13&amp;IF(초입!AK13&lt;&gt;"",CHAR(10)&amp;초입!AK13,"")&amp;IF(초입!AN13&lt;&gt;"",CHAR(10)&amp;초입!AN13,""))</x:f>
        <x:v/>
      </x:c>
      <x:c r="Q13" s="3" t="str">
        <x:f>IF(초입!AO13="","",초입!AO13)</x:f>
        <x:v>※ 6월 중 복지카드 발급 예정 / 7월중말로 연기</x:v>
      </x:c>
      <x:c r="R13" s="3" t="str">
        <x:f>IF(초입!AP13="","",초입!AP13)</x:f>
        <x:v>*비장애 쌍둥이와 동일교 배치 희망
*2027년 1~2월 중 이사 예정, 그러나 이사 예정지와 입주일이 불명확하여 10월 말까지 계약서가 나오면 별도 연락주기로 함.</x:v>
      </x:c>
      <x:c r="S13" s="3" t="str">
        <x:f>IF(초입!AD13="","",초입!AD13)</x:f>
        <x:v>010-6641-1224</x:v>
      </x:c>
      <x:c r="T13" s="3" t="str">
        <x:f>IF(초입!AE13="","",초입!AE13)</x:f>
        <x:v/>
      </x:c>
      <x:c r="U13" s="3" t="str">
        <x:f>IF(초입!M13="","",초입!M13)</x:f>
        <x:v>경기도 남양주시 다산중앙로82번길 12, 5302동 2502호(다산자연앤 이편한세상 3차)</x:v>
      </x:c>
      <x:c r="V13" s="7"/>
      <x:c r="W13" s="7"/>
      <x:c r="X13" s="7"/>
    </x:row>
    <x:row r="14" spans="1:24" customFormat="1" ht="26.35000000000000142109" hidden="1">
      <x:c r="A14" s="3"/>
      <x:c r="B14" s="3" t="s">
        <x:v>194</x:v>
      </x:c>
      <x:c r="C14" s="3" t="str">
        <x:f>IF(초입!H14&lt;&gt;"","O","")</x:f>
        <x:v/>
      </x:c>
      <x:c r="D14" s="3" t="str">
        <x:f>IF(초입!I14&lt;&gt;"","O","")</x:f>
        <x:v>O</x:v>
      </x:c>
      <x:c r="E14" s="3" t="str">
        <x:f>초입!B14</x:f>
        <x:v>시립호평어린이집</x:v>
      </x:c>
      <x:c r="F14" s="3" t="str">
        <x:f>IF(초입!C14="","",초입!C14)</x:f>
        <x:v/>
      </x:c>
      <x:c r="G14" s="3">
        <x:f>IF(초입!D14="","",초입!D14)</x:f>
        <x:v>3</x:v>
      </x:c>
      <x:c r="H14" s="3" t="str">
        <x:f>IF(초입!E14="","",초입!E14)</x:f>
        <x:v>김다원</x:v>
      </x:c>
      <x:c r="I14" s="3" t="str">
        <x:f>IF(초입!F14="","",초입!F14)</x:f>
        <x:v>남</x:v>
      </x:c>
      <x:c r="J14" s="3" t="str">
        <x:f>IF(초입!G14="","",초입!G14)</x:f>
        <x:v>2020.08.09.</x:v>
      </x:c>
      <x:c r="K14" s="3" t="str">
        <x:f>IF(초입!J14="","",초입!J14)</x:f>
        <x:v>청각장애</x:v>
      </x:c>
      <x:c r="L14" s="3" t="str">
        <x:f>IF(초입!K14="","",초입!K14)</x:f>
        <x:v>청각장애</x:v>
      </x:c>
      <x:c r="M14" s="3" t="str">
        <x:f>IF(초입!L14="","",초입!L14)</x:f>
        <x:v>중증</x:v>
      </x:c>
      <x:c r="N14" s="3" t="str">
        <x:f>IF(초입!AF14="","","1. "&amp;초입!AF14&amp;IF(초입!AI14&lt;&gt;"",CHAR(10)&amp;"2. "&amp;초입!AI14,"")&amp;IF(초입!AL14&lt;&gt;"",CHAR(10)&amp;"3. "&amp;초입!AL14,""))</x:f>
        <x:v/>
      </x:c>
      <x:c r="O14" s="3" t="str">
        <x:f>IF(초입!AG14="","",초입!AG14&amp;IF(초입!AJ14&lt;&gt;"",CHAR(10)&amp;초입!AJ14,"")&amp;IF(초입!AM14&lt;&gt;"",CHAR(10)&amp;초입!AM14,""))</x:f>
        <x:v/>
      </x:c>
      <x:c r="P14" s="3" t="str">
        <x:f>IF(초입!AH14="","",초입!AH14&amp;IF(초입!AK14&lt;&gt;"",CHAR(10)&amp;초입!AK14,"")&amp;IF(초입!AN14&lt;&gt;"",CHAR(10)&amp;초입!AN14,""))</x:f>
        <x:v/>
      </x:c>
      <x:c r="Q14" s="3" t="str">
        <x:f>IF(초입!AO14="","",초입!AO14)</x:f>
        <x:v>□ 복지카드: 청각장애 중증(유효기한 없음)</x:v>
      </x:c>
      <x:c r="R14" s="3" t="str">
        <x:f>IF(초입!AP14="","",초입!AP14)</x:f>
        <x:v/>
      </x:c>
      <x:c r="S14" s="3" t="str">
        <x:f>IF(초입!AD14="","",초입!AD14)</x:f>
        <x:v>010-9220-1146</x:v>
      </x:c>
      <x:c r="T14" s="3" t="str">
        <x:f>IF(초입!AE14="","",초입!AE14)</x:f>
        <x:v/>
      </x:c>
      <x:c r="U14" s="3" t="str">
        <x:f>IF(초입!M14="","",초입!M14)</x:f>
        <x:v>경기도 남양주시 평내로 104, 1905동 503호</x:v>
      </x:c>
      <x:c r="V14" s="7"/>
      <x:c r="W14" s="7"/>
      <x:c r="X14" s="7"/>
    </x:row>
    <x:row r="15" spans="1:24" customFormat="1" ht="26.35000000000000142109" hidden="1">
      <x:c r="A15" s="3"/>
      <x:c r="B15" s="3" t="s">
        <x:v>194</x:v>
      </x:c>
      <x:c r="C15" s="3" t="str">
        <x:f>IF(초입!H15&lt;&gt;"","O","")</x:f>
        <x:v/>
      </x:c>
      <x:c r="D15" s="3" t="str">
        <x:f>IF(초입!I15&lt;&gt;"","O","")</x:f>
        <x:v>O</x:v>
      </x:c>
      <x:c r="E15" s="3" t="str">
        <x:f>초입!B15</x:f>
        <x:v>하람어린이집</x:v>
      </x:c>
      <x:c r="F15" s="3" t="str">
        <x:f>IF(초입!C15="","",초입!C15)</x:f>
        <x:v/>
      </x:c>
      <x:c r="G15" s="3">
        <x:f>IF(초입!D15="","",초입!D15)</x:f>
        <x:v>3</x:v>
      </x:c>
      <x:c r="H15" s="3" t="str">
        <x:f>IF(초입!E15="","",초입!E15)</x:f>
        <x:v>김하건</x:v>
      </x:c>
      <x:c r="I15" s="3" t="str">
        <x:f>IF(초입!F15="","",초입!F15)</x:f>
        <x:v>남</x:v>
      </x:c>
      <x:c r="J15" s="3" t="str">
        <x:f>IF(초입!G15="","",초입!G15)</x:f>
        <x:v>2020.07.16.</x:v>
      </x:c>
      <x:c r="K15" s="3" t="str">
        <x:f>IF(초입!J15="","",초입!J15)</x:f>
        <x:v>자폐성장애</x:v>
      </x:c>
      <x:c r="L15" s="3" t="str">
        <x:f>IF(초입!K15="","",초입!K15)</x:f>
        <x:v>자폐성장애</x:v>
      </x:c>
      <x:c r="M15" s="3" t="str">
        <x:f>IF(초입!L15="","",초입!L15)</x:f>
        <x:v>중증</x:v>
      </x:c>
      <x:c r="N15" s="3" t="str">
        <x:f>IF(초입!AF15="","","1. "&amp;초입!AF15&amp;IF(초입!AI15&lt;&gt;"",CHAR(10)&amp;"2. "&amp;초입!AI15,"")&amp;IF(초입!AL15&lt;&gt;"",CHAR(10)&amp;"3. "&amp;초입!AL15,""))</x:f>
        <x:v/>
      </x:c>
      <x:c r="O15" s="3" t="str">
        <x:f>IF(초입!AG15="","",초입!AG15&amp;IF(초입!AJ15&lt;&gt;"",CHAR(10)&amp;초입!AJ15,"")&amp;IF(초입!AM15&lt;&gt;"",CHAR(10)&amp;초입!AM15,""))</x:f>
        <x:v/>
      </x:c>
      <x:c r="P15" s="3" t="str">
        <x:f>IF(초입!AH15="","",초입!AH15&amp;IF(초입!AK15&lt;&gt;"",CHAR(10)&amp;초입!AK15,"")&amp;IF(초입!AN15&lt;&gt;"",CHAR(10)&amp;초입!AN15,""))</x:f>
        <x:v/>
      </x:c>
      <x:c r="Q15" s="3" t="str">
        <x:f>IF(초입!AO15="","",초입!AO15)</x:f>
        <x:v>□ 복지카드: 자폐성장애 중증(~2029.06.21.)</x:v>
      </x:c>
      <x:c r="R15" s="3" t="str">
        <x:f>IF(초입!AP15="","",초입!AP15)</x:f>
        <x:v/>
      </x:c>
      <x:c r="S15" s="3" t="str">
        <x:f>IF(초입!AD15="","",초입!AD15)</x:f>
        <x:v>010-4714-7728</x:v>
      </x:c>
      <x:c r="T15" s="3" t="str">
        <x:f>IF(초입!AE15="","",초입!AE15)</x:f>
        <x:v/>
      </x:c>
      <x:c r="U15" s="3" t="str">
        <x:f>IF(초입!M15="","",초입!M15)</x:f>
        <x:v>경기도 구리시 산마루로 46, 409동 1302호</x:v>
      </x:c>
      <x:c r="V15" s="7"/>
      <x:c r="W15" s="7"/>
      <x:c r="X15" s="7"/>
    </x:row>
    <x:row r="16" spans="1:24" customFormat="1" ht="26.35000000000000142109">
      <x:c r="A16" s="3">
        <x:f>SUBTOTAL(103,$N$6:N16)</x:f>
        <x:v>3</x:v>
      </x:c>
      <x:c r="B16" s="3" t="s">
        <x:v>194</x:v>
      </x:c>
      <x:c r="C16" s="3" t="str">
        <x:f>IF(초입!H16&lt;&gt;"","O","")</x:f>
        <x:v/>
      </x:c>
      <x:c r="D16" s="3" t="str">
        <x:f>IF(초입!I16&lt;&gt;"","O","")</x:f>
        <x:v>O</x:v>
      </x:c>
      <x:c r="E16" s="3" t="str">
        <x:f>초입!B16</x:f>
        <x:v>오남복지어린이집</x:v>
      </x:c>
      <x:c r="F16" s="3" t="str">
        <x:f>IF(초입!C16="","",초입!C16)</x:f>
        <x:v/>
      </x:c>
      <x:c r="G16" s="3">
        <x:f>IF(초입!D16="","",초입!D16)</x:f>
        <x:v>3</x:v>
      </x:c>
      <x:c r="H16" s="3" t="str">
        <x:f>IF(초입!E16="","",초입!E16)</x:f>
        <x:v>이지오</x:v>
      </x:c>
      <x:c r="I16" s="3" t="str">
        <x:f>IF(초입!F16="","",초입!F16)</x:f>
        <x:v>남</x:v>
      </x:c>
      <x:c r="J16" s="3" t="str">
        <x:f>IF(초입!G16="","",초입!G16)</x:f>
        <x:v>2020.04.23.</x:v>
      </x:c>
      <x:c r="K16" s="3" t="str">
        <x:f>IF(초입!J16="","",초입!J16)</x:f>
        <x:v>자폐성장애</x:v>
      </x:c>
      <x:c r="L16" s="3" t="str">
        <x:f>IF(초입!K16="","",초입!K16)</x:f>
        <x:v>자폐성장애</x:v>
      </x:c>
      <x:c r="M16" s="3" t="str">
        <x:f>IF(초입!L16="","",초입!L16)</x:f>
        <x:v>중증</x:v>
      </x:c>
      <x:c r="N16" s="3" t="str">
        <x:f>IF(초입!AG16="","","1. "&amp;초입!AG16&amp;IF(초입!AJ16&lt;&gt;"",CHAR(10)&amp;"2. "&amp;초입!AJ16,"")&amp;IF(초입!AM16&lt;&gt;"",CHAR(10)&amp;"3. "&amp;초입!AM16,""))</x:f>
        <x:v xml:space="preserve">1. 복합특수학급 신설 </x:v>
      </x:c>
      <x:c r="O16" s="3" t="str">
        <x:f>IF(초입!AF16="","",초입!AF16&amp;IF(초입!AI16&lt;&gt;"",CHAR(10)&amp;초입!AI16,"")&amp;IF(초입!AL16&lt;&gt;"",CHAR(10)&amp;초입!AL16,""))</x:f>
        <x:v>구리남양주</x:v>
      </x:c>
      <x:c r="P16" s="3" t="str">
        <x:f>IF(초입!AH16="","",초입!AH16&amp;IF(초입!AK16&lt;&gt;"",CHAR(10)&amp;초입!AK16,"")&amp;IF(초입!AN16&lt;&gt;"",CHAR(10)&amp;초입!AN16,""))</x:f>
        <x:v>복합특수학급</x:v>
      </x:c>
      <x:c r="Q16" s="3" t="str">
        <x:f>IF(초입!AO16="","",초입!AO16)</x:f>
        <x:v>□ 복지카드: 자폐성장애 중증(~2032.02.26.)</x:v>
      </x:c>
      <x:c r="R16" s="3" t="str">
        <x:f>IF(초입!AP16="","",초입!AP16)</x:f>
        <x:v/>
      </x:c>
      <x:c r="S16" s="3" t="str">
        <x:f>IF(초입!AD16="","",초입!AD16)</x:f>
        <x:v>010-8899-3796</x:v>
      </x:c>
      <x:c r="T16" s="3" t="str">
        <x:f>IF(초입!AE16="","",초입!AE16)</x:f>
        <x:v/>
      </x:c>
      <x:c r="U16" s="3" t="str">
        <x:f>IF(초입!M16="","",초입!M16)</x:f>
        <x:v>경기도 남양주시 오남읍 진건오남로759번길 5, 101동 207호(보영아파트)</x:v>
      </x:c>
      <x:c r="V16" s="7"/>
      <x:c r="W16" s="7"/>
      <x:c r="X16" s="7"/>
    </x:row>
    <x:row r="17" spans="1:24" customFormat="1" ht="39" customHeight="1">
      <x:c r="A17" s="3">
        <x:f>SUBTOTAL(103,$N$6:N17)</x:f>
        <x:v>4</x:v>
      </x:c>
      <x:c r="B17" s="3" t="s">
        <x:v>194</x:v>
      </x:c>
      <x:c r="C17" s="3" t="str">
        <x:f>IF(초입!H17&lt;&gt;"","O","")</x:f>
        <x:v/>
      </x:c>
      <x:c r="D17" s="3" t="str">
        <x:f>IF(초입!I17&lt;&gt;"","O","")</x:f>
        <x:v>O</x:v>
      </x:c>
      <x:c r="E17" s="3" t="str">
        <x:f>초입!B17</x:f>
        <x:v>시립미사어린이집</x:v>
      </x:c>
      <x:c r="F17" s="3" t="str">
        <x:f>IF(초입!C17="","",초입!C17)</x:f>
        <x:v/>
      </x:c>
      <x:c r="G17" s="3">
        <x:f>IF(초입!D17="","",초입!D17)</x:f>
        <x:v>3</x:v>
      </x:c>
      <x:c r="H17" s="3" t="str">
        <x:f>IF(초입!E17="","",초입!E17)</x:f>
        <x:v>한준영</x:v>
      </x:c>
      <x:c r="I17" s="3" t="str">
        <x:f>IF(초입!F17="","",초입!F17)</x:f>
        <x:v>남</x:v>
      </x:c>
      <x:c r="J17" s="3" t="str">
        <x:f>IF(초입!G17="","",초입!G17)</x:f>
        <x:v>2020.04.07.</x:v>
      </x:c>
      <x:c r="K17" s="3" t="str">
        <x:f>IF(초입!J17="","",초입!J17)</x:f>
        <x:v>지적장애
(중도중복 가능)</x:v>
      </x:c>
      <x:c r="L17" s="3" t="str">
        <x:f>IF(초입!K17="","",초입!K17)</x:f>
        <x:v>지적·뇌병변장애</x:v>
      </x:c>
      <x:c r="M17" s="3" t="str">
        <x:f>IF(초입!L17="","",초입!L17)</x:f>
        <x:v>중증</x:v>
      </x:c>
      <x:c r="N17" s="3" t="str">
        <x:f>IF(초입!AG17="","","1. "&amp;초입!AG17&amp;IF(초입!AJ17&lt;&gt;"",CHAR(10)&amp;"2. "&amp;초입!AJ17,"")&amp;IF(초입!AM17&lt;&gt;"",CHAR(10)&amp;"3. "&amp;초입!AM17,""))</x:f>
        <x:v>1. 경은학교
2. 송민학교</x:v>
      </x:c>
      <x:c r="O17" s="3" t="str">
        <x:f>IF(초입!AF17="","",초입!AF17&amp;IF(초입!AI17&lt;&gt;"",CHAR(10)&amp;초입!AI17,"")&amp;IF(초입!AL17&lt;&gt;"",CHAR(10)&amp;초입!AL17,""))</x:f>
        <x:v>구리남양주
의정부</x:v>
      </x:c>
      <x:c r="P17" s="3" t="str">
        <x:f>IF(초입!AH17="","",초입!AH17&amp;IF(초입!AK17&lt;&gt;"",CHAR(10)&amp;초입!AK17,"")&amp;IF(초입!AN17&lt;&gt;"",CHAR(10)&amp;초입!AN17,""))</x:f>
        <x:v>특수학교
특수학교</x:v>
      </x:c>
      <x:c r="Q17" s="3" t="str">
        <x:f>IF(초입!AO17="","",초입!AO17)</x:f>
        <x:v>□ 복지카드: 지적·뇌병변장애 중증(~2027.11.09.)
□ 장애인증명서 지적(심한), 뇌병변(심한) 제출</x:v>
      </x:c>
      <x:c r="R17" s="3" t="str">
        <x:f>IF(초입!AP17="","",초입!AP17)</x:f>
        <x:v>특수학교 입학 불가 시 유예 희망</x:v>
      </x:c>
      <x:c r="S17" s="3" t="str">
        <x:f>IF(초입!AD17="","",초입!AD17)</x:f>
        <x:v>010-5219-0736</x:v>
      </x:c>
      <x:c r="T17" s="3" t="str">
        <x:f>IF(초입!AE17="","",초입!AE17)</x:f>
        <x:v/>
      </x:c>
      <x:c r="U17" s="3" t="str">
        <x:f>IF(초입!M17="","",초입!M17)</x:f>
        <x:v>경기도 남양주시 천마산로12번길 19-10, 101동 404호(메종드힐)</x:v>
      </x:c>
      <x:c r="V17" s="7"/>
      <x:c r="W17" s="7"/>
      <x:c r="X17" s="7"/>
    </x:row>
    <x:row r="18" spans="1:24" customFormat="1" ht="52.70000000000000284217" hidden="1">
      <x:c r="A18" s="3"/>
      <x:c r="B18" s="3" t="s">
        <x:v>194</x:v>
      </x:c>
      <x:c r="C18" s="3" t="str">
        <x:f>IF(초입!H18&lt;&gt;"","O","")</x:f>
        <x:v/>
      </x:c>
      <x:c r="D18" s="3" t="str">
        <x:f>IF(초입!I18&lt;&gt;"","O","")</x:f>
        <x:v>O</x:v>
      </x:c>
      <x:c r="E18" s="3" t="str">
        <x:f>초입!B18</x:f>
        <x:v>시립진접어린이집</x:v>
      </x:c>
      <x:c r="F18" s="3" t="str">
        <x:f>IF(초입!C18="","",초입!C18)</x:f>
        <x:v/>
      </x:c>
      <x:c r="G18" s="3">
        <x:f>IF(초입!D18="","",초입!D18)</x:f>
        <x:v>3</x:v>
      </x:c>
      <x:c r="H18" s="3" t="str">
        <x:f>IF(초입!E18="","",초입!E18)</x:f>
        <x:v>박준상</x:v>
      </x:c>
      <x:c r="I18" s="3" t="str">
        <x:f>IF(초입!F18="","",초입!F18)</x:f>
        <x:v>남</x:v>
      </x:c>
      <x:c r="J18" s="3" t="str">
        <x:f>IF(초입!G18="","",초입!G18)</x:f>
        <x:v>2020.06.02.</x:v>
      </x:c>
      <x:c r="K18" s="3" t="str">
        <x:f>IF(초입!J18="","",초입!J18)</x:f>
        <x:v>자폐성장애</x:v>
      </x:c>
      <x:c r="L18" s="3" t="str">
        <x:f>IF(초입!K18="","",초입!K18)</x:f>
        <x:v>자폐성장애</x:v>
      </x:c>
      <x:c r="M18" s="3" t="str">
        <x:f>IF(초입!L18="","",초입!L18)</x:f>
        <x:v>중증</x:v>
      </x:c>
      <x:c r="N18" s="3" t="str">
        <x:f>IF(초입!AF18="","","1. "&amp;초입!AF18&amp;IF(초입!AI18&lt;&gt;"",CHAR(10)&amp;"2. "&amp;초입!AI18,"")&amp;IF(초입!AL18&lt;&gt;"",CHAR(10)&amp;"3. "&amp;초입!AL18,""))</x:f>
        <x:v/>
      </x:c>
      <x:c r="O18" s="3" t="str">
        <x:f>IF(초입!AG18="","",초입!AG18&amp;IF(초입!AJ18&lt;&gt;"",CHAR(10)&amp;초입!AJ18,"")&amp;IF(초입!AM18&lt;&gt;"",CHAR(10)&amp;초입!AM18,""))</x:f>
        <x:v/>
      </x:c>
      <x:c r="P18" s="3" t="str">
        <x:f>IF(초입!AH18="","",초입!AH18&amp;IF(초입!AK18&lt;&gt;"",CHAR(10)&amp;초입!AK18,"")&amp;IF(초입!AN18&lt;&gt;"",CHAR(10)&amp;초입!AN18,""))</x:f>
        <x:v/>
      </x:c>
      <x:c r="Q18" s="3" t="str">
        <x:f>IF(초입!AO18="","",초입!AO18)</x:f>
        <x:v>□ 복지카드: 자폐성장애 중증(~2032.05.20.)</x:v>
      </x:c>
      <x:c r="R18" s="3" t="str">
        <x:f>IF(초입!AP18="","",초입!AP18)</x:f>
        <x:v>*장승초에 재학 중인 장애 형제와 동일교 배치 희망
*형제 재학증명서 추가 제출 전화 요청하고 받았음</x:v>
      </x:c>
      <x:c r="S18" s="3" t="str">
        <x:f>IF(초입!AD18="","",초입!AD18)</x:f>
        <x:v>010-8963-3676</x:v>
      </x:c>
      <x:c r="T18" s="3" t="str">
        <x:f>IF(초입!AE18="","",초입!AE18)</x:f>
        <x:v/>
      </x:c>
      <x:c r="U18" s="3" t="str">
        <x:f>IF(초입!M18="","",초입!M18)</x:f>
        <x:v>경기도 남양주시 진접읍 금강로 1530-14, 102동 301호(진접하우스토리)</x:v>
      </x:c>
      <x:c r="V18" s="7"/>
      <x:c r="W18" s="7"/>
      <x:c r="X18" s="7"/>
    </x:row>
    <x:row r="19" spans="1:24" customFormat="1" ht="26.35000000000000142109" hidden="1">
      <x:c r="A19" s="3"/>
      <x:c r="B19" s="3" t="s">
        <x:v>194</x:v>
      </x:c>
      <x:c r="C19" s="3" t="str">
        <x:f>IF(초입!H19&lt;&gt;"","O","")</x:f>
        <x:v/>
      </x:c>
      <x:c r="D19" s="3" t="str">
        <x:f>IF(초입!I19&lt;&gt;"","O","")</x:f>
        <x:v>O</x:v>
      </x:c>
      <x:c r="E19" s="3" t="str">
        <x:f>초입!B19</x:f>
        <x:v>시립다산아이편한어린이집</x:v>
      </x:c>
      <x:c r="F19" s="3" t="str">
        <x:f>IF(초입!C19="","",초입!C19)</x:f>
        <x:v/>
      </x:c>
      <x:c r="G19" s="3">
        <x:f>IF(초입!D19="","",초입!D19)</x:f>
        <x:v>3</x:v>
      </x:c>
      <x:c r="H19" s="3" t="str">
        <x:f>IF(초입!E19="","",초입!E19)</x:f>
        <x:v>윤수아</x:v>
      </x:c>
      <x:c r="I19" s="3" t="str">
        <x:f>IF(초입!F19="","",초입!F19)</x:f>
        <x:v>여</x:v>
      </x:c>
      <x:c r="J19" s="3" t="str">
        <x:f>IF(초입!G19="","",초입!G19)</x:f>
        <x:v>2020.08.13.</x:v>
      </x:c>
      <x:c r="K19" s="3" t="str">
        <x:f>IF(초입!J19="","",초입!J19)</x:f>
        <x:v>자폐성장애</x:v>
      </x:c>
      <x:c r="L19" s="3" t="str">
        <x:f>IF(초입!K19="","",초입!K19)</x:f>
        <x:v>자폐성장애</x:v>
      </x:c>
      <x:c r="M19" s="3" t="str">
        <x:f>IF(초입!L19="","",초입!L19)</x:f>
        <x:v>중증</x:v>
      </x:c>
      <x:c r="N19" s="3" t="str">
        <x:f>IF(초입!AF19="","","1. "&amp;초입!AF19&amp;IF(초입!AI19&lt;&gt;"",CHAR(10)&amp;"2. "&amp;초입!AI19,"")&amp;IF(초입!AL19&lt;&gt;"",CHAR(10)&amp;"3. "&amp;초입!AL19,""))</x:f>
        <x:v/>
      </x:c>
      <x:c r="O19" s="3" t="str">
        <x:f>IF(초입!AG19="","",초입!AG19&amp;IF(초입!AJ19&lt;&gt;"",CHAR(10)&amp;초입!AJ19,"")&amp;IF(초입!AM19&lt;&gt;"",CHAR(10)&amp;초입!AM19,""))</x:f>
        <x:v/>
      </x:c>
      <x:c r="P19" s="3" t="str">
        <x:f>IF(초입!AH19="","",초입!AH19&amp;IF(초입!AK19&lt;&gt;"",CHAR(10)&amp;초입!AK19,"")&amp;IF(초입!AN19&lt;&gt;"",CHAR(10)&amp;초입!AN19,""))</x:f>
        <x:v/>
      </x:c>
      <x:c r="Q19" s="3" t="str">
        <x:f>IF(초입!AO19="","",초입!AO19)</x:f>
        <x:v>□ 복지카드: 자폐성장애 중증(~2032.02.16.)</x:v>
      </x:c>
      <x:c r="R19" s="3" t="str">
        <x:f>IF(초입!AP19="","",초입!AP19)</x:f>
        <x:v/>
      </x:c>
      <x:c r="S19" s="3" t="str">
        <x:f>IF(초입!AD19="","",초입!AD19)</x:f>
        <x:v>010-4760-2025</x:v>
      </x:c>
      <x:c r="T19" s="3" t="str">
        <x:f>IF(초입!AE19="","",초입!AE19)</x:f>
        <x:v/>
      </x:c>
      <x:c r="U19" s="3" t="str">
        <x:f>IF(초입!M19="","",초입!M19)</x:f>
        <x:v>경기도 남양주시 다산중앙로 82번안길 74, 605동 305호(다산푸르지오)</x:v>
      </x:c>
      <x:c r="V19" s="7"/>
      <x:c r="W19" s="7"/>
      <x:c r="X19" s="7"/>
    </x:row>
    <x:row r="20" spans="1:24" customFormat="1" ht="39.54999999999999715783" hidden="1">
      <x:c r="A20" s="3"/>
      <x:c r="B20" s="3" t="s">
        <x:v>194</x:v>
      </x:c>
      <x:c r="C20" s="3" t="str">
        <x:f>IF(초입!H20&lt;&gt;"","O","")</x:f>
        <x:v/>
      </x:c>
      <x:c r="D20" s="3" t="str">
        <x:f>IF(초입!I20&lt;&gt;"","O","")</x:f>
        <x:v>O</x:v>
      </x:c>
      <x:c r="E20" s="3" t="str">
        <x:f>초입!B20</x:f>
        <x:v>무지개유치원</x:v>
      </x:c>
      <x:c r="F20" s="3" t="str">
        <x:f>IF(초입!C20="","",초입!C20)</x:f>
        <x:v/>
      </x:c>
      <x:c r="G20" s="3">
        <x:f>IF(초입!D20="","",초입!D20)</x:f>
        <x:v>3</x:v>
      </x:c>
      <x:c r="H20" s="3" t="str">
        <x:f>IF(초입!E20="","",초입!E20)</x:f>
        <x:v>김서진</x:v>
      </x:c>
      <x:c r="I20" s="3" t="str">
        <x:f>IF(초입!F20="","",초입!F20)</x:f>
        <x:v>남</x:v>
      </x:c>
      <x:c r="J20" s="3" t="str">
        <x:f>IF(초입!G20="","",초입!G20)</x:f>
        <x:v>2020.11.12.</x:v>
      </x:c>
      <x:c r="K20" s="3" t="str">
        <x:f>IF(초입!J20="","",초입!J20)</x:f>
        <x:v>발달지체</x:v>
      </x:c>
      <x:c r="L20" s="3" t="str">
        <x:f>IF(초입!K20="","",초입!K20)</x:f>
        <x:v/>
      </x:c>
      <x:c r="M20" s="3" t="str">
        <x:f>IF(초입!L20="","",초입!L20)</x:f>
        <x:v/>
      </x:c>
      <x:c r="N20" s="3" t="str">
        <x:f>IF(초입!AF20="","","1. "&amp;초입!AF20&amp;IF(초입!AI20&lt;&gt;"",CHAR(10)&amp;"2. "&amp;초입!AI20,"")&amp;IF(초입!AL20&lt;&gt;"",CHAR(10)&amp;"3. "&amp;초입!AL20,""))</x:f>
        <x:v/>
      </x:c>
      <x:c r="O20" s="3" t="str">
        <x:f>IF(초입!AG20="","",초입!AG20&amp;IF(초입!AJ20&lt;&gt;"",CHAR(10)&amp;초입!AJ20,"")&amp;IF(초입!AM20&lt;&gt;"",CHAR(10)&amp;초입!AM20,""))</x:f>
        <x:v/>
      </x:c>
      <x:c r="P20" s="3" t="str">
        <x:f>IF(초입!AH20="","",초입!AH20&amp;IF(초입!AK20&lt;&gt;"",CHAR(10)&amp;초입!AK20,"")&amp;IF(초입!AN20&lt;&gt;"",CHAR(10)&amp;초입!AN20,""))</x:f>
        <x:v/>
      </x:c>
      <x:c r="Q20" s="3" t="str">
        <x:f>IF(초입!AO20="","",초입!AO20)</x:f>
        <x:v xml:space="preserve">26.6.26에 병원에서 윕시 검사 실시, 검사결과 유치원으로 제출 안내완
사회성숙도 추가실시 </x:v>
      </x:c>
      <x:c r="R20" s="3" t="str">
        <x:f>IF(초입!AP20="","",초입!AP20)</x:f>
        <x:v xml:space="preserve">의뢰서 수정공문 요청. / 배치유형, 등본확인 / 6.26에 외부 평가 실시함 / 양식 수정본과 함께 결과 보고서 공문으로 받아야함 </x:v>
      </x:c>
      <x:c r="S20" s="3" t="str">
        <x:f>IF(초입!AD20="","",초입!AD20)</x:f>
        <x:v>010-4745-1367</x:v>
      </x:c>
      <x:c r="T20" s="3" t="str">
        <x:f>IF(초입!AE20="","",초입!AE20)</x:f>
        <x:v/>
      </x:c>
      <x:c r="U20" s="3" t="str">
        <x:f>IF(초입!M20="","",초입!M20)</x:f>
        <x:v>경기도 남양주시 덕소로 2번길 39, 덕소강변삼익@ 108동 1502호</x:v>
      </x:c>
      <x:c r="V20" s="7"/>
      <x:c r="W20" s="7"/>
      <x:c r="X20" s="7"/>
    </x:row>
    <x:row r="21" spans="1:24" customFormat="1" ht="105.40000000000000568434" hidden="1">
      <x:c r="A21" s="3"/>
      <x:c r="B21" s="3" t="s">
        <x:v>194</x:v>
      </x:c>
      <x:c r="C21" s="3" t="str">
        <x:f>IF(초입!H21&lt;&gt;"","O","")</x:f>
        <x:v>O</x:v>
      </x:c>
      <x:c r="D21" s="3" t="str">
        <x:f>IF(초입!I21&lt;&gt;"","O","")</x:f>
        <x:v/>
      </x:c>
      <x:c r="E21" s="3" t="str">
        <x:f>초입!B21</x:f>
        <x:v>남양주신촌초등학교병설유치원</x:v>
      </x:c>
      <x:c r="F21" s="3" t="str">
        <x:f>IF(초입!C21="","",초입!C21)</x:f>
        <x:v>특수학급</x:v>
      </x:c>
      <x:c r="G21" s="3">
        <x:f>IF(초입!D21="","",초입!D21)</x:f>
        <x:v>3</x:v>
      </x:c>
      <x:c r="H21" s="3" t="str">
        <x:f>IF(초입!E21="","",초입!E21)</x:f>
        <x:v>강민찬</x:v>
      </x:c>
      <x:c r="I21" s="3" t="str">
        <x:f>IF(초입!F21="","",초입!F21)</x:f>
        <x:v>남</x:v>
      </x:c>
      <x:c r="J21" s="3" t="str">
        <x:f>IF(초입!G21="","",초입!G21)</x:f>
        <x:v>2020.01.08.</x:v>
      </x:c>
      <x:c r="K21" s="3" t="str">
        <x:f>IF(초입!J21="","",초입!J21)</x:f>
        <x:v>발달지체
(자폐성장애 가능)</x:v>
      </x:c>
      <x:c r="L21" s="3" t="str">
        <x:f>IF(초입!K21="","",초입!K21)</x:f>
        <x:v/>
      </x:c>
      <x:c r="M21" s="3" t="str">
        <x:f>IF(초입!L21="","",초입!L21)</x:f>
        <x:v/>
      </x:c>
      <x:c r="N21" s="3" t="str">
        <x:f>IF(초입!AF21="","","1. "&amp;초입!AF21&amp;IF(초입!AI21&lt;&gt;"",CHAR(10)&amp;"2. "&amp;초입!AI21,"")&amp;IF(초입!AL21&lt;&gt;"",CHAR(10)&amp;"3. "&amp;초입!AL21,""))</x:f>
        <x:v/>
      </x:c>
      <x:c r="O21" s="3" t="str">
        <x:f>IF(초입!AG21="","",초입!AG21&amp;IF(초입!AJ21&lt;&gt;"",CHAR(10)&amp;초입!AJ21,"")&amp;IF(초입!AM21&lt;&gt;"",CHAR(10)&amp;초입!AM21,""))</x:f>
        <x:v/>
      </x:c>
      <x:c r="P21" s="3" t="str">
        <x:f>IF(초입!AH21="","",초입!AH21&amp;IF(초입!AK21&lt;&gt;"",CHAR(10)&amp;초입!AK21,"")&amp;IF(초입!AN21&lt;&gt;"",CHAR(10)&amp;초입!AN21,""))</x:f>
        <x:v/>
      </x:c>
      <x:c r="Q21" s="3" t="str">
        <x:f>IF(초입!AO21="","",초입!AO21)</x:f>
        <x:v>※심리평가보고서(2026.5.14.)
□K-WPPSI-IV: 전체IQ 40 (언어이해 45, 시공간 46, 유동추론 45,        
  작업기억 45, 처리속도 45/매우낮음)
□사회성숙도: SA 2세 4개월, SQ 38.07(매우낮음)
□K-CARS-Ⅱ(ST): 총점 35점(경도에서 중등도 수준의 자폐 관련 행동)
-CBCL, 적응행동검사 추기실시?</x:v>
      </x:c>
      <x:c r="R21" s="3" t="str">
        <x:f>IF(초입!AP21="","",초입!AP21)</x:f>
        <x:v>발달지체로 작성했지만 자폐성장애로 유형 변경 가능성 인지
진단서: 소아기 자폐증(임상적 추정)</x:v>
      </x:c>
      <x:c r="S21" s="3" t="str">
        <x:f>IF(초입!AD21="","",초입!AD21)</x:f>
        <x:v>010-6239-9038</x:v>
      </x:c>
      <x:c r="T21" s="3" t="str">
        <x:f>IF(초입!AE21="","",초입!AE21)</x:f>
        <x:v/>
      </x:c>
      <x:c r="U21" s="3" t="str">
        <x:f>IF(초입!M21="","",초입!M21)</x:f>
        <x:v>경기도 남양주시 평내로 89, 1302동 2003호</x:v>
      </x:c>
      <x:c r="V21" s="7"/>
      <x:c r="W21" s="7"/>
      <x:c r="X21" s="7"/>
    </x:row>
    <x:row r="22" spans="1:24" customFormat="1" ht="26.35000000000000142109">
      <x:c r="A22" s="3">
        <x:f>SUBTOTAL(103,$N$6:N22)</x:f>
        <x:v>5</x:v>
      </x:c>
      <x:c r="B22" s="3" t="s">
        <x:v>194</x:v>
      </x:c>
      <x:c r="C22" s="3" t="str">
        <x:f>IF(초입!H22&lt;&gt;"","O","")</x:f>
        <x:v/>
      </x:c>
      <x:c r="D22" s="3" t="str">
        <x:f>IF(초입!I22&lt;&gt;"","O","")</x:f>
        <x:v>O</x:v>
      </x:c>
      <x:c r="E22" s="3" t="str">
        <x:f>초입!B22</x:f>
        <x:v>시립토평마을어린이집</x:v>
      </x:c>
      <x:c r="F22" s="3" t="str">
        <x:f>IF(초입!C22="","",초입!C22)</x:f>
        <x:v/>
      </x:c>
      <x:c r="G22" s="3">
        <x:f>IF(초입!D22="","",초입!D22)</x:f>
        <x:v>3</x:v>
      </x:c>
      <x:c r="H22" s="3" t="str">
        <x:f>IF(초입!E22="","",초입!E22)</x:f>
        <x:v>박규빈</x:v>
      </x:c>
      <x:c r="I22" s="3" t="str">
        <x:f>IF(초입!F22="","",초입!F22)</x:f>
        <x:v>남</x:v>
      </x:c>
      <x:c r="J22" s="3" t="str">
        <x:f>IF(초입!G22="","",초입!G22)</x:f>
        <x:v>2020.07.17.</x:v>
      </x:c>
      <x:c r="K22" s="3" t="str">
        <x:f>IF(초입!J22="","",초입!J22)</x:f>
        <x:v>자폐성장애</x:v>
      </x:c>
      <x:c r="L22" s="3" t="str">
        <x:f>IF(초입!K22="","",초입!K22)</x:f>
        <x:v>자폐성장애</x:v>
      </x:c>
      <x:c r="M22" s="3" t="str">
        <x:f>IF(초입!L22="","",초입!L22)</x:f>
        <x:v>중증</x:v>
      </x:c>
      <x:c r="N22" s="3" t="str">
        <x:f>IF(초입!AG22="","","1. "&amp;초입!AG22&amp;IF(초입!AJ22&lt;&gt;"",CHAR(10)&amp;"2. "&amp;초입!AJ22,"")&amp;IF(초입!AM22&lt;&gt;"",CHAR(10)&amp;"3. "&amp;초입!AM22,""))</x:f>
        <x:v>1. 경은학교
2. 복합특수학급 신설</x:v>
      </x:c>
      <x:c r="O22" s="3" t="str">
        <x:f>IF(초입!AF22="","",초입!AF22&amp;IF(초입!AI22&lt;&gt;"",CHAR(10)&amp;초입!AI22,"")&amp;IF(초입!AL22&lt;&gt;"",CHAR(10)&amp;초입!AL22,""))</x:f>
        <x:v>구리남양주
구리남양주</x:v>
      </x:c>
      <x:c r="P22" s="3" t="str">
        <x:f>IF(초입!AH22="","",초입!AH22&amp;IF(초입!AK22&lt;&gt;"",CHAR(10)&amp;초입!AK22,"")&amp;IF(초입!AN22&lt;&gt;"",CHAR(10)&amp;초입!AN22,""))</x:f>
        <x:v>특수학교</x:v>
      </x:c>
      <x:c r="Q22" s="3" t="str">
        <x:f>IF(초입!AO22="","",초입!AO22)</x:f>
        <x:v>□ 복지카드: 자폐성장애 중증(~2032.06.19.)</x:v>
      </x:c>
      <x:c r="R22" s="3" t="str">
        <x:f>IF(초입!AP22="","",초입!AP22)</x:f>
        <x:v>도보 통학 기준 / 2,3희망교 바뀜.</x:v>
      </x:c>
      <x:c r="S22" s="3" t="str">
        <x:f>IF(초입!AD22="","",초입!AD22)</x:f>
        <x:v>010-7320-1455</x:v>
      </x:c>
      <x:c r="T22" s="3" t="str">
        <x:f>IF(초입!AE22="","",초입!AE22)</x:f>
        <x:v/>
      </x:c>
      <x:c r="U22" s="3" t="str">
        <x:f>IF(초입!M22="","",초입!M22)</x:f>
        <x:v>경기도 남양주시 다산중앙로146번길7, 2202동 1101호(다산동, 다산롯데캐슬)</x:v>
      </x:c>
      <x:c r="V22" s="7"/>
      <x:c r="W22" s="7"/>
      <x:c r="X22" s="7"/>
    </x:row>
    <x:row r="23" spans="1:24" customFormat="1" ht="26.35000000000000142109" hidden="1">
      <x:c r="A23" s="3"/>
      <x:c r="B23" s="3" t="s">
        <x:v>194</x:v>
      </x:c>
      <x:c r="C23" s="3" t="str">
        <x:f>IF(초입!H23&lt;&gt;"","O","")</x:f>
        <x:v/>
      </x:c>
      <x:c r="D23" s="3" t="str">
        <x:f>IF(초입!I23&lt;&gt;"","O","")</x:f>
        <x:v>O</x:v>
      </x:c>
      <x:c r="E23" s="3" t="str">
        <x:f>초입!B23</x:f>
        <x:v>시립와부어린이집</x:v>
      </x:c>
      <x:c r="F23" s="3" t="str">
        <x:f>IF(초입!C23="","",초입!C23)</x:f>
        <x:v/>
      </x:c>
      <x:c r="G23" s="3">
        <x:f>IF(초입!D23="","",초입!D23)</x:f>
        <x:v>3</x:v>
      </x:c>
      <x:c r="H23" s="3" t="str">
        <x:f>IF(초입!E23="","",초입!E23)</x:f>
        <x:v>이아윤</x:v>
      </x:c>
      <x:c r="I23" s="3" t="str">
        <x:f>IF(초입!F23="","",초입!F23)</x:f>
        <x:v>여</x:v>
      </x:c>
      <x:c r="J23" s="3" t="str">
        <x:f>IF(초입!G23="","",초입!G23)</x:f>
        <x:v>2020.05.28</x:v>
      </x:c>
      <x:c r="K23" s="3" t="str">
        <x:f>IF(초입!J23="","",초입!J23)</x:f>
        <x:v>자폐성장애</x:v>
      </x:c>
      <x:c r="L23" s="3" t="str">
        <x:f>IF(초입!K23="","",초입!K23)</x:f>
        <x:v>자폐성장애</x:v>
      </x:c>
      <x:c r="M23" s="3" t="str">
        <x:f>IF(초입!L23="","",초입!L23)</x:f>
        <x:v>중증</x:v>
      </x:c>
      <x:c r="N23" s="3" t="str">
        <x:f>IF(초입!AF23="","","1. "&amp;초입!AF23&amp;IF(초입!AI23&lt;&gt;"",CHAR(10)&amp;"2. "&amp;초입!AI23,"")&amp;IF(초입!AL23&lt;&gt;"",CHAR(10)&amp;"3. "&amp;초입!AL23,""))</x:f>
        <x:v/>
      </x:c>
      <x:c r="O23" s="3" t="str">
        <x:f>IF(초입!AG23="","",초입!AG23&amp;IF(초입!AJ23&lt;&gt;"",CHAR(10)&amp;초입!AJ23,"")&amp;IF(초입!AM23&lt;&gt;"",CHAR(10)&amp;초입!AM23,""))</x:f>
        <x:v/>
      </x:c>
      <x:c r="P23" s="3" t="str">
        <x:f>IF(초입!AH23="","",초입!AH23&amp;IF(초입!AK23&lt;&gt;"",CHAR(10)&amp;초입!AK23,"")&amp;IF(초입!AN23&lt;&gt;"",CHAR(10)&amp;초입!AN23,""))</x:f>
        <x:v/>
      </x:c>
      <x:c r="Q23" s="3" t="str">
        <x:f>IF(초입!AO23="","",초입!AO23)</x:f>
        <x:v>□ 복지카드: 자폐성장애 중증(2032. 07. 20.)</x:v>
      </x:c>
      <x:c r="R23" s="3" t="str">
        <x:f>IF(초입!AP23="","",초입!AP23)</x:f>
        <x:v>복지카드 추가 제출 받아야 / 완료</x:v>
      </x:c>
      <x:c r="S23" s="3" t="str">
        <x:f>IF(초입!AD23="","",초입!AD23)</x:f>
        <x:v>010-4188-6163</x:v>
      </x:c>
      <x:c r="T23" s="3" t="str">
        <x:f>IF(초입!AE23="","",초입!AE23)</x:f>
        <x:v/>
      </x:c>
      <x:c r="U23" s="3" t="str">
        <x:f>IF(초입!M23="","",초입!M23)</x:f>
        <x:v>경기도 남양주시 와부읍 덕소로 150, 강변현대아파트 102동 1304호</x:v>
      </x:c>
      <x:c r="V23" s="7"/>
      <x:c r="W23" s="7"/>
      <x:c r="X23" s="7"/>
    </x:row>
    <x:row r="24" spans="1:24" customFormat="1" ht="118.54999999999999715783" hidden="1">
      <x:c r="A24" s="3"/>
      <x:c r="B24" s="3" t="s">
        <x:v>194</x:v>
      </x:c>
      <x:c r="C24" s="3" t="str">
        <x:f>IF(초입!H24&lt;&gt;"","O","")</x:f>
        <x:v/>
      </x:c>
      <x:c r="D24" s="3" t="str">
        <x:f>IF(초입!I24&lt;&gt;"","O","")</x:f>
        <x:v>O</x:v>
      </x:c>
      <x:c r="E24" s="3" t="str">
        <x:f>초입!B24</x:f>
        <x:v>동그라미어린이집</x:v>
      </x:c>
      <x:c r="F24" s="3" t="str">
        <x:f>IF(초입!C24="","",초입!C24)</x:f>
        <x:v/>
      </x:c>
      <x:c r="G24" s="3">
        <x:f>IF(초입!D24="","",초입!D24)</x:f>
        <x:v>3</x:v>
      </x:c>
      <x:c r="H24" s="3" t="str">
        <x:f>IF(초입!E24="","",초입!E24)</x:f>
        <x:v>박태연</x:v>
      </x:c>
      <x:c r="I24" s="3" t="str">
        <x:f>IF(초입!F24="","",초입!F24)</x:f>
        <x:v>여</x:v>
      </x:c>
      <x:c r="J24" s="3" t="str">
        <x:f>IF(초입!G24="","",초입!G24)</x:f>
        <x:v>2020.06.25.</x:v>
      </x:c>
      <x:c r="K24" s="3" t="str">
        <x:f>IF(초입!J24="","",초입!J24)</x:f>
        <x:v>지적장애</x:v>
      </x:c>
      <x:c r="L24" s="3" t="str">
        <x:f>IF(초입!K24="","",초입!K24)</x:f>
        <x:v/>
      </x:c>
      <x:c r="M24" s="3" t="str">
        <x:f>IF(초입!L24="","",초입!L24)</x:f>
        <x:v/>
      </x:c>
      <x:c r="N24" s="3" t="str">
        <x:f>IF(초입!AF24="","","1. "&amp;초입!AF24&amp;IF(초입!AI24&lt;&gt;"",CHAR(10)&amp;"2. "&amp;초입!AI24,"")&amp;IF(초입!AL24&lt;&gt;"",CHAR(10)&amp;"3. "&amp;초입!AL24,""))</x:f>
        <x:v/>
      </x:c>
      <x:c r="O24" s="3" t="str">
        <x:f>IF(초입!AG24="","",초입!AG24&amp;IF(초입!AJ24&lt;&gt;"",CHAR(10)&amp;초입!AJ24,"")&amp;IF(초입!AM24&lt;&gt;"",CHAR(10)&amp;초입!AM24,""))</x:f>
        <x:v/>
      </x:c>
      <x:c r="P24" s="3" t="str">
        <x:f>IF(초입!AH24="","",초입!AH24&amp;IF(초입!AK24&lt;&gt;"",CHAR(10)&amp;초입!AK24,"")&amp;IF(초입!AN24&lt;&gt;"",CHAR(10)&amp;초입!AN24,""))</x:f>
        <x:v/>
      </x:c>
      <x:c r="Q24" s="3" t="str">
        <x:f>IF(초입!AO24="","",초입!AO24)</x:f>
        <x:v>※심리평가보고서
□ 지능검사 결과(08.04. 결과지 수령 예정),
□ 사회성숙도: SA 3세 11개월, SQ 65.1(경도)
□ 적응행동검사: 표준점수 71 (저조한 수준)
※심리평가보고서(2025.7.1.)(CA 60개월시점)
□PRES: 수용언어 70점 (3세6개월/2%ile) , 표현언어 81.67점 (4세 1
  개월/6%ile)
□U-TAP2: 자음정확도 63.83% (&lt;1%ile/중도)</x:v>
      </x:c>
      <x:c r="R24" s="3" t="str">
        <x:f>IF(초입!AP24="","",초입!AP24)</x:f>
        <x:v>지능검사 결과 8월초 추가 예정</x:v>
      </x:c>
      <x:c r="S24" s="3" t="str">
        <x:f>IF(초입!AD24="","",초입!AD24)</x:f>
        <x:v>010-5092-4027</x:v>
      </x:c>
      <x:c r="T24" s="3" t="str">
        <x:f>IF(초입!AE24="","",초입!AE24)</x:f>
        <x:v/>
      </x:c>
      <x:c r="U24" s="3" t="str">
        <x:f>IF(초입!M24="","",초입!M24)</x:f>
        <x:v>경기도 남양주시 화도읍 비룡로 186, 110동 304호</x:v>
      </x:c>
      <x:c r="V24" s="7"/>
      <x:c r="W24" s="7"/>
      <x:c r="X24" s="7"/>
    </x:row>
    <x:row r="25" spans="1:24" customFormat="1" ht="26.35000000000000142109" hidden="1">
      <x:c r="A25" s="3"/>
      <x:c r="B25" s="3" t="s">
        <x:v>194</x:v>
      </x:c>
      <x:c r="C25" s="3" t="str">
        <x:f>IF(초입!H25&lt;&gt;"","O","")</x:f>
        <x:v/>
      </x:c>
      <x:c r="D25" s="3" t="str">
        <x:f>IF(초입!I25&lt;&gt;"","O","")</x:f>
        <x:v>O</x:v>
      </x:c>
      <x:c r="E25" s="3" t="str">
        <x:f>초입!B25</x:f>
        <x:v>다산자이폴라리스어린이집</x:v>
      </x:c>
      <x:c r="F25" s="3" t="str">
        <x:f>IF(초입!C25="","",초입!C25)</x:f>
        <x:v/>
      </x:c>
      <x:c r="G25" s="3">
        <x:f>IF(초입!D25="","",초입!D25)</x:f>
        <x:v>3</x:v>
      </x:c>
      <x:c r="H25" s="3" t="str">
        <x:f>IF(초입!E25="","",초입!E25)</x:f>
        <x:v>박재하</x:v>
      </x:c>
      <x:c r="I25" s="3" t="str">
        <x:f>IF(초입!F25="","",초입!F25)</x:f>
        <x:v>남</x:v>
      </x:c>
      <x:c r="J25" s="3" t="str">
        <x:f>IF(초입!G25="","",초입!G25)</x:f>
        <x:v>2020.09.03.</x:v>
      </x:c>
      <x:c r="K25" s="3" t="str">
        <x:f>IF(초입!J25="","",초입!J25)</x:f>
        <x:v>자폐성장애</x:v>
      </x:c>
      <x:c r="L25" s="3" t="str">
        <x:f>IF(초입!K25="","",초입!K25)</x:f>
        <x:v>자폐성장애</x:v>
      </x:c>
      <x:c r="M25" s="3" t="str">
        <x:f>IF(초입!L25="","",초입!L25)</x:f>
        <x:v>중증</x:v>
      </x:c>
      <x:c r="N25" s="3" t="str">
        <x:f>IF(초입!AF25="","","1. "&amp;초입!AF25&amp;IF(초입!AI25&lt;&gt;"",CHAR(10)&amp;"2. "&amp;초입!AI25,"")&amp;IF(초입!AL25&lt;&gt;"",CHAR(10)&amp;"3. "&amp;초입!AL25,""))</x:f>
        <x:v/>
      </x:c>
      <x:c r="O25" s="3" t="str">
        <x:f>IF(초입!AG25="","",초입!AG25&amp;IF(초입!AJ25&lt;&gt;"",CHAR(10)&amp;초입!AJ25,"")&amp;IF(초입!AM25&lt;&gt;"",CHAR(10)&amp;초입!AM25,""))</x:f>
        <x:v/>
      </x:c>
      <x:c r="P25" s="3" t="str">
        <x:f>IF(초입!AH25="","",초입!AH25&amp;IF(초입!AK25&lt;&gt;"",CHAR(10)&amp;초입!AK25,"")&amp;IF(초입!AN25&lt;&gt;"",CHAR(10)&amp;초입!AN25,""))</x:f>
        <x:v/>
      </x:c>
      <x:c r="Q25" s="3" t="str">
        <x:f>IF(초입!AO25="","",초입!AO25)</x:f>
        <x:v>□ 복지카드: 자폐성장애 중증(~2032.06.08.)</x:v>
      </x:c>
      <x:c r="R25" s="3" t="str">
        <x:f>IF(초입!AP25="","",초입!AP25)</x:f>
        <x:v/>
      </x:c>
      <x:c r="S25" s="3" t="str">
        <x:f>IF(초입!AD25="","",초입!AD25)</x:f>
        <x:v>010-3074-5250</x:v>
      </x:c>
      <x:c r="T25" s="3" t="str">
        <x:f>IF(초입!AE25="","",초입!AE25)</x:f>
        <x:v/>
      </x:c>
      <x:c r="U25" s="3" t="str">
        <x:f>IF(초입!M25="","",초입!M25)</x:f>
        <x:v>경기도 남양주시 다산순환로 242, 다산자이폴라리스 1404동 603호</x:v>
      </x:c>
      <x:c r="V25" s="7"/>
      <x:c r="W25" s="7"/>
      <x:c r="X25" s="7"/>
    </x:row>
    <x:row r="26" spans="1:24" customFormat="1" ht="39.54999999999999715783" hidden="1">
      <x:c r="A26" s="3"/>
      <x:c r="B26" s="3" t="s">
        <x:v>194</x:v>
      </x:c>
      <x:c r="C26" s="3" t="str">
        <x:f>IF(초입!H26&lt;&gt;"","O","")</x:f>
        <x:v/>
      </x:c>
      <x:c r="D26" s="3" t="str">
        <x:f>IF(초입!I26&lt;&gt;"","O","")</x:f>
        <x:v>O</x:v>
      </x:c>
      <x:c r="E26" s="3" t="str">
        <x:f>초입!B26</x:f>
        <x:v>화도어린이집</x:v>
      </x:c>
      <x:c r="F26" s="3" t="str">
        <x:f>IF(초입!C26="","",초입!C26)</x:f>
        <x:v/>
      </x:c>
      <x:c r="G26" s="3">
        <x:f>IF(초입!D26="","",초입!D26)</x:f>
        <x:v>3</x:v>
      </x:c>
      <x:c r="H26" s="3" t="str">
        <x:f>IF(초입!E26="","",초입!E26)</x:f>
        <x:v>조민채</x:v>
      </x:c>
      <x:c r="I26" s="3" t="str">
        <x:f>IF(초입!F26="","",초입!F26)</x:f>
        <x:v>여</x:v>
      </x:c>
      <x:c r="J26" s="3" t="str">
        <x:f>IF(초입!G26="","",초입!G26)</x:f>
        <x:v>2020.06.10.</x:v>
      </x:c>
      <x:c r="K26" s="3" t="str">
        <x:f>IF(초입!J26="","",초입!J26)</x:f>
        <x:v>지적장애</x:v>
      </x:c>
      <x:c r="L26" s="3" t="str">
        <x:f>IF(초입!K26="","",초입!K26)</x:f>
        <x:v>지적뇌병변장애</x:v>
      </x:c>
      <x:c r="M26" s="3" t="str">
        <x:f>IF(초입!L26="","",초입!L26)</x:f>
        <x:v>중증</x:v>
      </x:c>
      <x:c r="N26" s="3" t="str">
        <x:f>IF(초입!AF26="","","1. "&amp;초입!AF26&amp;IF(초입!AI26&lt;&gt;"",CHAR(10)&amp;"2. "&amp;초입!AI26,"")&amp;IF(초입!AL26&lt;&gt;"",CHAR(10)&amp;"3. "&amp;초입!AL26,""))</x:f>
        <x:v/>
      </x:c>
      <x:c r="O26" s="3" t="str">
        <x:f>IF(초입!AG26="","",초입!AG26&amp;IF(초입!AJ26&lt;&gt;"",CHAR(10)&amp;초입!AJ26,"")&amp;IF(초입!AM26&lt;&gt;"",CHAR(10)&amp;초입!AM26,""))</x:f>
        <x:v/>
      </x:c>
      <x:c r="P26" s="3" t="str">
        <x:f>IF(초입!AH26="","",초입!AH26&amp;IF(초입!AK26&lt;&gt;"",CHAR(10)&amp;초입!AK26,"")&amp;IF(초입!AN26&lt;&gt;"",CHAR(10)&amp;초입!AN26,""))</x:f>
        <x:v/>
      </x:c>
      <x:c r="Q26" s="3" t="str">
        <x:f>IF(초입!AO26="","",초입!AO26)</x:f>
        <x:v>□ 복지카드: 지적뇌병변장애 중증(~2026.10.15.)</x:v>
      </x:c>
      <x:c r="R26" s="3" t="str">
        <x:f>IF(초입!AP26="","",초입!AP26)</x:f>
        <x:v>장애인증명서 추가 제출 예정 / 지적,뇌병변에서 지적으로 변경 예정 / 7월중 이메일로 예정. 문자 보냄. / 들어옴</x:v>
      </x:c>
      <x:c r="S26" s="3" t="str">
        <x:f>IF(초입!AD26="","",초입!AD26)</x:f>
        <x:v>010-8485-8640</x:v>
      </x:c>
      <x:c r="T26" s="3" t="str">
        <x:f>IF(초입!AE26="","",초입!AE26)</x:f>
        <x:v/>
      </x:c>
      <x:c r="U26" s="3" t="str">
        <x:f>IF(초입!M26="","",초입!M26)</x:f>
        <x:v>경기도 남양주시 화도읍 수레로 1105-27, 204-804</x:v>
      </x:c>
      <x:c r="V26" s="7"/>
      <x:c r="W26" s="7"/>
      <x:c r="X26" s="7"/>
    </x:row>
    <x:row r="27" spans="1:24" customFormat="1" ht="65.84999999999999431566" hidden="1">
      <x:c r="A27" s="3"/>
      <x:c r="B27" s="3" t="s">
        <x:v>194</x:v>
      </x:c>
      <x:c r="C27" s="3" t="str">
        <x:f>IF(초입!H27&lt;&gt;"","O","")</x:f>
        <x:v/>
      </x:c>
      <x:c r="D27" s="3" t="str">
        <x:f>IF(초입!I27&lt;&gt;"","O","")</x:f>
        <x:v>O</x:v>
      </x:c>
      <x:c r="E27" s="3" t="str">
        <x:f>초입!B27</x:f>
        <x:v>안델센어린이집</x:v>
      </x:c>
      <x:c r="F27" s="3" t="str">
        <x:f>IF(초입!C27="","",초입!C27)</x:f>
        <x:v/>
      </x:c>
      <x:c r="G27" s="3">
        <x:f>IF(초입!D27="","",초입!D27)</x:f>
        <x:v>3</x:v>
      </x:c>
      <x:c r="H27" s="3" t="str">
        <x:f>IF(초입!E27="","",초입!E27)</x:f>
        <x:v>홍나예</x:v>
      </x:c>
      <x:c r="I27" s="3" t="str">
        <x:f>IF(초입!F27="","",초입!F27)</x:f>
        <x:v>여</x:v>
      </x:c>
      <x:c r="J27" s="3" t="str">
        <x:f>IF(초입!G27="","",초입!G27)</x:f>
        <x:v>2020.02.16.</x:v>
      </x:c>
      <x:c r="K27" s="3" t="str">
        <x:f>IF(초입!J27="","",초입!J27)</x:f>
        <x:v>지적장애
(발달지체로 신청)</x:v>
      </x:c>
      <x:c r="L27" s="3" t="str">
        <x:f>IF(초입!K27="","",초입!K27)</x:f>
        <x:v/>
      </x:c>
      <x:c r="M27" s="3" t="str">
        <x:f>IF(초입!L27="","",초입!L27)</x:f>
        <x:v/>
      </x:c>
      <x:c r="N27" s="3" t="str">
        <x:f>IF(초입!AF27="","","1. "&amp;초입!AF27&amp;IF(초입!AI27&lt;&gt;"",CHAR(10)&amp;"2. "&amp;초입!AI27,"")&amp;IF(초입!AL27&lt;&gt;"",CHAR(10)&amp;"3. "&amp;초입!AL27,""))</x:f>
        <x:v/>
      </x:c>
      <x:c r="O27" s="3" t="str">
        <x:f>IF(초입!AG27="","",초입!AG27&amp;IF(초입!AJ27&lt;&gt;"",CHAR(10)&amp;초입!AJ27,"")&amp;IF(초입!AM27&lt;&gt;"",CHAR(10)&amp;초입!AM27,""))</x:f>
        <x:v/>
      </x:c>
      <x:c r="P27" s="3" t="str">
        <x:f>IF(초입!AH27="","",초입!AH27&amp;IF(초입!AK27&lt;&gt;"",CHAR(10)&amp;초입!AK27,"")&amp;IF(초입!AN27&lt;&gt;"",CHAR(10)&amp;초입!AN27,""))</x:f>
        <x:v/>
      </x:c>
      <x:c r="Q27" s="3" t="str">
        <x:f>IF(초입!AO27="","",초입!AO27)</x:f>
        <x:v>※2026년 7월 9일 검사 실시
□K-WISC-V: 전체IQ 48(언어이해 50, 시공간 70, 유동추론 60, 작업기억 53, 처리속도 55/매우 낮음)
□적응행동검사: 표준점수 70(저조한 수준)
□사회성숙도: SA 3세 0개월, SQ 47.39(중등도)</x:v>
      </x:c>
      <x:c r="R27" s="3" t="str">
        <x:f>IF(초입!AP27="","",초입!AP27)</x:f>
        <x:v/>
      </x:c>
      <x:c r="S27" s="3" t="str">
        <x:f>IF(초입!AD27="","",초입!AD27)</x:f>
        <x:v>010-6622-6482</x:v>
      </x:c>
      <x:c r="T27" s="3" t="str">
        <x:f>IF(초입!AE27="","",초입!AE27)</x:f>
        <x:v/>
      </x:c>
      <x:c r="U27" s="3" t="str">
        <x:f>IF(초입!M27="","",초입!M27)</x:f>
        <x:v>경기도 구리시 안골로20번길 8-17, 101호</x:v>
      </x:c>
      <x:c r="V27" s="7"/>
      <x:c r="W27" s="7"/>
      <x:c r="X27" s="7"/>
    </x:row>
    <x:row r="28" spans="1:24" customFormat="1" ht="158.05000000000001136868" hidden="1">
      <x:c r="A28" s="3"/>
      <x:c r="B28" s="3" t="s">
        <x:v>194</x:v>
      </x:c>
      <x:c r="C28" s="3" t="str">
        <x:f>IF(초입!H28&lt;&gt;"","O","")</x:f>
        <x:v/>
      </x:c>
      <x:c r="D28" s="3" t="str">
        <x:f>IF(초입!I28&lt;&gt;"","O","")</x:f>
        <x:v>O</x:v>
      </x:c>
      <x:c r="E28" s="3" t="str">
        <x:f>초입!B28</x:f>
        <x:v>진접어린이집</x:v>
      </x:c>
      <x:c r="F28" s="3" t="str">
        <x:f>IF(초입!C28="","",초입!C28)</x:f>
        <x:v/>
      </x:c>
      <x:c r="G28" s="3">
        <x:f>IF(초입!D28="","",초입!D28)</x:f>
        <x:v>3</x:v>
      </x:c>
      <x:c r="H28" s="3" t="str">
        <x:f>IF(초입!E28="","",초입!E28)</x:f>
        <x:v>박서준</x:v>
      </x:c>
      <x:c r="I28" s="3" t="str">
        <x:f>IF(초입!F28="","",초입!F28)</x:f>
        <x:v>남</x:v>
      </x:c>
      <x:c r="J28" s="3" t="str">
        <x:f>IF(초입!G28="","",초입!G28)</x:f>
        <x:v>2020.12.02.</x:v>
      </x:c>
      <x:c r="K28" s="3" t="str">
        <x:f>IF(초입!J28="","",초입!J28)</x:f>
        <x:v>발달지체</x:v>
      </x:c>
      <x:c r="L28" s="3" t="str">
        <x:f>IF(초입!K28="","",초입!K28)</x:f>
        <x:v/>
      </x:c>
      <x:c r="M28" s="3" t="str">
        <x:f>IF(초입!L28="","",초입!L28)</x:f>
        <x:v/>
      </x:c>
      <x:c r="N28" s="3" t="str">
        <x:f>IF(초입!AF28="","","1. "&amp;초입!AF28&amp;IF(초입!AI28&lt;&gt;"",CHAR(10)&amp;"2. "&amp;초입!AI28,"")&amp;IF(초입!AL28&lt;&gt;"",CHAR(10)&amp;"3. "&amp;초입!AL28,""))</x:f>
        <x:v/>
      </x:c>
      <x:c r="O28" s="3" t="str">
        <x:f>IF(초입!AG28="","",초입!AG28&amp;IF(초입!AJ28&lt;&gt;"",CHAR(10)&amp;초입!AJ28,"")&amp;IF(초입!AM28&lt;&gt;"",CHAR(10)&amp;초입!AM28,""))</x:f>
        <x:v/>
      </x:c>
      <x:c r="P28" s="3" t="str">
        <x:f>IF(초입!AH28="","",초입!AH28&amp;IF(초입!AK28&lt;&gt;"",CHAR(10)&amp;초입!AK28,"")&amp;IF(초입!AN28&lt;&gt;"",CHAR(10)&amp;초입!AN28,""))</x:f>
        <x:v/>
      </x:c>
      <x:c r="Q28" s="3" t="str">
        <x:f>IF(초입!AO28="","",초입!AO28)</x:f>
        <x:v>※2026년 3월 3일 검사 실시
□K-WPPSI-IV: 전체IQ 80 (언어이해 71, 시공간 120, 유동추론 69,        
  작업기억 89, 처리속도 84/평균 이하)
  *GAI 지표점수 87(평균 이하)
□사회성숙도: SA 3세 9개월, SQ 78.8(경계선)
□적응행동검사: 표준점수 73(저조한 수준)
※2026년 3월 18일 언어검사 실시(검사당시 5세 3개월)
□PRES: 수용언어 31점 (4세4개월/5%ile) , 표현언어 30점 (3세 11
  개월/5%ile), 통합언어 50개월(4세 2개월)
□U-TAP2: 자음정확도 62.77% (-2SD/조음치료 요망)</x:v>
      </x:c>
      <x:c r="R28" s="3" t="str">
        <x:f>IF(초입!AP28="","",초입!AP28)</x:f>
        <x:v>-26년4월 유치 상시 평가결과 활용
-26년4월 상시 부평초병유 배치 후 5월에 바로 취소(방과후 문제)</x:v>
      </x:c>
      <x:c r="S28" s="3" t="str">
        <x:f>IF(초입!AD28="","",초입!AD28)</x:f>
        <x:v>010-5028-2212</x:v>
      </x:c>
      <x:c r="T28" s="3" t="str">
        <x:f>IF(초입!AE28="","",초입!AE28)</x:f>
        <x:v/>
      </x:c>
      <x:c r="U28" s="3" t="str">
        <x:f>IF(초입!M28="","",초입!M28)</x:f>
        <x:v>경기도 남양주시 진접읍 진벌로 78-17 진하우스 나동301호</x:v>
      </x:c>
      <x:c r="V28" s="7"/>
      <x:c r="W28" s="7"/>
      <x:c r="X28" s="7"/>
    </x:row>
    <x:row r="29" spans="1:24" customFormat="1" ht="39.54999999999999715783" hidden="1">
      <x:c r="A29" s="3"/>
      <x:c r="B29" s="3" t="s">
        <x:v>194</x:v>
      </x:c>
      <x:c r="C29" s="3" t="str">
        <x:f>IF(초입!H29&lt;&gt;"","O","")</x:f>
        <x:v>O</x:v>
      </x:c>
      <x:c r="D29" s="3" t="str">
        <x:f>IF(초입!I29&lt;&gt;"","O","")</x:f>
        <x:v/>
      </x:c>
      <x:c r="E29" s="3" t="str">
        <x:f>초입!B29</x:f>
        <x:v>남양주다산유치원</x:v>
      </x:c>
      <x:c r="F29" s="3" t="str">
        <x:f>IF(초입!C29="","",초입!C29)</x:f>
        <x:v>특수학급</x:v>
      </x:c>
      <x:c r="G29" s="3">
        <x:f>IF(초입!D29="","",초입!D29)</x:f>
        <x:v>3</x:v>
      </x:c>
      <x:c r="H29" s="3" t="str">
        <x:f>IF(초입!E29="","",초입!E29)</x:f>
        <x:v>김기윤</x:v>
      </x:c>
      <x:c r="I29" s="3" t="str">
        <x:f>IF(초입!F29="","",초입!F29)</x:f>
        <x:v>남</x:v>
      </x:c>
      <x:c r="J29" s="3" t="str">
        <x:f>IF(초입!G29="","",초입!G29)</x:f>
        <x:v>2020.04.27.</x:v>
      </x:c>
      <x:c r="K29" s="3" t="str">
        <x:f>IF(초입!J29="","",초입!J29)</x:f>
        <x:v>자폐성장애
(현 발달지체)</x:v>
      </x:c>
      <x:c r="L29" s="3" t="str">
        <x:f>IF(초입!K29="","",초입!K29)</x:f>
        <x:v>자폐성·언어장애</x:v>
      </x:c>
      <x:c r="M29" s="3" t="str">
        <x:f>IF(초입!L29="","",초입!L29)</x:f>
        <x:v>중증</x:v>
      </x:c>
      <x:c r="N29" s="3" t="str">
        <x:f>IF(초입!AF29="","","1. "&amp;초입!AF29&amp;IF(초입!AI29&lt;&gt;"",CHAR(10)&amp;"2. "&amp;초입!AI29,"")&amp;IF(초입!AL29&lt;&gt;"",CHAR(10)&amp;"3. "&amp;초입!AL29,""))</x:f>
        <x:v/>
      </x:c>
      <x:c r="O29" s="3" t="str">
        <x:f>IF(초입!AG29="","",초입!AG29&amp;IF(초입!AJ29&lt;&gt;"",CHAR(10)&amp;초입!AJ29,"")&amp;IF(초입!AM29&lt;&gt;"",CHAR(10)&amp;초입!AM29,""))</x:f>
        <x:v/>
      </x:c>
      <x:c r="P29" s="3" t="str">
        <x:f>IF(초입!AH29="","",초입!AH29&amp;IF(초입!AK29&lt;&gt;"",CHAR(10)&amp;초입!AK29,"")&amp;IF(초입!AN29&lt;&gt;"",CHAR(10)&amp;초입!AN29,""))</x:f>
        <x:v/>
      </x:c>
      <x:c r="Q29" s="3" t="str">
        <x:f>IF(초입!AO29="","",초입!AO29)</x:f>
        <x:v>□ 복지카드: 자폐성,언어장애 중증(~2027.08.02.)</x:v>
      </x:c>
      <x:c r="R29" s="3" t="str">
        <x:f>IF(초입!AP29="","",초입!AP29)</x:f>
        <x:v>서식1,2,4 수정 완료</x:v>
      </x:c>
      <x:c r="S29" s="3" t="str">
        <x:f>IF(초입!AD29="","",초입!AD29)</x:f>
        <x:v>010-2606-2684</x:v>
      </x:c>
      <x:c r="T29" s="3" t="str">
        <x:f>IF(초입!AE29="","",초입!AE29)</x:f>
        <x:v/>
      </x:c>
      <x:c r="U29" s="3" t="str">
        <x:f>IF(초입!M29="","",초입!M29)</x:f>
        <x:v>경기도 남양주시 다산중앙로 82번길 15 다산이편한세상 5102동 2303호</x:v>
      </x:c>
      <x:c r="V29" s="7"/>
      <x:c r="W29" s="7"/>
      <x:c r="X29" s="7"/>
    </x:row>
    <x:row r="30" spans="1:24" customFormat="1" ht="39.54999999999999715783">
      <x:c r="A30" s="3">
        <x:f>SUBTOTAL(103,$N$6:N30)</x:f>
        <x:v>6</x:v>
      </x:c>
      <x:c r="B30" s="3" t="s">
        <x:v>194</x:v>
      </x:c>
      <x:c r="C30" s="3" t="str">
        <x:f>IF(초입!H30&lt;&gt;"","O","")</x:f>
        <x:v/>
      </x:c>
      <x:c r="D30" s="3" t="str">
        <x:f>IF(초입!I30&lt;&gt;"","O","")</x:f>
        <x:v>O</x:v>
      </x:c>
      <x:c r="E30" s="3" t="str">
        <x:f>초입!B30</x:f>
        <x:v>다움어린이집</x:v>
      </x:c>
      <x:c r="F30" s="3" t="str">
        <x:f>IF(초입!C30="","",초입!C30)</x:f>
        <x:v/>
      </x:c>
      <x:c r="G30" s="3">
        <x:f>IF(초입!D30="","",초입!D30)</x:f>
        <x:v>3</x:v>
      </x:c>
      <x:c r="H30" s="3" t="str">
        <x:f>IF(초입!E30="","",초입!E30)</x:f>
        <x:v>이예찬</x:v>
      </x:c>
      <x:c r="I30" s="3" t="str">
        <x:f>IF(초입!F30="","",초입!F30)</x:f>
        <x:v>남</x:v>
      </x:c>
      <x:c r="J30" s="3" t="str">
        <x:f>IF(초입!G30="","",초입!G30)</x:f>
        <x:v>2019.06.24.</x:v>
      </x:c>
      <x:c r="K30" s="3" t="str">
        <x:f>IF(초입!J30="","",초입!J30)</x:f>
        <x:v>자폐성장애</x:v>
      </x:c>
      <x:c r="L30" s="3" t="str">
        <x:f>IF(초입!K30="","",초입!K30)</x:f>
        <x:v>자폐성장애</x:v>
      </x:c>
      <x:c r="M30" s="3" t="str">
        <x:f>IF(초입!L30="","",초입!L30)</x:f>
        <x:v>심한</x:v>
      </x:c>
      <x:c r="N30" s="3" t="str">
        <x:f>IF(초입!AG30="","","1. "&amp;초입!AG30&amp;IF(초입!AJ30&lt;&gt;"",CHAR(10)&amp;"2. "&amp;초입!AJ30,"")&amp;IF(초입!AM30&lt;&gt;"",CHAR(10)&amp;"3. "&amp;초입!AM30,""))</x:f>
        <x:v>1. 경은학교
2. 송민학교
3. 복합특수학급신설</x:v>
      </x:c>
      <x:c r="O30" s="3" t="str">
        <x:f>IF(초입!AF30="","",초입!AF30&amp;IF(초입!AI30&lt;&gt;"",CHAR(10)&amp;초입!AI30,"")&amp;IF(초입!AL30&lt;&gt;"",CHAR(10)&amp;초입!AL30,""))</x:f>
        <x:v>구리남양주
의정부
구리남양주</x:v>
      </x:c>
      <x:c r="P30" s="3" t="str">
        <x:f>IF(초입!AH30="","",초입!AH30&amp;IF(초입!AK30&lt;&gt;"",CHAR(10)&amp;초입!AK30,"")&amp;IF(초입!AN30&lt;&gt;"",CHAR(10)&amp;초입!AN30,""))</x:f>
        <x:v>특수학교
특수학교</x:v>
      </x:c>
      <x:c r="Q30" s="3" t="str">
        <x:f>IF(초입!AO30="","",초입!AO30)</x:f>
        <x:v>□ 장애인증명서: 자폐성장애 심한</x:v>
      </x:c>
      <x:c r="R30" s="3" t="str">
        <x:f>IF(초입!AP30="","",초입!AP30)</x:f>
        <x:v/>
      </x:c>
      <x:c r="S30" s="3" t="str">
        <x:f>IF(초입!AD30="","",초입!AD30)</x:f>
        <x:v>010-3217-6485</x:v>
      </x:c>
      <x:c r="T30" s="3" t="str">
        <x:f>IF(초입!AE30="","",초입!AE30)</x:f>
        <x:v/>
      </x:c>
      <x:c r="U30" s="3" t="str">
        <x:f>IF(초입!M30="","",초입!M30)</x:f>
        <x:v>경기도 남양주시 화도읍 먹갓로 28번길 39-12 신강남 가-102호</x:v>
      </x:c>
      <x:c r="V30" s="7"/>
      <x:c r="W30" s="7"/>
      <x:c r="X30" s="7"/>
    </x:row>
    <x:row r="31" spans="1:24" customFormat="1" ht="79.04999999999999715783" hidden="1">
      <x:c r="A31" s="3"/>
      <x:c r="B31" s="3" t="s">
        <x:v>194</x:v>
      </x:c>
      <x:c r="C31" s="3" t="str">
        <x:f>IF(초입!H31&lt;&gt;"","O","")</x:f>
        <x:v/>
      </x:c>
      <x:c r="D31" s="3" t="str">
        <x:f>IF(초입!I31&lt;&gt;"","O","")</x:f>
        <x:v>O</x:v>
      </x:c>
      <x:c r="E31" s="3" t="str">
        <x:f>초입!B31</x:f>
        <x:v>남양주덕송초등학교병설유치원</x:v>
      </x:c>
      <x:c r="F31" s="3" t="str">
        <x:f>IF(초입!C31="","",초입!C31)</x:f>
        <x:v/>
      </x:c>
      <x:c r="G31" s="3">
        <x:f>IF(초입!D31="","",초입!D31)</x:f>
        <x:v>3</x:v>
      </x:c>
      <x:c r="H31" s="3" t="str">
        <x:f>IF(초입!E31="","",초입!E31)</x:f>
        <x:v>이지효</x:v>
      </x:c>
      <x:c r="I31" s="3" t="str">
        <x:f>IF(초입!F31="","",초입!F31)</x:f>
        <x:v>여</x:v>
      </x:c>
      <x:c r="J31" s="3" t="str">
        <x:f>IF(초입!G31="","",초입!G31)</x:f>
        <x:v>2020.12.08.</x:v>
      </x:c>
      <x:c r="K31" s="3" t="str">
        <x:f>IF(초입!J31="","",초입!J31)</x:f>
        <x:v>지적장애</x:v>
      </x:c>
      <x:c r="L31" s="3" t="str">
        <x:f>IF(초입!K31="","",초입!K31)</x:f>
        <x:v/>
      </x:c>
      <x:c r="M31" s="3" t="str">
        <x:f>IF(초입!L31="","",초입!L31)</x:f>
        <x:v/>
      </x:c>
      <x:c r="N31" s="3" t="str">
        <x:f>IF(초입!AF31="","","1. "&amp;초입!AF31&amp;IF(초입!AI31&lt;&gt;"",CHAR(10)&amp;"2. "&amp;초입!AI31,"")&amp;IF(초입!AL31&lt;&gt;"",CHAR(10)&amp;"3. "&amp;초입!AL31,""))</x:f>
        <x:v/>
      </x:c>
      <x:c r="O31" s="3" t="str">
        <x:f>IF(초입!AG31="","",초입!AG31&amp;IF(초입!AJ31&lt;&gt;"",CHAR(10)&amp;초입!AJ31,"")&amp;IF(초입!AM31&lt;&gt;"",CHAR(10)&amp;초입!AM31,""))</x:f>
        <x:v/>
      </x:c>
      <x:c r="P31" s="3" t="str">
        <x:f>IF(초입!AH31="","",초입!AH31&amp;IF(초입!AK31&lt;&gt;"",CHAR(10)&amp;초입!AK31,"")&amp;IF(초입!AN31&lt;&gt;"",CHAR(10)&amp;초입!AN31,""))</x:f>
        <x:v/>
      </x:c>
      <x:c r="Q31" s="3" t="str">
        <x:f>IF(초입!AO31="","",초입!AO31)</x:f>
        <x:v>※심리평가보고서(2025.12.19.)
□K-WPPSI-IV: 전체IQ 59 (언어이해 59, 시공간 82, 유동추론 63,        
  작업기억 73, 처리속도 78/매우낮음)
□사회성숙도: SA 4세 0개월, SQ 80(경계선)
□적응행동검사: 표준점수 56(상당히 저조한 수준)</x:v>
      </x:c>
      <x:c r="R31" s="3" t="str">
        <x:f>IF(초입!AP31="","",초입!AP31)</x:f>
        <x:v>적응행동검사 요청 / 장애유형 기재 / 한셀 장애유형 확인 / 수정공문 완료</x:v>
      </x:c>
      <x:c r="S31" s="3" t="str">
        <x:f>IF(초입!AD31="","",초입!AD31)</x:f>
        <x:v>010-9857-2024</x:v>
      </x:c>
      <x:c r="T31" s="3" t="str">
        <x:f>IF(초입!AE31="","",초입!AE31)</x:f>
        <x:v/>
      </x:c>
      <x:c r="U31" s="3" t="str">
        <x:f>IF(초입!M31="","",초입!M31)</x:f>
        <x:v>경기도 남양주시 순화궁로 458-16, 1704동 1204호(별내동, 별내퍼스트포레)</x:v>
      </x:c>
      <x:c r="V31" s="7"/>
      <x:c r="W31" s="7"/>
      <x:c r="X31" s="7"/>
    </x:row>
    <x:row r="32" spans="1:24" customFormat="1" ht="131.69999999999998863132" hidden="1">
      <x:c r="A32" s="3"/>
      <x:c r="B32" s="3" t="s">
        <x:v>194</x:v>
      </x:c>
      <x:c r="C32" s="3" t="str">
        <x:f>IF(초입!H32&lt;&gt;"","O","")</x:f>
        <x:v/>
      </x:c>
      <x:c r="D32" s="3" t="str">
        <x:f>IF(초입!I32&lt;&gt;"","O","")</x:f>
        <x:v>O</x:v>
      </x:c>
      <x:c r="E32" s="3" t="str">
        <x:f>초입!B32</x:f>
        <x:v>호평한마음어린이집</x:v>
      </x:c>
      <x:c r="F32" s="3" t="str">
        <x:f>IF(초입!C32="","",초입!C32)</x:f>
        <x:v/>
      </x:c>
      <x:c r="G32" s="3">
        <x:f>IF(초입!D32="","",초입!D32)</x:f>
        <x:v>3</x:v>
      </x:c>
      <x:c r="H32" s="3" t="str">
        <x:f>IF(초입!E32="","",초입!E32)</x:f>
        <x:v>정모건</x:v>
      </x:c>
      <x:c r="I32" s="3" t="str">
        <x:f>IF(초입!F32="","",초입!F32)</x:f>
        <x:v>남</x:v>
      </x:c>
      <x:c r="J32" s="3" t="str">
        <x:f>IF(초입!G32="","",초입!G32)</x:f>
        <x:v>2020.01.15.</x:v>
      </x:c>
      <x:c r="K32" s="3" t="str">
        <x:f>IF(초입!J32="","",초입!J32)</x:f>
        <x:v>발달지체</x:v>
      </x:c>
      <x:c r="L32" s="3" t="str">
        <x:f>IF(초입!K32="","",초입!K32)</x:f>
        <x:v/>
      </x:c>
      <x:c r="M32" s="3" t="str">
        <x:f>IF(초입!L32="","",초입!L32)</x:f>
        <x:v/>
      </x:c>
      <x:c r="N32" s="3" t="str">
        <x:f>IF(초입!AF32="","","1. "&amp;초입!AF32&amp;IF(초입!AI32&lt;&gt;"",CHAR(10)&amp;"2. "&amp;초입!AI32,"")&amp;IF(초입!AL32&lt;&gt;"",CHAR(10)&amp;"3. "&amp;초입!AL32,""))</x:f>
        <x:v/>
      </x:c>
      <x:c r="O32" s="3" t="str">
        <x:f>IF(초입!AG32="","",초입!AG32&amp;IF(초입!AJ32&lt;&gt;"",CHAR(10)&amp;초입!AJ32,"")&amp;IF(초입!AM32&lt;&gt;"",CHAR(10)&amp;초입!AM32,""))</x:f>
        <x:v/>
      </x:c>
      <x:c r="P32" s="3" t="str">
        <x:f>IF(초입!AH32="","",초입!AH32&amp;IF(초입!AK32&lt;&gt;"",CHAR(10)&amp;초입!AK32,"")&amp;IF(초입!AN32&lt;&gt;"",CHAR(10)&amp;초입!AN32,""))</x:f>
        <x:v/>
      </x:c>
      <x:c r="Q32" s="3" t="str">
        <x:f>IF(초입!AO32="","",초입!AO32)</x:f>
        <x:v>※심리평가보고서(2025.7.31.)
□K-WPPSI-IV: 전체IQ 43 (언어이해 50, 시공간 46, 유동추론 51,        
  작업기억 79, 처리속도 50/매우낮음)
□K-CARS-Ⅱ(ST): 총점 28.5점(증상이 없거나 최소한의 자폐 관련 행동)
□K-vineland-Ⅱ: 46(낮음/백분위0.1/%ile)
※심리평가보고서(2025.8.7.)
□PRES: 수용언어 25개월 2%ile 미만, 표현언어 23개월 2%ile 미만, 통합언어 24개월, 3년 이상 지연</x:v>
      </x:c>
      <x:c r="R32" s="3" t="str">
        <x:f>IF(초입!AP32="","",초입!AP32)</x:f>
        <x:v>추후 장애등록&amp;장애유형변경 예정</x:v>
      </x:c>
      <x:c r="S32" s="3" t="str">
        <x:f>IF(초입!AD32="","",초입!AD32)</x:f>
        <x:v>010-2045-9252</x:v>
      </x:c>
      <x:c r="T32" s="3" t="str">
        <x:f>IF(초입!AE32="","",초입!AE32)</x:f>
        <x:v/>
      </x:c>
      <x:c r="U32" s="3" t="str">
        <x:f>IF(초입!M32="","",초입!M32)</x:f>
        <x:v>경기도 남양주시 천마산로 65-2 103동 1503호(라인그린아파트)</x:v>
      </x:c>
      <x:c r="V32" s="7"/>
      <x:c r="W32" s="7"/>
      <x:c r="X32" s="7"/>
    </x:row>
    <x:row r="33" spans="1:24" customFormat="1" ht="26.35000000000000142109">
      <x:c r="A33" s="3">
        <x:f>SUBTOTAL(103,$N$6:N33)</x:f>
        <x:v>7</x:v>
      </x:c>
      <x:c r="B33" s="3" t="s">
        <x:v>194</x:v>
      </x:c>
      <x:c r="C33" s="3" t="str">
        <x:f>IF(초입!H33&lt;&gt;"","O","")</x:f>
        <x:v>O</x:v>
      </x:c>
      <x:c r="D33" s="3" t="str">
        <x:f>IF(초입!I33&lt;&gt;"","O","")</x:f>
        <x:v/>
      </x:c>
      <x:c r="E33" s="3" t="str">
        <x:f>초입!B33</x:f>
        <x:v>남양주도담유치원</x:v>
      </x:c>
      <x:c r="F33" s="3" t="str">
        <x:f>IF(초입!C33="","",초입!C33)</x:f>
        <x:v>특수학급</x:v>
      </x:c>
      <x:c r="G33" s="3">
        <x:f>IF(초입!D33="","",초입!D33)</x:f>
        <x:v>3</x:v>
      </x:c>
      <x:c r="H33" s="3" t="str">
        <x:f>IF(초입!E33="","",초입!E33)</x:f>
        <x:v>윤시우</x:v>
      </x:c>
      <x:c r="I33" s="3" t="str">
        <x:f>IF(초입!F33="","",초입!F33)</x:f>
        <x:v>남</x:v>
      </x:c>
      <x:c r="J33" s="3" t="str">
        <x:f>IF(초입!G33="","",초입!G33)</x:f>
        <x:v>2020.01.07.</x:v>
      </x:c>
      <x:c r="K33" s="3" t="str">
        <x:f>IF(초입!J33="","",초입!J33)</x:f>
        <x:v>발달지체</x:v>
      </x:c>
      <x:c r="L33" s="3" t="str">
        <x:f>IF(초입!K33="","",초입!K33)</x:f>
        <x:v/>
      </x:c>
      <x:c r="M33" s="3" t="str">
        <x:f>IF(초입!L33="","",초입!L33)</x:f>
        <x:v/>
      </x:c>
      <x:c r="N33" s="3" t="str">
        <x:f>IF(초입!AG33="","","1. "&amp;초입!AG33&amp;IF(초입!AJ33&lt;&gt;"",CHAR(10)&amp;"2. "&amp;초입!AJ33,"")&amp;IF(초입!AM33&lt;&gt;"",CHAR(10)&amp;"3. "&amp;초입!AM33,""))</x:f>
        <x:v>1. 경은학교
2. 복합특수학급신설</x:v>
      </x:c>
      <x:c r="O33" s="3" t="str">
        <x:f>IF(초입!AF33="","",초입!AF33&amp;IF(초입!AI33&lt;&gt;"",CHAR(10)&amp;초입!AI33,"")&amp;IF(초입!AL33&lt;&gt;"",CHAR(10)&amp;초입!AL33,""))</x:f>
        <x:v>구리남양주
구리남양주</x:v>
      </x:c>
      <x:c r="P33" s="3" t="str">
        <x:f>IF(초입!AH33="","",초입!AH33&amp;IF(초입!AK33&lt;&gt;"",CHAR(10)&amp;초입!AK33,"")&amp;IF(초입!AN33&lt;&gt;"",CHAR(10)&amp;초입!AN33,""))</x:f>
        <x:v>특수학교</x:v>
      </x:c>
      <x:c r="Q33" s="3" t="str">
        <x:f>IF(초입!AO33="","",초입!AO33)</x:f>
        <x:v/>
      </x:c>
      <x:c r="R33" s="3" t="str">
        <x:f>IF(초입!AP33="","",초입!AP33)</x:f>
        <x:v>장애등록X, 특수학급학생, 최근거리교 확인 및 수정, 한셀시트2 추가 요청 / 수정공문 완료</x:v>
      </x:c>
      <x:c r="S33" s="3" t="str">
        <x:f>IF(초입!AD33="","",초입!AD33)</x:f>
        <x:v>010-4903-3602</x:v>
      </x:c>
      <x:c r="T33" s="3" t="str">
        <x:f>IF(초입!AE33="","",초입!AE33)</x:f>
        <x:v/>
      </x:c>
      <x:c r="U33" s="3" t="str">
        <x:f>IF(초입!M33="","",초입!M33)</x:f>
        <x:v>경기도 남양주시 진접읍 봉현로 36번길 11-1, 105동 506호(삼신아파트)</x:v>
      </x:c>
      <x:c r="V33" s="7"/>
      <x:c r="W33" s="7"/>
      <x:c r="X33" s="7"/>
    </x:row>
    <x:row r="34" spans="1:24" customFormat="1" ht="26.35000000000000142109" hidden="1">
      <x:c r="A34" s="3"/>
      <x:c r="B34" s="3" t="s">
        <x:v>194</x:v>
      </x:c>
      <x:c r="C34" s="3" t="str">
        <x:f>IF(초입!H34&lt;&gt;"","O","")</x:f>
        <x:v>O</x:v>
      </x:c>
      <x:c r="D34" s="3" t="str">
        <x:f>IF(초입!I34&lt;&gt;"","O","")</x:f>
        <x:v/>
      </x:c>
      <x:c r="E34" s="3" t="str">
        <x:f>초입!B34</x:f>
        <x:v>창현유치원</x:v>
      </x:c>
      <x:c r="F34" s="3" t="str">
        <x:f>IF(초입!C34="","",초입!C34)</x:f>
        <x:v>특수학급</x:v>
      </x:c>
      <x:c r="G34" s="3">
        <x:f>IF(초입!D34="","",초입!D34)</x:f>
        <x:v>3</x:v>
      </x:c>
      <x:c r="H34" s="3" t="str">
        <x:f>IF(초입!E34="","",초입!E34)</x:f>
        <x:v>권우주</x:v>
      </x:c>
      <x:c r="I34" s="3" t="str">
        <x:f>IF(초입!F34="","",초입!F34)</x:f>
        <x:v>남</x:v>
      </x:c>
      <x:c r="J34" s="3" t="str">
        <x:f>IF(초입!G34="","",초입!G34)</x:f>
        <x:v>2020.08.23.</x:v>
      </x:c>
      <x:c r="K34" s="3" t="str">
        <x:f>IF(초입!J34="","",초입!J34)</x:f>
        <x:v>발달지체</x:v>
      </x:c>
      <x:c r="L34" s="3" t="str">
        <x:f>IF(초입!K34="","",초입!K34)</x:f>
        <x:v/>
      </x:c>
      <x:c r="M34" s="3" t="str">
        <x:f>IF(초입!L34="","",초입!L34)</x:f>
        <x:v/>
      </x:c>
      <x:c r="N34" s="3" t="str">
        <x:f>IF(초입!AF34="","","1. "&amp;초입!AF34&amp;IF(초입!AI34&lt;&gt;"",CHAR(10)&amp;"2. "&amp;초입!AI34,"")&amp;IF(초입!AL34&lt;&gt;"",CHAR(10)&amp;"3. "&amp;초입!AL34,""))</x:f>
        <x:v/>
      </x:c>
      <x:c r="O34" s="3" t="str">
        <x:f>IF(초입!AG34="","",초입!AG34&amp;IF(초입!AJ34&lt;&gt;"",CHAR(10)&amp;초입!AJ34,"")&amp;IF(초입!AM34&lt;&gt;"",CHAR(10)&amp;초입!AM34,""))</x:f>
        <x:v/>
      </x:c>
      <x:c r="P34" s="3" t="str">
        <x:f>IF(초입!AH34="","",초입!AH34&amp;IF(초입!AK34&lt;&gt;"",CHAR(10)&amp;초입!AK34,"")&amp;IF(초입!AN34&lt;&gt;"",CHAR(10)&amp;초입!AN34,""))</x:f>
        <x:v/>
      </x:c>
      <x:c r="Q34" s="3" t="str">
        <x:f>IF(초입!AO34="","",초입!AO34)</x:f>
        <x:v/>
      </x:c>
      <x:c r="R34" s="3" t="str">
        <x:f>IF(초입!AP34="","",초입!AP34)</x:f>
        <x:v>서식2 장애명 지체장애로 기재. / 발달지체로 수정공문 들어옴</x:v>
      </x:c>
      <x:c r="S34" s="3" t="str">
        <x:f>IF(초입!AD34="","",초입!AD34)</x:f>
        <x:v>010-4330-0124</x:v>
      </x:c>
      <x:c r="T34" s="3" t="str">
        <x:f>IF(초입!AE34="","",초입!AE34)</x:f>
        <x:v/>
      </x:c>
      <x:c r="U34" s="3" t="str">
        <x:f>IF(초입!M34="","",초입!M34)</x:f>
        <x:v>경기도 남양주시 화도읍 녹촌로 51, 신창현두산위브 104동 1101호</x:v>
      </x:c>
      <x:c r="V34" s="7"/>
      <x:c r="W34" s="7"/>
      <x:c r="X34" s="7"/>
    </x:row>
    <x:row r="35" spans="1:24" customFormat="1" ht="26.35000000000000142109" hidden="1">
      <x:c r="A35" s="3"/>
      <x:c r="B35" s="3" t="s">
        <x:v>194</x:v>
      </x:c>
      <x:c r="C35" s="3" t="str">
        <x:f>IF(초입!H35&lt;&gt;"","O","")</x:f>
        <x:v>O</x:v>
      </x:c>
      <x:c r="D35" s="3" t="str">
        <x:f>IF(초입!I35&lt;&gt;"","O","")</x:f>
        <x:v/>
      </x:c>
      <x:c r="E35" s="3" t="str">
        <x:f>초입!B35</x:f>
        <x:v>창현유치원</x:v>
      </x:c>
      <x:c r="F35" s="3" t="str">
        <x:f>IF(초입!C35="","",초입!C35)</x:f>
        <x:v>특수학급</x:v>
      </x:c>
      <x:c r="G35" s="3">
        <x:f>IF(초입!D35="","",초입!D35)</x:f>
        <x:v>3</x:v>
      </x:c>
      <x:c r="H35" s="3" t="str">
        <x:f>IF(초입!E35="","",초입!E35)</x:f>
        <x:v>이로운</x:v>
      </x:c>
      <x:c r="I35" s="3" t="str">
        <x:f>IF(초입!F35="","",초입!F35)</x:f>
        <x:v>남</x:v>
      </x:c>
      <x:c r="J35" s="3" t="str">
        <x:f>IF(초입!G35="","",초입!G35)</x:f>
        <x:v>2020.03.07.</x:v>
      </x:c>
      <x:c r="K35" s="3" t="str">
        <x:f>IF(초입!J35="","",초입!J35)</x:f>
        <x:v>자폐성장애</x:v>
      </x:c>
      <x:c r="L35" s="3" t="str">
        <x:f>IF(초입!K35="","",초입!K35)</x:f>
        <x:v/>
      </x:c>
      <x:c r="M35" s="3" t="str">
        <x:f>IF(초입!L35="","",초입!L35)</x:f>
        <x:v/>
      </x:c>
      <x:c r="N35" s="3" t="str">
        <x:f>IF(초입!AF35="","","1. "&amp;초입!AF35&amp;IF(초입!AI35&lt;&gt;"",CHAR(10)&amp;"2. "&amp;초입!AI35,"")&amp;IF(초입!AL35&lt;&gt;"",CHAR(10)&amp;"3. "&amp;초입!AL35,""))</x:f>
        <x:v/>
      </x:c>
      <x:c r="O35" s="3" t="str">
        <x:f>IF(초입!AG35="","",초입!AG35&amp;IF(초입!AJ35&lt;&gt;"",CHAR(10)&amp;초입!AJ35,"")&amp;IF(초입!AM35&lt;&gt;"",CHAR(10)&amp;초입!AM35,""))</x:f>
        <x:v/>
      </x:c>
      <x:c r="P35" s="3" t="str">
        <x:f>IF(초입!AH35="","",초입!AH35&amp;IF(초입!AK35&lt;&gt;"",CHAR(10)&amp;초입!AK35,"")&amp;IF(초입!AN35&lt;&gt;"",CHAR(10)&amp;초입!AN35,""))</x:f>
        <x:v/>
      </x:c>
      <x:c r="Q35" s="3" t="str">
        <x:f>IF(초입!AO35="","",초입!AO35)</x:f>
        <x:v/>
      </x:c>
      <x:c r="R35" s="3" t="str">
        <x:f>IF(초입!AP35="","",초입!AP35)</x:f>
        <x:v>희망교 거리 체크 후 바뀜. (창현,마석&gt;송라,창현)</x:v>
      </x:c>
      <x:c r="S35" s="3" t="str">
        <x:f>IF(초입!AD35="","",초입!AD35)</x:f>
        <x:v>010-8964-0732</x:v>
      </x:c>
      <x:c r="T35" s="3" t="str">
        <x:f>IF(초입!AE35="","",초입!AE35)</x:f>
        <x:v/>
      </x:c>
      <x:c r="U35" s="3" t="str">
        <x:f>IF(초입!M35="","",초입!M35)</x:f>
        <x:v>경기도 남양주시 화도읍 경춘보학2길 30, 101-1901(라온프라이빗)</x:v>
      </x:c>
      <x:c r="V35" s="7"/>
      <x:c r="W35" s="7"/>
      <x:c r="X35" s="7"/>
    </x:row>
    <x:row r="36" spans="1:24" customFormat="1" ht="39.54999999999999715783">
      <x:c r="A36" s="3">
        <x:f>SUBTOTAL(103,$N$6:N36)</x:f>
        <x:v>8</x:v>
      </x:c>
      <x:c r="B36" s="3" t="s">
        <x:v>194</x:v>
      </x:c>
      <x:c r="C36" s="3" t="str">
        <x:f>IF(초입!H36&lt;&gt;"","O","")</x:f>
        <x:v>O</x:v>
      </x:c>
      <x:c r="D36" s="3" t="str">
        <x:f>IF(초입!I36&lt;&gt;"","O","")</x:f>
        <x:v/>
      </x:c>
      <x:c r="E36" s="3" t="str">
        <x:f>초입!B36</x:f>
        <x:v>창현유치원</x:v>
      </x:c>
      <x:c r="F36" s="3" t="str">
        <x:f>IF(초입!C36="","",초입!C36)</x:f>
        <x:v>특수학급</x:v>
      </x:c>
      <x:c r="G36" s="3">
        <x:f>IF(초입!D36="","",초입!D36)</x:f>
        <x:v>3</x:v>
      </x:c>
      <x:c r="H36" s="3" t="str">
        <x:f>IF(초입!E36="","",초입!E36)</x:f>
        <x:v>최은우</x:v>
      </x:c>
      <x:c r="I36" s="3" t="str">
        <x:f>IF(초입!F36="","",초입!F36)</x:f>
        <x:v>남</x:v>
      </x:c>
      <x:c r="J36" s="3" t="str">
        <x:f>IF(초입!G36="","",초입!G36)</x:f>
        <x:v>2020.01.14.</x:v>
      </x:c>
      <x:c r="K36" s="3" t="str">
        <x:f>IF(초입!J36="","",초입!J36)</x:f>
        <x:v>발달지체</x:v>
      </x:c>
      <x:c r="L36" s="3" t="str">
        <x:f>IF(초입!K36="","",초입!K36)</x:f>
        <x:v/>
      </x:c>
      <x:c r="M36" s="3" t="str">
        <x:f>IF(초입!L36="","",초입!L36)</x:f>
        <x:v/>
      </x:c>
      <x:c r="N36" s="3" t="str">
        <x:f>IF(초입!AG36="","","1. "&amp;초입!AG36&amp;IF(초입!AJ36&lt;&gt;"",CHAR(10)&amp;"2. "&amp;초입!AJ36,"")&amp;IF(초입!AM36&lt;&gt;"",CHAR(10)&amp;"3. "&amp;초입!AM36,""))</x:f>
        <x:v>1. 경은학교
2. 복합특수학급신설
3. 성광학교</x:v>
      </x:c>
      <x:c r="O36" s="3" t="str">
        <x:f>IF(초입!AF36="","",초입!AF36&amp;IF(초입!AI36&lt;&gt;"",CHAR(10)&amp;초입!AI36,"")&amp;IF(초입!AL36&lt;&gt;"",CHAR(10)&amp;초입!AL36,""))</x:f>
        <x:v>구리남양주
구리남양주
광주하남</x:v>
      </x:c>
      <x:c r="P36" s="3" t="str">
        <x:f>IF(초입!AH36="","",초입!AH36&amp;IF(초입!AK36&lt;&gt;"",CHAR(10)&amp;초입!AK36,"")&amp;IF(초입!AN36&lt;&gt;"",CHAR(10)&amp;초입!AN36,""))</x:f>
        <x:v>특수학교
특수학교</x:v>
      </x:c>
      <x:c r="Q36" s="3" t="str">
        <x:f>IF(초입!AO36="","",초입!AO36)</x:f>
        <x:v/>
      </x:c>
      <x:c r="R36" s="3" t="str">
        <x:f>IF(초입!AP36="","",초입!AP36)</x:f>
        <x:v>장애유형, 특수학교 희망교 수정 요청 / 최근거리는 창현초이지만, 학구가 마석초등학교임 / 발달지체로 서식1,2 수정공문 들어옴</x:v>
      </x:c>
      <x:c r="S36" s="3" t="str">
        <x:f>IF(초입!AD36="","",초입!AD36)</x:f>
        <x:v>010-5555-9213</x:v>
      </x:c>
      <x:c r="T36" s="3" t="str">
        <x:f>IF(초입!AE36="","",초입!AE36)</x:f>
        <x:v/>
      </x:c>
      <x:c r="U36" s="3" t="str">
        <x:f>IF(초입!M36="","",초입!M36)</x:f>
        <x:v>경기도 남양주시 화도읍 창현로 45, 104동 601호(신창현도뮤토아파트)</x:v>
      </x:c>
      <x:c r="V36" s="7"/>
      <x:c r="W36" s="7"/>
      <x:c r="X36" s="7"/>
    </x:row>
    <x:row r="37" spans="1:24" customFormat="1" ht="26.35000000000000142109" hidden="1">
      <x:c r="A37" s="3"/>
      <x:c r="B37" s="3" t="s">
        <x:v>194</x:v>
      </x:c>
      <x:c r="C37" s="3" t="str">
        <x:f>IF(초입!H37&lt;&gt;"","O","")</x:f>
        <x:v>O</x:v>
      </x:c>
      <x:c r="D37" s="3" t="str">
        <x:f>IF(초입!I37&lt;&gt;"","O","")</x:f>
        <x:v/>
      </x:c>
      <x:c r="E37" s="3" t="str">
        <x:f>초입!B37</x:f>
        <x:v>부양초등학교병설유치원</x:v>
      </x:c>
      <x:c r="F37" s="3" t="str">
        <x:f>IF(초입!C37="","",초입!C37)</x:f>
        <x:v>일반학급</x:v>
      </x:c>
      <x:c r="G37" s="3">
        <x:f>IF(초입!D37="","",초입!D37)</x:f>
        <x:v>3</x:v>
      </x:c>
      <x:c r="H37" s="3" t="str">
        <x:f>IF(초입!E37="","",초입!E37)</x:f>
        <x:v>서민재</x:v>
      </x:c>
      <x:c r="I37" s="3" t="str">
        <x:f>IF(초입!F37="","",초입!F37)</x:f>
        <x:v>남</x:v>
      </x:c>
      <x:c r="J37" s="3" t="str">
        <x:f>IF(초입!G37="","",초입!G37)</x:f>
        <x:v>2020.12.07.</x:v>
      </x:c>
      <x:c r="K37" s="3" t="str">
        <x:f>IF(초입!J37="","",초입!J37)</x:f>
        <x:v>발달지체</x:v>
      </x:c>
      <x:c r="L37" s="3" t="str">
        <x:f>IF(초입!K37="","",초입!K37)</x:f>
        <x:v/>
      </x:c>
      <x:c r="M37" s="3" t="str">
        <x:f>IF(초입!L37="","",초입!L37)</x:f>
        <x:v/>
      </x:c>
      <x:c r="N37" s="3" t="str">
        <x:f>IF(초입!AF37="","","1. "&amp;초입!AF37&amp;IF(초입!AI37&lt;&gt;"",CHAR(10)&amp;"2. "&amp;초입!AI37,"")&amp;IF(초입!AL37&lt;&gt;"",CHAR(10)&amp;"3. "&amp;초입!AL37,""))</x:f>
        <x:v/>
      </x:c>
      <x:c r="O37" s="3" t="str">
        <x:f>IF(초입!AG37="","",초입!AG37&amp;IF(초입!AJ37&lt;&gt;"",CHAR(10)&amp;초입!AJ37,"")&amp;IF(초입!AM37&lt;&gt;"",CHAR(10)&amp;초입!AM37,""))</x:f>
        <x:v/>
      </x:c>
      <x:c r="P37" s="3" t="str">
        <x:f>IF(초입!AH37="","",초입!AH37&amp;IF(초입!AK37&lt;&gt;"",CHAR(10)&amp;초입!AK37,"")&amp;IF(초입!AN37&lt;&gt;"",CHAR(10)&amp;초입!AN37,""))</x:f>
        <x:v/>
      </x:c>
      <x:c r="Q37" s="3" t="str">
        <x:f>IF(초입!AO37="","",초입!AO37)</x:f>
        <x:v/>
      </x:c>
      <x:c r="R37" s="3" t="str">
        <x:f>IF(초입!AP37="","",초입!AP37)</x:f>
        <x:v>주소 확인자 서명 누락. 수정요청. / 수정완료</x:v>
      </x:c>
      <x:c r="S37" s="3" t="str">
        <x:f>IF(초입!AD37="","",초입!AD37)</x:f>
        <x:v>010-7737-6854</x:v>
      </x:c>
      <x:c r="T37" s="3" t="str">
        <x:f>IF(초입!AE37="","",초입!AE37)</x:f>
        <x:v/>
      </x:c>
      <x:c r="U37" s="3" t="str">
        <x:f>IF(초입!M37="","",초입!M37)</x:f>
        <x:v>경기도 구리시 체육관로 66 대림한숲@ 105-1407</x:v>
      </x:c>
      <x:c r="V37" s="7"/>
      <x:c r="W37" s="7"/>
      <x:c r="X37" s="7"/>
    </x:row>
    <x:row r="38" spans="1:24" customFormat="1" ht="65.84999999999999431566">
      <x:c r="A38" s="3">
        <x:f>SUBTOTAL(103,$N$6:N38)</x:f>
        <x:v>9</x:v>
      </x:c>
      <x:c r="B38" s="3" t="s">
        <x:v>194</x:v>
      </x:c>
      <x:c r="C38" s="3" t="str">
        <x:f>IF(초입!H38&lt;&gt;"","O","")</x:f>
        <x:v/>
      </x:c>
      <x:c r="D38" s="3" t="str">
        <x:f>IF(초입!I38&lt;&gt;"","O","")</x:f>
        <x:v>O</x:v>
      </x:c>
      <x:c r="E38" s="3" t="str">
        <x:f>초입!B38</x:f>
        <x:v>일본사이타마시립특별지원학교</x:v>
      </x:c>
      <x:c r="F38" s="3" t="str">
        <x:f>IF(초입!C38="","",초입!C38)</x:f>
        <x:v/>
      </x:c>
      <x:c r="G38" s="3">
        <x:f>IF(초입!D38="","",초입!D38)</x:f>
        <x:v>1</x:v>
      </x:c>
      <x:c r="H38" s="3" t="str">
        <x:f>IF(초입!E38="","",초입!E38)</x:f>
        <x:v>양세린</x:v>
      </x:c>
      <x:c r="I38" s="3" t="str">
        <x:f>IF(초입!F38="","",초입!F38)</x:f>
        <x:v>여</x:v>
      </x:c>
      <x:c r="J38" s="3" t="str">
        <x:f>IF(초입!G38="","",초입!G38)</x:f>
        <x:v>2019.12.30.</x:v>
      </x:c>
      <x:c r="K38" s="3" t="str">
        <x:f>IF(초입!J38="","",초입!J38)</x:f>
        <x:v>지적장애</x:v>
      </x:c>
      <x:c r="L38" s="3" t="str">
        <x:f>IF(초입!K38="","",초입!K38)</x:f>
        <x:v/>
      </x:c>
      <x:c r="M38" s="3" t="str">
        <x:f>IF(초입!L38="","",초입!L38)</x:f>
        <x:v/>
      </x:c>
      <x:c r="N38" s="3" t="str">
        <x:f>IF(초입!AG38="","","1. "&amp;초입!AG38&amp;IF(초입!AJ38&lt;&gt;"",CHAR(10)&amp;"2. "&amp;초입!AJ38,"")&amp;IF(초입!AM38&lt;&gt;"",CHAR(10)&amp;"3. "&amp;초입!AM38,""))</x:f>
        <x:v>1. 경은학교</x:v>
      </x:c>
      <x:c r="O38" s="3" t="str">
        <x:f>IF(초입!AF38="","",초입!AF38&amp;IF(초입!AI38&lt;&gt;"",CHAR(10)&amp;초입!AI38,"")&amp;IF(초입!AL38&lt;&gt;"",CHAR(10)&amp;초입!AL38,""))</x:f>
        <x:v>구리남양주</x:v>
      </x:c>
      <x:c r="P38" s="3" t="str">
        <x:f>IF(초입!AH38="","",초입!AH38&amp;IF(초입!AK38&lt;&gt;"",CHAR(10)&amp;초입!AK38,"")&amp;IF(초입!AN38&lt;&gt;"",CHAR(10)&amp;초입!AN38,""))</x:f>
        <x:v>특수학교</x:v>
      </x:c>
      <x:c r="Q38" s="3" t="str">
        <x:f>IF(초입!AO38="","",초입!AO38)</x:f>
        <x:v>※2026년 1월 22일 검사 실시
□ K-WPPSI-Ⅳ: 전체IQ 41(언어이해 50, 시공간 46, 유동추론 45, 작업기억 45, 처리속도 45/매우 낮음)
□ 사회성숙도: SA 2세8개월, SQ 44.66(중등도)
□ 적응행동: 표준점수 51(상당히 저조한 수준)</x:v>
      </x:c>
      <x:c r="R38" s="3" t="str">
        <x:f>IF(초입!AP38="","",초입!AP38)</x:f>
        <x:v>특수학교를 희망하나 일본에 거주 중이라, 7~8월 중 심층관찰 일정 협의 예정</x:v>
      </x:c>
      <x:c r="S38" s="3" t="str">
        <x:f>IF(초입!AD38="","",초입!AD38)</x:f>
        <x:v>010-8175-2518</x:v>
      </x:c>
      <x:c r="T38" s="3" t="str">
        <x:f>IF(초입!AE38="","",초입!AE38)</x:f>
        <x:v/>
      </x:c>
      <x:c r="U38" s="3" t="str">
        <x:f>IF(초입!M38="","",초입!M38)</x:f>
        <x:v>경기도 남양주시 다산중앙로82번길 106, 6401동 2605호</x:v>
      </x:c>
      <x:c r="V38" s="7"/>
      <x:c r="W38" s="7"/>
      <x:c r="X38" s="7"/>
    </x:row>
    <x:row r="39" spans="1:24" customFormat="1" ht="39.54999999999999715783">
      <x:c r="A39" s="3">
        <x:f>SUBTOTAL(103,$N$6:N39)</x:f>
        <x:v>10</x:v>
      </x:c>
      <x:c r="B39" s="3" t="s">
        <x:v>194</x:v>
      </x:c>
      <x:c r="C39" s="3" t="str">
        <x:f>IF(초입!H39&lt;&gt;"","O","")</x:f>
        <x:v/>
      </x:c>
      <x:c r="D39" s="3" t="str">
        <x:f>IF(초입!I39&lt;&gt;"","O","")</x:f>
        <x:v>O</x:v>
      </x:c>
      <x:c r="E39" s="3" t="str">
        <x:f>초입!B39</x:f>
        <x:v>시립하나어린이집</x:v>
      </x:c>
      <x:c r="F39" s="3" t="str">
        <x:f>IF(초입!C39="","",초입!C39)</x:f>
        <x:v/>
      </x:c>
      <x:c r="G39" s="3">
        <x:f>IF(초입!D39="","",초입!D39)</x:f>
        <x:v>3</x:v>
      </x:c>
      <x:c r="H39" s="3" t="str">
        <x:f>IF(초입!E39="","",초입!E39)</x:f>
        <x:v>윤하진</x:v>
      </x:c>
      <x:c r="I39" s="3" t="str">
        <x:f>IF(초입!F39="","",초입!F39)</x:f>
        <x:v>남</x:v>
      </x:c>
      <x:c r="J39" s="3" t="str">
        <x:f>IF(초입!G39="","",초입!G39)</x:f>
        <x:v>2018.02.11.</x:v>
      </x:c>
      <x:c r="K39" s="3" t="str">
        <x:f>IF(초입!J39="","",초입!J39)</x:f>
        <x:v>중도중복장애</x:v>
      </x:c>
      <x:c r="L39" s="3" t="str">
        <x:f>IF(초입!K39="","",초입!K39)</x:f>
        <x:v>지적·뇌병변장애</x:v>
      </x:c>
      <x:c r="M39" s="3" t="str">
        <x:f>IF(초입!L39="","",초입!L39)</x:f>
        <x:v>중증</x:v>
      </x:c>
      <x:c r="N39" s="3" t="str">
        <x:f>IF(초입!AG39="","","1. "&amp;초입!AG39&amp;IF(초입!AJ39&lt;&gt;"",CHAR(10)&amp;"2. "&amp;초입!AJ39,"")&amp;IF(초입!AM39&lt;&gt;"",CHAR(10)&amp;"3. "&amp;초입!AM39,""))</x:f>
        <x:v>1. 경은학교</x:v>
      </x:c>
      <x:c r="O39" s="3" t="str">
        <x:f>IF(초입!AF39="","",초입!AF39&amp;IF(초입!AI39&lt;&gt;"",CHAR(10)&amp;초입!AI39,"")&amp;IF(초입!AL39&lt;&gt;"",CHAR(10)&amp;초입!AL39,""))</x:f>
        <x:v>구리남양주</x:v>
      </x:c>
      <x:c r="P39" s="3" t="str">
        <x:f>IF(초입!AH39="","",초입!AH39&amp;IF(초입!AK39&lt;&gt;"",CHAR(10)&amp;초입!AK39,"")&amp;IF(초입!AN39&lt;&gt;"",CHAR(10)&amp;초입!AN39,""))</x:f>
        <x:v>특수학교</x:v>
      </x:c>
      <x:c r="Q39" s="3" t="str">
        <x:f>IF(초입!AO39="","",초입!AO39)</x:f>
        <x:v>□ 복지카드: 지적·뇌병변장애 중증(~2030.10.24.)
□ 장애인증명서(지적장애 심한장애, 뇌병변 심한장애, 2019.07.05.)</x:v>
      </x:c>
      <x:c r="R39" s="3" t="str">
        <x:f>IF(초입!AP39="","",초입!AP39)</x:f>
        <x:v>장애인증명서 확인 필요 / 제출완료</x:v>
      </x:c>
      <x:c r="S39" s="3" t="str">
        <x:f>IF(초입!AD39="","",초입!AD39)</x:f>
        <x:v>010-4310-8179</x:v>
      </x:c>
      <x:c r="T39" s="3" t="str">
        <x:f>IF(초입!AE39="","",초입!AE39)</x:f>
        <x:v/>
      </x:c>
      <x:c r="U39" s="3" t="str">
        <x:f>IF(초입!M39="","",초입!M39)</x:f>
        <x:v>경기도 남양주시 화도읍 비룡로 56-8, 101동 1802호</x:v>
      </x:c>
      <x:c r="V39" s="7"/>
      <x:c r="W39" s="7"/>
      <x:c r="X39" s="7"/>
    </x:row>
    <x:row r="40" spans="1:24" customFormat="1" ht="26.35000000000000142109">
      <x:c r="A40" s="3">
        <x:f>SUBTOTAL(103,$N$6:N40)</x:f>
        <x:v>11</x:v>
      </x:c>
      <x:c r="B40" s="3" t="s">
        <x:v>194</x:v>
      </x:c>
      <x:c r="C40" s="3" t="str">
        <x:f>IF(초입!H40&lt;&gt;"","O","")</x:f>
        <x:v>O</x:v>
      </x:c>
      <x:c r="D40" s="3" t="str">
        <x:f>IF(초입!I40&lt;&gt;"","O","")</x:f>
        <x:v/>
      </x:c>
      <x:c r="E40" s="3" t="str">
        <x:f>초입!B40</x:f>
        <x:v>평내초등학교병설유치원</x:v>
      </x:c>
      <x:c r="F40" s="3" t="str">
        <x:f>IF(초입!C40="","",초입!C40)</x:f>
        <x:v>순회학급</x:v>
      </x:c>
      <x:c r="G40" s="3">
        <x:f>IF(초입!D40="","",초입!D40)</x:f>
        <x:v>3</x:v>
      </x:c>
      <x:c r="H40" s="3" t="str">
        <x:f>IF(초입!E40="","",초입!E40)</x:f>
        <x:v>김보라</x:v>
      </x:c>
      <x:c r="I40" s="3" t="str">
        <x:f>IF(초입!F40="","",초입!F40)</x:f>
        <x:v>여</x:v>
      </x:c>
      <x:c r="J40" s="3" t="str">
        <x:f>IF(초입!G40="","",초입!G40)</x:f>
        <x:v>2020.08.28.</x:v>
      </x:c>
      <x:c r="K40" s="3" t="str">
        <x:f>IF(초입!J40="","",초입!J40)</x:f>
        <x:v>지체장애</x:v>
      </x:c>
      <x:c r="L40" s="3" t="str">
        <x:f>IF(초입!K40="","",초입!K40)</x:f>
        <x:v>뇌병변</x:v>
      </x:c>
      <x:c r="M40" s="3" t="str">
        <x:f>IF(초입!L40="","",초입!L40)</x:f>
        <x:v>중증</x:v>
      </x:c>
      <x:c r="N40" s="3" t="str">
        <x:f>IF(초입!AG40="","","1. "&amp;초입!AG40&amp;IF(초입!AJ40&lt;&gt;"",CHAR(10)&amp;"2. "&amp;초입!AJ40,"")&amp;IF(초입!AM40&lt;&gt;"",CHAR(10)&amp;"3. "&amp;초입!AM40,""))</x:f>
        <x:v>1. 복합특수학급신설</x:v>
      </x:c>
      <x:c r="O40" s="3" t="str">
        <x:f>IF(초입!AF40="","",초입!AF40&amp;IF(초입!AI40&lt;&gt;"",CHAR(10)&amp;초입!AI40,"")&amp;IF(초입!AL40&lt;&gt;"",CHAR(10)&amp;초입!AL40,""))</x:f>
        <x:v>구리남양주</x:v>
      </x:c>
      <x:c r="P40" s="3" t="str">
        <x:f>IF(초입!AH40="","",초입!AH40&amp;IF(초입!AK40&lt;&gt;"",CHAR(10)&amp;초입!AK40,"")&amp;IF(초입!AN40&lt;&gt;"",CHAR(10)&amp;초입!AN40,""))</x:f>
        <x:v/>
      </x:c>
      <x:c r="Q40" s="3" t="str">
        <x:f>IF(초입!AO40="","",초입!AO40)</x:f>
        <x:v>□ 장애인증명서: 뇌병변 심한</x:v>
      </x:c>
      <x:c r="R40" s="3" t="str">
        <x:f>IF(초입!AP40="","",초입!AP40)</x:f>
        <x:v>순회학급</x:v>
      </x:c>
      <x:c r="S40" s="3" t="str">
        <x:f>IF(초입!AD40="","",초입!AD40)</x:f>
        <x:v>010-6547-0279</x:v>
      </x:c>
      <x:c r="T40" s="3" t="str">
        <x:f>IF(초입!AE40="","",초입!AE40)</x:f>
        <x:v/>
      </x:c>
      <x:c r="U40" s="3" t="str">
        <x:f>IF(초입!M40="","",초입!M40)</x:f>
        <x:v>경기도 남양주시 화도읍 녹촌로20, 101동1103호(신한토탈아파트)</x:v>
      </x:c>
      <x:c r="V40" s="7"/>
      <x:c r="W40" s="7"/>
      <x:c r="X40" s="7"/>
    </x:row>
    <x:row r="41" spans="1:24" customFormat="1" ht="26.35000000000000142109" hidden="1">
      <x:c r="A41" s="3"/>
      <x:c r="B41" s="3" t="s">
        <x:v>194</x:v>
      </x:c>
      <x:c r="C41" s="3" t="str">
        <x:f>IF(초입!H41&lt;&gt;"","O","")</x:f>
        <x:v>O</x:v>
      </x:c>
      <x:c r="D41" s="3" t="str">
        <x:f>IF(초입!I41&lt;&gt;"","O","")</x:f>
        <x:v/>
      </x:c>
      <x:c r="E41" s="3" t="str">
        <x:f>초입!B41</x:f>
        <x:v>남양주송라초등학교병설유치원</x:v>
      </x:c>
      <x:c r="F41" s="3" t="str">
        <x:f>IF(초입!C41="","",초입!C41)</x:f>
        <x:v>특수학급</x:v>
      </x:c>
      <x:c r="G41" s="3">
        <x:f>IF(초입!D41="","",초입!D41)</x:f>
        <x:v>3</x:v>
      </x:c>
      <x:c r="H41" s="3" t="str">
        <x:f>IF(초입!E41="","",초입!E41)</x:f>
        <x:v>김시원</x:v>
      </x:c>
      <x:c r="I41" s="3" t="str">
        <x:f>IF(초입!F41="","",초입!F41)</x:f>
        <x:v>남</x:v>
      </x:c>
      <x:c r="J41" s="3" t="str">
        <x:f>IF(초입!G41="","",초입!G41)</x:f>
        <x:v>2020.07.04.</x:v>
      </x:c>
      <x:c r="K41" s="3" t="str">
        <x:f>IF(초입!J41="","",초입!J41)</x:f>
        <x:v>발달지체</x:v>
      </x:c>
      <x:c r="L41" s="3" t="str">
        <x:f>IF(초입!K41="","",초입!K41)</x:f>
        <x:v>언어장애</x:v>
      </x:c>
      <x:c r="M41" s="3" t="str">
        <x:f>IF(초입!L41="","",초입!L41)</x:f>
        <x:v>중증</x:v>
      </x:c>
      <x:c r="N41" s="3" t="str">
        <x:f>IF(초입!AF41="","","1. "&amp;초입!AF41&amp;IF(초입!AI41&lt;&gt;"",CHAR(10)&amp;"2. "&amp;초입!AI41,"")&amp;IF(초입!AL41&lt;&gt;"",CHAR(10)&amp;"3. "&amp;초입!AL41,""))</x:f>
        <x:v/>
      </x:c>
      <x:c r="O41" s="3" t="str">
        <x:f>IF(초입!AG41="","",초입!AG41&amp;IF(초입!AJ41&lt;&gt;"",CHAR(10)&amp;초입!AJ41,"")&amp;IF(초입!AM41&lt;&gt;"",CHAR(10)&amp;초입!AM41,""))</x:f>
        <x:v/>
      </x:c>
      <x:c r="P41" s="3" t="str">
        <x:f>IF(초입!AH41="","",초입!AH41&amp;IF(초입!AK41&lt;&gt;"",CHAR(10)&amp;초입!AK41,"")&amp;IF(초입!AN41&lt;&gt;"",CHAR(10)&amp;초입!AN41,""))</x:f>
        <x:v/>
      </x:c>
      <x:c r="Q41" s="3" t="str">
        <x:f>IF(초입!AO41="","",초입!AO41)</x:f>
        <x:v>□ 복지카드: 언어장애 심한(~2027.04.18.)</x:v>
      </x:c>
      <x:c r="R41" s="3" t="str">
        <x:f>IF(초입!AP41="","",초입!AP41)</x:f>
        <x:v/>
      </x:c>
      <x:c r="S41" s="3" t="str">
        <x:f>IF(초입!AD41="","",초입!AD41)</x:f>
        <x:v>010-7524-3737</x:v>
      </x:c>
      <x:c r="T41" s="3" t="str">
        <x:f>IF(초입!AE41="","",초입!AE41)</x:f>
        <x:v/>
      </x:c>
      <x:c r="U41" s="3" t="str">
        <x:f>IF(초입!M41="","",초입!M41)</x:f>
        <x:v>경기도 남양주시 화도읍 비룡로116번길35, 305동 303호(마석역신도브래뉴3차아파트)</x:v>
      </x:c>
      <x:c r="V41" s="7"/>
      <x:c r="W41" s="7"/>
      <x:c r="X41" s="7"/>
    </x:row>
    <x:row r="42" spans="1:24" customFormat="1" ht="26.35000000000000142109" hidden="1">
      <x:c r="A42" s="3"/>
      <x:c r="B42" s="3" t="s">
        <x:v>194</x:v>
      </x:c>
      <x:c r="C42" s="3" t="str">
        <x:f>IF(초입!H42&lt;&gt;"","O","")</x:f>
        <x:v>O</x:v>
      </x:c>
      <x:c r="D42" s="3" t="str">
        <x:f>IF(초입!I42&lt;&gt;"","O","")</x:f>
        <x:v/>
      </x:c>
      <x:c r="E42" s="3" t="str">
        <x:f>초입!B42</x:f>
        <x:v>남양주월산초등학교병설유치원</x:v>
      </x:c>
      <x:c r="F42" s="3" t="str">
        <x:f>IF(초입!C42="","",초입!C42)</x:f>
        <x:v>특수학급</x:v>
      </x:c>
      <x:c r="G42" s="3">
        <x:f>IF(초입!D42="","",초입!D42)</x:f>
        <x:v>3</x:v>
      </x:c>
      <x:c r="H42" s="3" t="str">
        <x:f>IF(초입!E42="","",초입!E42)</x:f>
        <x:v>조이언</x:v>
      </x:c>
      <x:c r="I42" s="3" t="str">
        <x:f>IF(초입!F42="","",초입!F42)</x:f>
        <x:v>남</x:v>
      </x:c>
      <x:c r="J42" s="3" t="str">
        <x:f>IF(초입!G42="","",초입!G42)</x:f>
        <x:v>2020.11.18.</x:v>
      </x:c>
      <x:c r="K42" s="3" t="str">
        <x:f>IF(초입!J42="","",초입!J42)</x:f>
        <x:v>발달지체</x:v>
      </x:c>
      <x:c r="L42" s="3" t="str">
        <x:f>IF(초입!K42="","",초입!K42)</x:f>
        <x:v/>
      </x:c>
      <x:c r="M42" s="3" t="str">
        <x:f>IF(초입!L42="","",초입!L42)</x:f>
        <x:v/>
      </x:c>
      <x:c r="N42" s="3" t="str">
        <x:f>IF(초입!AF42="","","1. "&amp;초입!AF42&amp;IF(초입!AI42&lt;&gt;"",CHAR(10)&amp;"2. "&amp;초입!AI42,"")&amp;IF(초입!AL42&lt;&gt;"",CHAR(10)&amp;"3. "&amp;초입!AL42,""))</x:f>
        <x:v/>
      </x:c>
      <x:c r="O42" s="3" t="str">
        <x:f>IF(초입!AG42="","",초입!AG42&amp;IF(초입!AJ42&lt;&gt;"",CHAR(10)&amp;초입!AJ42,"")&amp;IF(초입!AM42&lt;&gt;"",CHAR(10)&amp;초입!AM42,""))</x:f>
        <x:v/>
      </x:c>
      <x:c r="P42" s="3" t="str">
        <x:f>IF(초입!AH42="","",초입!AH42&amp;IF(초입!AK42&lt;&gt;"",CHAR(10)&amp;초입!AK42,"")&amp;IF(초입!AN42&lt;&gt;"",CHAR(10)&amp;초입!AN42,""))</x:f>
        <x:v/>
      </x:c>
      <x:c r="Q42" s="3" t="str">
        <x:f>IF(초입!AO42="","",초입!AO42)</x:f>
        <x:v/>
      </x:c>
      <x:c r="R42" s="3" t="str">
        <x:f>IF(초입!AP42="","",초입!AP42)</x:f>
        <x:v/>
      </x:c>
      <x:c r="S42" s="3" t="str">
        <x:f>IF(초입!AD42="","",초입!AD42)</x:f>
        <x:v>010-4355-5715</x:v>
      </x:c>
      <x:c r="T42" s="3" t="str">
        <x:f>IF(초입!AE42="","",초입!AE42)</x:f>
        <x:v/>
      </x:c>
      <x:c r="U42" s="3" t="str">
        <x:f>IF(초입!M42="","",초입!M42)</x:f>
        <x:v>경기도 남양주시 화도읍 비룡로 116번길35, 304동 903호 신도브래뉴3차</x:v>
      </x:c>
      <x:c r="V42" s="7"/>
      <x:c r="W42" s="7"/>
      <x:c r="X42" s="7"/>
    </x:row>
    <x:row r="43" spans="1:24" customFormat="1" ht="26.35000000000000142109" hidden="1">
      <x:c r="A43" s="3"/>
      <x:c r="B43" s="3" t="s">
        <x:v>194</x:v>
      </x:c>
      <x:c r="C43" s="3" t="str">
        <x:f>IF(초입!H43&lt;&gt;"","O","")</x:f>
        <x:v>O</x:v>
      </x:c>
      <x:c r="D43" s="3" t="str">
        <x:f>IF(초입!I43&lt;&gt;"","O","")</x:f>
        <x:v/>
      </x:c>
      <x:c r="E43" s="3" t="str">
        <x:f>초입!B43</x:f>
        <x:v>덕소초등학교병설유치원</x:v>
      </x:c>
      <x:c r="F43" s="3" t="str">
        <x:f>IF(초입!C43="","",초입!C43)</x:f>
        <x:v>일반학급</x:v>
      </x:c>
      <x:c r="G43" s="3">
        <x:f>IF(초입!D43="","",초입!D43)</x:f>
        <x:v>3</x:v>
      </x:c>
      <x:c r="H43" s="3" t="str">
        <x:f>IF(초입!E43="","",초입!E43)</x:f>
        <x:v>박경민</x:v>
      </x:c>
      <x:c r="I43" s="3" t="str">
        <x:f>IF(초입!F43="","",초입!F43)</x:f>
        <x:v>남</x:v>
      </x:c>
      <x:c r="J43" s="3" t="str">
        <x:f>IF(초입!G43="","",초입!G43)</x:f>
        <x:v>2020.02.15.</x:v>
      </x:c>
      <x:c r="K43" s="3" t="str">
        <x:f>IF(초입!J43="","",초입!J43)</x:f>
        <x:v>자폐성장애</x:v>
      </x:c>
      <x:c r="L43" s="3" t="str">
        <x:f>IF(초입!K43="","",초입!K43)</x:f>
        <x:v>자폐성장애</x:v>
      </x:c>
      <x:c r="M43" s="3" t="str">
        <x:f>IF(초입!L43="","",초입!L43)</x:f>
        <x:v>중증</x:v>
      </x:c>
      <x:c r="N43" s="3" t="str">
        <x:f>IF(초입!AF43="","","1. "&amp;초입!AF43&amp;IF(초입!AI43&lt;&gt;"",CHAR(10)&amp;"2. "&amp;초입!AI43,"")&amp;IF(초입!AL43&lt;&gt;"",CHAR(10)&amp;"3. "&amp;초입!AL43,""))</x:f>
        <x:v/>
      </x:c>
      <x:c r="O43" s="3" t="str">
        <x:f>IF(초입!AG43="","",초입!AG43&amp;IF(초입!AJ43&lt;&gt;"",CHAR(10)&amp;초입!AJ43,"")&amp;IF(초입!AM43&lt;&gt;"",CHAR(10)&amp;초입!AM43,""))</x:f>
        <x:v/>
      </x:c>
      <x:c r="P43" s="3" t="str">
        <x:f>IF(초입!AH43="","",초입!AH43&amp;IF(초입!AK43&lt;&gt;"",CHAR(10)&amp;초입!AK43,"")&amp;IF(초입!AN43&lt;&gt;"",CHAR(10)&amp;초입!AN43,""))</x:f>
        <x:v/>
      </x:c>
      <x:c r="Q43" s="3" t="str">
        <x:f>IF(초입!AO43="","",초입!AO43)</x:f>
        <x:v>□ 복지카드: 자폐성장애 중증(~2028.12.27.)</x:v>
      </x:c>
      <x:c r="R43" s="3" t="str">
        <x:f>IF(초입!AP43="","",초입!AP43)</x:f>
        <x:v/>
      </x:c>
      <x:c r="S43" s="3" t="str">
        <x:f>IF(초입!AD43="","",초입!AD43)</x:f>
        <x:v>010-3972-5994</x:v>
      </x:c>
      <x:c r="T43" s="3" t="str">
        <x:f>IF(초입!AE43="","",초입!AE43)</x:f>
        <x:v/>
      </x:c>
      <x:c r="U43" s="3" t="str">
        <x:f>IF(초입!M43="","",초입!M43)</x:f>
        <x:v>경기도 남양주시 와부읍 덕소로 71번길 9-18</x:v>
      </x:c>
      <x:c r="V43" s="7"/>
      <x:c r="W43" s="7"/>
      <x:c r="X43" s="7"/>
    </x:row>
    <x:row r="44" spans="1:24" customFormat="1" ht="39.54999999999999715783">
      <x:c r="A44" s="3">
        <x:f>SUBTOTAL(103,$N$6:N44)</x:f>
        <x:v>12</x:v>
      </x:c>
      <x:c r="B44" s="3" t="s">
        <x:v>194</x:v>
      </x:c>
      <x:c r="C44" s="3" t="str">
        <x:f>IF(초입!H44&lt;&gt;"","O","")</x:f>
        <x:v/>
      </x:c>
      <x:c r="D44" s="3" t="str">
        <x:f>IF(초입!I44&lt;&gt;"","O","")</x:f>
        <x:v>O</x:v>
      </x:c>
      <x:c r="E44" s="3" t="str">
        <x:f>초입!B44</x:f>
        <x:v>시립행복모아어린이집</x:v>
      </x:c>
      <x:c r="F44" s="3" t="str">
        <x:f>IF(초입!C44="","",초입!C44)</x:f>
        <x:v/>
      </x:c>
      <x:c r="G44" s="3">
        <x:f>IF(초입!D44="","",초입!D44)</x:f>
        <x:v>3</x:v>
      </x:c>
      <x:c r="H44" s="3" t="str">
        <x:f>IF(초입!E44="","",초입!E44)</x:f>
        <x:v>김하린</x:v>
      </x:c>
      <x:c r="I44" s="3" t="str">
        <x:f>IF(초입!F44="","",초입!F44)</x:f>
        <x:v>여</x:v>
      </x:c>
      <x:c r="J44" s="3" t="str">
        <x:f>IF(초입!G44="","",초입!G44)</x:f>
        <x:v>2020.09.02.</x:v>
      </x:c>
      <x:c r="K44" s="3" t="str">
        <x:f>IF(초입!J44="","",초입!J44)</x:f>
        <x:v>중도중복장애</x:v>
      </x:c>
      <x:c r="L44" s="3" t="str">
        <x:f>IF(초입!K44="","",초입!K44)</x:f>
        <x:v>뇌병변장애</x:v>
      </x:c>
      <x:c r="M44" s="3" t="str">
        <x:f>IF(초입!L44="","",초입!L44)</x:f>
        <x:v>중증</x:v>
      </x:c>
      <x:c r="N44" s="3" t="str">
        <x:f>IF(초입!AG44="","","1. "&amp;초입!AG44&amp;IF(초입!AJ44&lt;&gt;"",CHAR(10)&amp;"2. "&amp;초입!AJ44,"")&amp;IF(초입!AM44&lt;&gt;"",CHAR(10)&amp;"3. "&amp;초입!AM44,""))</x:f>
        <x:v>1. 경은학교
2. 복합특수학급 신설</x:v>
      </x:c>
      <x:c r="O44" s="3" t="str">
        <x:f>IF(초입!AF44="","",초입!AF44&amp;IF(초입!AI44&lt;&gt;"",CHAR(10)&amp;초입!AI44,"")&amp;IF(초입!AL44&lt;&gt;"",CHAR(10)&amp;초입!AL44,""))</x:f>
        <x:v>구리남양주
구리남양주</x:v>
      </x:c>
      <x:c r="P44" s="3" t="str">
        <x:f>IF(초입!AH44="","",초입!AH44&amp;IF(초입!AK44&lt;&gt;"",CHAR(10)&amp;초입!AK44,"")&amp;IF(초입!AN44&lt;&gt;"",CHAR(10)&amp;초입!AN44,""))</x:f>
        <x:v>특수학교
복합특수학급</x:v>
      </x:c>
      <x:c r="Q44" s="3" t="str">
        <x:f>IF(초입!AO44="","",초입!AO44)</x:f>
        <x:v>□ 복지카드: 뇌병변장애 중증(~2029.02.14.)
□ 장애인증명서(지적장애 심한 장애, 뇌병변 심한 장애, 2026.06.12.)</x:v>
      </x:c>
      <x:c r="R44" s="3" t="str">
        <x:f>IF(초입!AP44="","",초입!AP44)</x:f>
        <x:v>*학구(도심초)가 최근거리교가 아님</x:v>
      </x:c>
      <x:c r="S44" s="3" t="str">
        <x:f>IF(초입!AD44="","",초입!AD44)</x:f>
        <x:v>010-4410-6462</x:v>
      </x:c>
      <x:c r="T44" s="3" t="str">
        <x:f>IF(초입!AE44="","",초입!AE44)</x:f>
        <x:v/>
      </x:c>
      <x:c r="U44" s="3" t="str">
        <x:f>IF(초입!M44="","",초입!M44)</x:f>
        <x:v>경기도 남양주시 와부읍 덕소로 270, 113동 405호</x:v>
      </x:c>
      <x:c r="V44" s="7"/>
      <x:c r="W44" s="7"/>
      <x:c r="X44" s="7"/>
    </x:row>
    <x:row r="45" spans="1:24" customFormat="1" ht="144.90000000000000568434" hidden="1">
      <x:c r="A45" s="3"/>
      <x:c r="B45" s="3" t="s">
        <x:v>194</x:v>
      </x:c>
      <x:c r="C45" s="3" t="str">
        <x:f>IF(초입!H45&lt;&gt;"","O","")</x:f>
        <x:v/>
      </x:c>
      <x:c r="D45" s="3" t="str">
        <x:f>IF(초입!I45&lt;&gt;"","O","")</x:f>
        <x:v>O</x:v>
      </x:c>
      <x:c r="E45" s="3" t="str">
        <x:f>초입!B45</x:f>
        <x:v>랄라키즈어린이집</x:v>
      </x:c>
      <x:c r="F45" s="3" t="str">
        <x:f>IF(초입!C45="","",초입!C45)</x:f>
        <x:v/>
      </x:c>
      <x:c r="G45" s="3">
        <x:f>IF(초입!D45="","",초입!D45)</x:f>
        <x:v>3</x:v>
      </x:c>
      <x:c r="H45" s="3" t="str">
        <x:f>IF(초입!E45="","",초입!E45)</x:f>
        <x:v>임준호</x:v>
      </x:c>
      <x:c r="I45" s="3" t="str">
        <x:f>IF(초입!F45="","",초입!F45)</x:f>
        <x:v>남</x:v>
      </x:c>
      <x:c r="J45" s="3" t="str">
        <x:f>IF(초입!G45="","",초입!G45)</x:f>
        <x:v>2020.04.17.</x:v>
      </x:c>
      <x:c r="K45" s="3" t="str">
        <x:f>IF(초입!J45="","",초입!J45)</x:f>
        <x:v>자폐성장애</x:v>
      </x:c>
      <x:c r="L45" s="3" t="str">
        <x:f>IF(초입!K45="","",초입!K45)</x:f>
        <x:v/>
      </x:c>
      <x:c r="M45" s="3" t="str">
        <x:f>IF(초입!L45="","",초입!L45)</x:f>
        <x:v/>
      </x:c>
      <x:c r="N45" s="3" t="str">
        <x:f>IF(초입!AF45="","","1. "&amp;초입!AF45&amp;IF(초입!AI45&lt;&gt;"",CHAR(10)&amp;"2. "&amp;초입!AI45,"")&amp;IF(초입!AL45&lt;&gt;"",CHAR(10)&amp;"3. "&amp;초입!AL45,""))</x:f>
        <x:v/>
      </x:c>
      <x:c r="O45" s="3" t="str">
        <x:f>IF(초입!AG45="","",초입!AG45&amp;IF(초입!AJ45&lt;&gt;"",CHAR(10)&amp;초입!AJ45,"")&amp;IF(초입!AM45&lt;&gt;"",CHAR(10)&amp;초입!AM45,""))</x:f>
        <x:v/>
      </x:c>
      <x:c r="P45" s="3" t="str">
        <x:f>IF(초입!AH45="","",초입!AH45&amp;IF(초입!AK45&lt;&gt;"",CHAR(10)&amp;초입!AK45,"")&amp;IF(초입!AN45&lt;&gt;"",CHAR(10)&amp;초입!AN45,""))</x:f>
        <x:v/>
      </x:c>
      <x:c r="Q45" s="3" t="str">
        <x:f>IF(초입!AO45="","",초입!AO45)</x:f>
        <x:v>※심리평가보고서(2026.03.16.)
□ADOS-2: 총점26 (높음)(모듈1 시행, cut off 16)
□사회성숙도: SA 2세 4개월, SQ 38(매우낮음)
□K-CARS 2: 총점 39점(중도 수준의 자폐 관련 행동)
---
※2026년 7월 13일 검사 실시
□K-WISC-V: 전체IQ 40(언어이해 50, 시공간 50, 유동추론 50, 작업기억 53, 처리속도 55/매우 낮음)
□적응행동검사: 표준점수 70(저조한 수준)
□CBCL: 문제행동총점 63T(준임상범위), 
내재화 61T(준임상범위), 외현화 61T(준임상범위)</x:v>
      </x:c>
      <x:c r="R45" s="3" t="str">
        <x:f>IF(초입!AP45="","",초입!AP45)</x:f>
        <x:v/>
      </x:c>
      <x:c r="S45" s="3" t="str">
        <x:f>IF(초입!AD45="","",초입!AD45)</x:f>
        <x:v>010-7224-2726</x:v>
      </x:c>
      <x:c r="T45" s="3" t="str">
        <x:f>IF(초입!AE45="","",초입!AE45)</x:f>
        <x:v/>
      </x:c>
      <x:c r="U45" s="3" t="str">
        <x:f>IF(초입!M45="","",초입!M45)</x:f>
        <x:v>경기도 남양주시 순화궁로 18, 4107동 302호(신안인스빌)</x:v>
      </x:c>
      <x:c r="V45" s="7"/>
      <x:c r="W45" s="7"/>
      <x:c r="X45" s="7"/>
    </x:row>
    <x:row r="46" spans="1:24" customFormat="1" ht="26.35000000000000142109">
      <x:c r="A46" s="3">
        <x:f>SUBTOTAL(103,$N$6:N46)</x:f>
        <x:v>13</x:v>
      </x:c>
      <x:c r="B46" s="3" t="s">
        <x:v>194</x:v>
      </x:c>
      <x:c r="C46" s="3" t="str">
        <x:f>IF(초입!H46&lt;&gt;"","O","")</x:f>
        <x:v>O</x:v>
      </x:c>
      <x:c r="D46" s="3" t="str">
        <x:f>IF(초입!I46&lt;&gt;"","O","")</x:f>
        <x:v/>
      </x:c>
      <x:c r="E46" s="3" t="str">
        <x:f>초입!B46</x:f>
        <x:v>구지초등학교병설유치원</x:v>
      </x:c>
      <x:c r="F46" s="3" t="str">
        <x:f>IF(초입!C46="","",초입!C46)</x:f>
        <x:v>특수학급</x:v>
      </x:c>
      <x:c r="G46" s="3">
        <x:f>IF(초입!D46="","",초입!D46)</x:f>
        <x:v>3</x:v>
      </x:c>
      <x:c r="H46" s="3" t="str">
        <x:f>IF(초입!E46="","",초입!E46)</x:f>
        <x:v>김시율</x:v>
      </x:c>
      <x:c r="I46" s="3" t="str">
        <x:f>IF(초입!F46="","",초입!F46)</x:f>
        <x:v>여</x:v>
      </x:c>
      <x:c r="J46" s="3" t="str">
        <x:f>IF(초입!G46="","",초입!G46)</x:f>
        <x:v>2020.08.12.</x:v>
      </x:c>
      <x:c r="K46" s="3" t="str">
        <x:f>IF(초입!J46="","",초입!J46)</x:f>
        <x:v>자폐성장애</x:v>
      </x:c>
      <x:c r="L46" s="3" t="str">
        <x:f>IF(초입!K46="","",초입!K46)</x:f>
        <x:v>자폐성장애</x:v>
      </x:c>
      <x:c r="M46" s="3" t="str">
        <x:f>IF(초입!L46="","",초입!L46)</x:f>
        <x:v>중증</x:v>
      </x:c>
      <x:c r="N46" s="3" t="str">
        <x:f>IF(초입!AG46="","","1. "&amp;초입!AG46&amp;IF(초입!AJ46&lt;&gt;"",CHAR(10)&amp;"2. "&amp;초입!AJ46,"")&amp;IF(초입!AM46&lt;&gt;"",CHAR(10)&amp;"3. "&amp;초입!AM46,""))</x:f>
        <x:v>1. 경은학교</x:v>
      </x:c>
      <x:c r="O46" s="3" t="str">
        <x:f>IF(초입!AF46="","",초입!AF46&amp;IF(초입!AI46&lt;&gt;"",CHAR(10)&amp;초입!AI46,"")&amp;IF(초입!AL46&lt;&gt;"",CHAR(10)&amp;초입!AL46,""))</x:f>
        <x:v>구리남양주</x:v>
      </x:c>
      <x:c r="P46" s="3" t="str">
        <x:f>IF(초입!AH46="","",초입!AH46&amp;IF(초입!AK46&lt;&gt;"",CHAR(10)&amp;초입!AK46,"")&amp;IF(초입!AN46&lt;&gt;"",CHAR(10)&amp;초입!AN46,""))</x:f>
        <x:v>특수학교</x:v>
      </x:c>
      <x:c r="Q46" s="3" t="str">
        <x:f>IF(초입!AO46="","",초입!AO46)</x:f>
        <x:v>□ 복지카드: 자폐성장애 중증(~2031.12.30.)</x:v>
      </x:c>
      <x:c r="R46" s="3" t="str">
        <x:f>IF(초입!AP46="","",초입!AP46)</x:f>
        <x:v/>
      </x:c>
      <x:c r="S46" s="3" t="str">
        <x:f>IF(초입!AD46="","",초입!AD46)</x:f>
        <x:v>010-5116-2446</x:v>
      </x:c>
      <x:c r="T46" s="3" t="str">
        <x:f>IF(초입!AE46="","",초입!AE46)</x:f>
        <x:v>한미선</x:v>
      </x:c>
      <x:c r="U46" s="3" t="str">
        <x:f>IF(초입!M46="","",초입!M46)</x:f>
        <x:v>경기도 구리시 경춘로 276번길 21, 105동202호</x:v>
      </x:c>
      <x:c r="V46" s="7"/>
      <x:c r="W46" s="7"/>
      <x:c r="X46" s="7"/>
    </x:row>
    <x:row r="47" spans="1:24" customFormat="1" ht="39.54999999999999715783" hidden="1">
      <x:c r="A47" s="3"/>
      <x:c r="B47" s="3" t="s">
        <x:v>194</x:v>
      </x:c>
      <x:c r="C47" s="3" t="str">
        <x:f>IF(초입!H47&lt;&gt;"","O","")</x:f>
        <x:v>O</x:v>
      </x:c>
      <x:c r="D47" s="3" t="str">
        <x:f>IF(초입!I47&lt;&gt;"","O","")</x:f>
        <x:v/>
      </x:c>
      <x:c r="E47" s="3" t="str">
        <x:f>초입!B47</x:f>
        <x:v>구지초등학교병설유치원</x:v>
      </x:c>
      <x:c r="F47" s="3" t="str">
        <x:f>IF(초입!C47="","",초입!C47)</x:f>
        <x:v>특수학급</x:v>
      </x:c>
      <x:c r="G47" s="3">
        <x:f>IF(초입!D47="","",초입!D47)</x:f>
        <x:v>3</x:v>
      </x:c>
      <x:c r="H47" s="3" t="str">
        <x:f>IF(초입!E47="","",초입!E47)</x:f>
        <x:v>장바다</x:v>
      </x:c>
      <x:c r="I47" s="3" t="str">
        <x:f>IF(초입!F47="","",초입!F47)</x:f>
        <x:v>남</x:v>
      </x:c>
      <x:c r="J47" s="3" t="str">
        <x:f>IF(초입!G47="","",초입!G47)</x:f>
        <x:v>2020.09.04.</x:v>
      </x:c>
      <x:c r="K47" s="3" t="str">
        <x:f>IF(초입!J47="","",초입!J47)</x:f>
        <x:v>발달지체</x:v>
      </x:c>
      <x:c r="L47" s="3" t="str">
        <x:f>IF(초입!K47="","",초입!K47)</x:f>
        <x:v/>
      </x:c>
      <x:c r="M47" s="3" t="str">
        <x:f>IF(초입!L47="","",초입!L47)</x:f>
        <x:v/>
      </x:c>
      <x:c r="N47" s="3" t="str">
        <x:f>IF(초입!AF47="","","1. "&amp;초입!AF47&amp;IF(초입!AI47&lt;&gt;"",CHAR(10)&amp;"2. "&amp;초입!AI47,"")&amp;IF(초입!AL47&lt;&gt;"",CHAR(10)&amp;"3. "&amp;초입!AL47,""))</x:f>
        <x:v/>
      </x:c>
      <x:c r="O47" s="3" t="str">
        <x:f>IF(초입!AG47="","",초입!AG47&amp;IF(초입!AJ47&lt;&gt;"",CHAR(10)&amp;초입!AJ47,"")&amp;IF(초입!AM47&lt;&gt;"",CHAR(10)&amp;초입!AM47,""))</x:f>
        <x:v/>
      </x:c>
      <x:c r="P47" s="3" t="str">
        <x:f>IF(초입!AH47="","",초입!AH47&amp;IF(초입!AK47&lt;&gt;"",CHAR(10)&amp;초입!AK47,"")&amp;IF(초입!AN47&lt;&gt;"",CHAR(10)&amp;초입!AN47,""))</x:f>
        <x:v/>
      </x:c>
      <x:c r="Q47" s="3" t="str">
        <x:f>IF(초입!AO47="","",초입!AO47)</x:f>
        <x:v/>
      </x:c>
      <x:c r="R47" s="3" t="str">
        <x:f>IF(초입!AP47="","",초입!AP47)</x:f>
        <x:v>최근거리는 동구초지만, 현재 재원중인 구지초병유의 또래 관계 유지 및 원만한 학교 적응을 위해 구지초를 1희망으로 신청 / 1,2희망교는 도보</x:v>
      </x:c>
      <x:c r="S47" s="3" t="str">
        <x:f>IF(초입!AD47="","",초입!AD47)</x:f>
        <x:v>010-3009-4806</x:v>
      </x:c>
      <x:c r="T47" s="3" t="str">
        <x:f>IF(초입!AE47="","",초입!AE47)</x:f>
        <x:v>한미선</x:v>
      </x:c>
      <x:c r="U47" s="3" t="str">
        <x:f>IF(초입!M47="","",초입!M47)</x:f>
        <x:v>경기도 구리시 건원대로 92, 104동 1603호</x:v>
      </x:c>
      <x:c r="V47" s="7"/>
      <x:c r="W47" s="7"/>
      <x:c r="X47" s="7"/>
    </x:row>
    <x:row r="48" spans="1:24" customFormat="1" ht="79.04999999999999715783" hidden="1">
      <x:c r="A48" s="3"/>
      <x:c r="B48" s="3" t="s">
        <x:v>194</x:v>
      </x:c>
      <x:c r="C48" s="3" t="str">
        <x:f>IF(초입!H48&lt;&gt;"","O","")</x:f>
        <x:v>O</x:v>
      </x:c>
      <x:c r="D48" s="3" t="str">
        <x:f>IF(초입!I48&lt;&gt;"","O","")</x:f>
        <x:v/>
      </x:c>
      <x:c r="E48" s="3" t="str">
        <x:f>초입!B48</x:f>
        <x:v>남양주별빛유치원</x:v>
      </x:c>
      <x:c r="F48" s="3" t="str">
        <x:f>IF(초입!C48="","",초입!C48)</x:f>
        <x:v>특수학급</x:v>
      </x:c>
      <x:c r="G48" s="3">
        <x:f>IF(초입!D48="","",초입!D48)</x:f>
        <x:v>3</x:v>
      </x:c>
      <x:c r="H48" s="3" t="str">
        <x:f>IF(초입!E48="","",초입!E48)</x:f>
        <x:v>민서연</x:v>
      </x:c>
      <x:c r="I48" s="3" t="str">
        <x:f>IF(초입!F48="","",초입!F48)</x:f>
        <x:v>여</x:v>
      </x:c>
      <x:c r="J48" s="3" t="str">
        <x:f>IF(초입!G48="","",초입!G48)</x:f>
        <x:v>2020.06.08.</x:v>
      </x:c>
      <x:c r="K48" s="3" t="str">
        <x:f>IF(초입!J48="","",초입!J48)</x:f>
        <x:v>자폐성장애
(현 발달지체)</x:v>
      </x:c>
      <x:c r="L48" s="3" t="str">
        <x:f>IF(초입!K48="","",초입!K48)</x:f>
        <x:v/>
      </x:c>
      <x:c r="M48" s="3" t="str">
        <x:f>IF(초입!L48="","",초입!L48)</x:f>
        <x:v/>
      </x:c>
      <x:c r="N48" s="3" t="str">
        <x:f>IF(초입!AF48="","","1. "&amp;초입!AF48&amp;IF(초입!AI48&lt;&gt;"",CHAR(10)&amp;"2. "&amp;초입!AI48,"")&amp;IF(초입!AL48&lt;&gt;"",CHAR(10)&amp;"3. "&amp;초입!AL48,""))</x:f>
        <x:v/>
      </x:c>
      <x:c r="O48" s="3" t="str">
        <x:f>IF(초입!AG48="","",초입!AG48&amp;IF(초입!AJ48&lt;&gt;"",CHAR(10)&amp;초입!AJ48,"")&amp;IF(초입!AM48&lt;&gt;"",CHAR(10)&amp;초입!AM48,""))</x:f>
        <x:v/>
      </x:c>
      <x:c r="P48" s="3" t="str">
        <x:f>IF(초입!AH48="","",초입!AH48&amp;IF(초입!AK48&lt;&gt;"",CHAR(10)&amp;초입!AK48,"")&amp;IF(초입!AN48&lt;&gt;"",CHAR(10)&amp;초입!AN48,""))</x:f>
        <x:v/>
      </x:c>
      <x:c r="Q48" s="3" t="str">
        <x:f>IF(초입!AO48="","",초입!AO48)</x:f>
        <x:v>※심리평가보고서(2026.06.08.)
□ K-WPPSI-Ⅳ: 전체IQ 51(언어이해 45, 시공간 76, 유동추론 45, 작업기억 45, 처리속도 73/매우 낮음)
□사회성숙도: SA 4세 3개월, SQ 72.6(경계선)
□K-CARS 2: 총점 29점(증상이 없거나 최소한의 자폐 관련 행동)</x:v>
      </x:c>
      <x:c r="R48" s="3" t="str">
        <x:f>IF(초입!AP48="","",초입!AP48)</x:f>
        <x:v>자폐로 유형변경, 서식1 서식2 수정해서 공문 추가 받음
*보호자는 자폐 기각되면 발달지체 유지 희망
*최근거리교 미희망 의견서 첨부</x:v>
      </x:c>
      <x:c r="S48" s="3" t="str">
        <x:f>IF(초입!AD48="","",초입!AD48)</x:f>
        <x:v>010-8324-3699</x:v>
      </x:c>
      <x:c r="T48" s="3" t="str">
        <x:f>IF(초입!AE48="","",초입!AE48)</x:f>
        <x:v>황민지</x:v>
      </x:c>
      <x:c r="U48" s="3" t="str">
        <x:f>IF(초입!M48="","",초입!M48)</x:f>
        <x:v>경기도 남양주시 식송2로 6-14, 202호</x:v>
      </x:c>
      <x:c r="V48" s="7"/>
      <x:c r="W48" s="7"/>
      <x:c r="X48" s="7"/>
    </x:row>
    <x:row r="49" spans="1:24" customFormat="1" ht="52.70000000000000284217" hidden="1">
      <x:c r="A49" s="3"/>
      <x:c r="B49" s="3" t="s">
        <x:v>194</x:v>
      </x:c>
      <x:c r="C49" s="3" t="str">
        <x:f>IF(초입!H49&lt;&gt;"","O","")</x:f>
        <x:v/>
      </x:c>
      <x:c r="D49" s="3" t="str">
        <x:f>IF(초입!I49&lt;&gt;"","O","")</x:f>
        <x:v>O</x:v>
      </x:c>
      <x:c r="E49" s="3" t="str">
        <x:f>초입!B49</x:f>
        <x:v>시립와부어린이집</x:v>
      </x:c>
      <x:c r="F49" s="3" t="str">
        <x:f>IF(초입!C49="","",초입!C49)</x:f>
        <x:v/>
      </x:c>
      <x:c r="G49" s="3">
        <x:f>IF(초입!D49="","",초입!D49)</x:f>
        <x:v>3</x:v>
      </x:c>
      <x:c r="H49" s="3" t="str">
        <x:f>IF(초입!E49="","",초입!E49)</x:f>
        <x:v>이유나</x:v>
      </x:c>
      <x:c r="I49" s="3" t="str">
        <x:f>IF(초입!F49="","",초입!F49)</x:f>
        <x:v>여</x:v>
      </x:c>
      <x:c r="J49" s="3" t="str">
        <x:f>IF(초입!G49="","",초입!G49)</x:f>
        <x:v>2020.08.27.</x:v>
      </x:c>
      <x:c r="K49" s="3" t="str">
        <x:f>IF(초입!J49="","",초입!J49)</x:f>
        <x:v>지적장애</x:v>
      </x:c>
      <x:c r="L49" s="3" t="str">
        <x:f>IF(초입!K49="","",초입!K49)</x:f>
        <x:v>뇌병변장애</x:v>
      </x:c>
      <x:c r="M49" s="3" t="str">
        <x:f>IF(초입!L49="","",초입!L49)</x:f>
        <x:v>중증</x:v>
      </x:c>
      <x:c r="N49" s="3" t="str">
        <x:f>IF(초입!AF49="","","1. "&amp;초입!AF49&amp;IF(초입!AI49&lt;&gt;"",CHAR(10)&amp;"2. "&amp;초입!AI49,"")&amp;IF(초입!AL49&lt;&gt;"",CHAR(10)&amp;"3. "&amp;초입!AL49,""))</x:f>
        <x:v/>
      </x:c>
      <x:c r="O49" s="3" t="str">
        <x:f>IF(초입!AG49="","",초입!AG49&amp;IF(초입!AJ49&lt;&gt;"",CHAR(10)&amp;초입!AJ49,"")&amp;IF(초입!AM49&lt;&gt;"",CHAR(10)&amp;초입!AM49,""))</x:f>
        <x:v/>
      </x:c>
      <x:c r="P49" s="3" t="str">
        <x:f>IF(초입!AH49="","",초입!AH49&amp;IF(초입!AK49&lt;&gt;"",CHAR(10)&amp;초입!AK49,"")&amp;IF(초입!AN49&lt;&gt;"",CHAR(10)&amp;초입!AN49,""))</x:f>
        <x:v/>
      </x:c>
      <x:c r="Q49" s="3" t="str">
        <x:f>IF(초입!AO49="","",초입!AO49)</x:f>
        <x:v>□ 복지카드: 뇌병변장애 중증(~2026.12.01.)</x:v>
      </x:c>
      <x:c r="R49" s="3" t="str">
        <x:f>IF(초입!AP49="","",초입!AP49)</x:f>
        <x:v>올해 7월 중 지적장애 복지카드 발급 위한 절차 시작예정, 10월까지 검사결과는 나올 것이라고는 하셨지만, 센터에서 검사를 받는 것도 번거롭진 않다고 하셔서 논의가 필요함.</x:v>
      </x:c>
      <x:c r="S49" s="3" t="str">
        <x:f>IF(초입!AD49="","",초입!AD49)</x:f>
        <x:v>010-8864-1920</x:v>
      </x:c>
      <x:c r="T49" s="3" t="str">
        <x:f>IF(초입!AE49="","",초입!AE49)</x:f>
        <x:v/>
      </x:c>
      <x:c r="U49" s="3" t="str">
        <x:f>IF(초입!M49="","",초입!M49)</x:f>
        <x:v>경기도 남양주시 와부읍 덕소로 72, 101동 2402호</x:v>
      </x:c>
      <x:c r="V49" s="7"/>
      <x:c r="W49" s="7"/>
      <x:c r="X49" s="7"/>
    </x:row>
    <x:row r="50" spans="1:24" customFormat="1" ht="39.54999999999999715783">
      <x:c r="A50" s="3">
        <x:f>SUBTOTAL(103,$N$6:N50)</x:f>
        <x:v>14</x:v>
      </x:c>
      <x:c r="B50" s="3" t="s">
        <x:v>194</x:v>
      </x:c>
      <x:c r="C50" s="3" t="str">
        <x:f>IF(초입!H50&lt;&gt;"","O","")</x:f>
        <x:v>O</x:v>
      </x:c>
      <x:c r="D50" s="3" t="str">
        <x:f>IF(초입!I50&lt;&gt;"","O","")</x:f>
        <x:v/>
      </x:c>
      <x:c r="E50" s="3" t="str">
        <x:f>초입!B50</x:f>
        <x:v>경은학교</x:v>
      </x:c>
      <x:c r="F50" s="3" t="str">
        <x:f>IF(초입!C50="","",초입!C50)</x:f>
        <x:v>특수학교</x:v>
      </x:c>
      <x:c r="G50" s="3">
        <x:f>IF(초입!D50="","",초입!D50)</x:f>
        <x:v>3</x:v>
      </x:c>
      <x:c r="H50" s="3" t="str">
        <x:f>IF(초입!E50="","",초입!E50)</x:f>
        <x:v>김하람</x:v>
      </x:c>
      <x:c r="I50" s="3" t="str">
        <x:f>IF(초입!F50="","",초입!F50)</x:f>
        <x:v>남</x:v>
      </x:c>
      <x:c r="J50" s="3" t="str">
        <x:f>IF(초입!G50="","",초입!G50)</x:f>
        <x:v>2020.03.15.</x:v>
      </x:c>
      <x:c r="K50" s="3" t="str">
        <x:f>IF(초입!J50="","",초입!J50)</x:f>
        <x:v>자폐성장애
(현 발달지체)</x:v>
      </x:c>
      <x:c r="L50" s="3" t="str">
        <x:f>IF(초입!K50="","",초입!K50)</x:f>
        <x:v>자폐성장애</x:v>
      </x:c>
      <x:c r="M50" s="3" t="str">
        <x:f>IF(초입!L50="","",초입!L50)</x:f>
        <x:v>중증</x:v>
      </x:c>
      <x:c r="N50" s="3" t="str">
        <x:f>IF(초입!AG50="","","1. "&amp;초입!AG50&amp;IF(초입!AJ50&lt;&gt;"",CHAR(10)&amp;"2. "&amp;초입!AJ50,"")&amp;IF(초입!AM50&lt;&gt;"",CHAR(10)&amp;"3. "&amp;초입!AM50,""))</x:f>
        <x:v>1. 경은학교</x:v>
      </x:c>
      <x:c r="O50" s="3" t="str">
        <x:f>IF(초입!AF50="","",초입!AF50&amp;IF(초입!AI50&lt;&gt;"",CHAR(10)&amp;초입!AI50,"")&amp;IF(초입!AL50&lt;&gt;"",CHAR(10)&amp;초입!AL50,""))</x:f>
        <x:v>구리남양주</x:v>
      </x:c>
      <x:c r="P50" s="3" t="str">
        <x:f>IF(초입!AH50="","",초입!AH50&amp;IF(초입!AK50&lt;&gt;"",CHAR(10)&amp;초입!AK50,"")&amp;IF(초입!AN50&lt;&gt;"",CHAR(10)&amp;초입!AN50,""))</x:f>
        <x:v>특수학교</x:v>
      </x:c>
      <x:c r="Q50" s="3" t="str">
        <x:f>IF(초입!AO50="","",초입!AO50)</x:f>
        <x:v>□ 복지카드: 자폐성장애 중증(~2031.10.03.)</x:v>
      </x:c>
      <x:c r="R50" s="3" t="str">
        <x:f>IF(초입!AP50="","",초입!AP50)</x:f>
        <x:v>자폐로 장애유형 변경 요청 / 배치희망교 2,3순위 고산에서 샛별, 덕송으로 변경 요청 / 수정공문 완료</x:v>
      </x:c>
      <x:c r="S50" s="3" t="str">
        <x:f>IF(초입!AD50="","",초입!AD50)</x:f>
        <x:v>010-4860-5847</x:v>
      </x:c>
      <x:c r="T50" s="3" t="str">
        <x:f>IF(초입!AE50="","",초입!AE50)</x:f>
        <x:v>손신애</x:v>
      </x:c>
      <x:c r="U50" s="3" t="str">
        <x:f>IF(초입!M50="","",초입!M50)</x:f>
        <x:v>경기도 남양주시 별내면 68번길 24, 402동 2001호</x:v>
      </x:c>
      <x:c r="V50" s="7"/>
      <x:c r="W50" s="7"/>
      <x:c r="X50" s="7"/>
    </x:row>
    <x:row r="51" spans="1:24" customFormat="1" ht="39.54999999999999715783" hidden="1">
      <x:c r="A51" s="3"/>
      <x:c r="B51" s="3" t="s">
        <x:v>194</x:v>
      </x:c>
      <x:c r="C51" s="3" t="str">
        <x:f>IF(초입!H51&lt;&gt;"","O","")</x:f>
        <x:v>O</x:v>
      </x:c>
      <x:c r="D51" s="3" t="str">
        <x:f>IF(초입!I51&lt;&gt;"","O","")</x:f>
        <x:v/>
      </x:c>
      <x:c r="E51" s="3" t="str">
        <x:f>초입!B51</x:f>
        <x:v>다산하늘초등학교병설유치원</x:v>
      </x:c>
      <x:c r="F51" s="3" t="str">
        <x:f>IF(초입!C51="","",초입!C51)</x:f>
        <x:v>특수학급</x:v>
      </x:c>
      <x:c r="G51" s="3">
        <x:f>IF(초입!D51="","",초입!D51)</x:f>
        <x:v>3</x:v>
      </x:c>
      <x:c r="H51" s="3" t="str">
        <x:f>IF(초입!E51="","",초입!E51)</x:f>
        <x:v>배건률</x:v>
      </x:c>
      <x:c r="I51" s="3" t="str">
        <x:f>IF(초입!F51="","",초입!F51)</x:f>
        <x:v>남</x:v>
      </x:c>
      <x:c r="J51" s="3" t="str">
        <x:f>IF(초입!G51="","",초입!G51)</x:f>
        <x:v>2020.09.19.</x:v>
      </x:c>
      <x:c r="K51" s="3" t="str">
        <x:f>IF(초입!J51="","",초입!J51)</x:f>
        <x:v>발달지체</x:v>
      </x:c>
      <x:c r="L51" s="3" t="str">
        <x:f>IF(초입!K51="","",초입!K51)</x:f>
        <x:v/>
      </x:c>
      <x:c r="M51" s="3" t="str">
        <x:f>IF(초입!L51="","",초입!L51)</x:f>
        <x:v/>
      </x:c>
      <x:c r="N51" s="3" t="str">
        <x:f>IF(초입!AF51="","","1. "&amp;초입!AF51&amp;IF(초입!AI51&lt;&gt;"",CHAR(10)&amp;"2. "&amp;초입!AI51,"")&amp;IF(초입!AL51&lt;&gt;"",CHAR(10)&amp;"3. "&amp;초입!AL51,""))</x:f>
        <x:v/>
      </x:c>
      <x:c r="O51" s="3" t="str">
        <x:f>IF(초입!AG51="","",초입!AG51&amp;IF(초입!AJ51&lt;&gt;"",CHAR(10)&amp;초입!AJ51,"")&amp;IF(초입!AM51&lt;&gt;"",CHAR(10)&amp;초입!AM51,""))</x:f>
        <x:v/>
      </x:c>
      <x:c r="P51" s="3" t="str">
        <x:f>IF(초입!AH51="","",초입!AH51&amp;IF(초입!AK51&lt;&gt;"",CHAR(10)&amp;초입!AK51,"")&amp;IF(초입!AN51&lt;&gt;"",CHAR(10)&amp;초입!AN51,""))</x:f>
        <x:v/>
      </x:c>
      <x:c r="Q51" s="3" t="str">
        <x:f>IF(초입!AO51="","",초입!AO51)</x:f>
        <x:v/>
      </x:c>
      <x:c r="R51" s="3" t="str">
        <x:f>IF(초입!AP51="","",초입!AP51)</x:f>
        <x:v>최근거리교 병설유치원과의 다툼도 있었고, 현재 다니고 있는 병설유치원의 학교가 익숙해서 적응에 이점 / 객관적 증빙서류는 없음</x:v>
      </x:c>
      <x:c r="S51" s="3" t="str">
        <x:f>IF(초입!AD51="","",초입!AD51)</x:f>
        <x:v>010-7256-7277</x:v>
      </x:c>
      <x:c r="T51" s="3" t="str">
        <x:f>IF(초입!AE51="","",초입!AE51)</x:f>
        <x:v>정동희</x:v>
      </x:c>
      <x:c r="U51" s="3" t="str">
        <x:f>IF(초입!M51="","",초입!M51)</x:f>
        <x:v>경기도 남양주시 다산중앙로 123번길 29, 3403동 604호(다산역 자연앤푸르지오)</x:v>
      </x:c>
      <x:c r="V51" s="7"/>
      <x:c r="W51" s="7"/>
      <x:c r="X51" s="7"/>
    </x:row>
    <x:row r="52" spans="1:24" customFormat="1" ht="79.04999999999999715783" hidden="1">
      <x:c r="A52" s="3"/>
      <x:c r="B52" s="3" t="s">
        <x:v>194</x:v>
      </x:c>
      <x:c r="C52" s="3" t="str">
        <x:f>IF(초입!H52&lt;&gt;"","O","")</x:f>
        <x:v/>
      </x:c>
      <x:c r="D52" s="3" t="str">
        <x:f>IF(초입!I52&lt;&gt;"","O","")</x:f>
        <x:v>O</x:v>
      </x:c>
      <x:c r="E52" s="3" t="str">
        <x:f>초입!B52</x:f>
        <x:v>시립토평마을어린이집</x:v>
      </x:c>
      <x:c r="F52" s="3" t="str">
        <x:f>IF(초입!C52="","",초입!C52)</x:f>
        <x:v/>
      </x:c>
      <x:c r="G52" s="3">
        <x:f>IF(초입!D52="","",초입!D52)</x:f>
        <x:v>3</x:v>
      </x:c>
      <x:c r="H52" s="3" t="str">
        <x:f>IF(초입!E52="","",초입!E52)</x:f>
        <x:v>강규리</x:v>
      </x:c>
      <x:c r="I52" s="3" t="str">
        <x:f>IF(초입!F52="","",초입!F52)</x:f>
        <x:v>여</x:v>
      </x:c>
      <x:c r="J52" s="3" t="str">
        <x:f>IF(초입!G52="","",초입!G52)</x:f>
        <x:v>2020.06.22.</x:v>
      </x:c>
      <x:c r="K52" s="3" t="str">
        <x:f>IF(초입!J52="","",초입!J52)</x:f>
        <x:v>자폐성장애
(발달지체??)</x:v>
      </x:c>
      <x:c r="L52" s="3" t="str">
        <x:f>IF(초입!K52="","",초입!K52)</x:f>
        <x:v/>
      </x:c>
      <x:c r="M52" s="3" t="str">
        <x:f>IF(초입!L52="","",초입!L52)</x:f>
        <x:v/>
      </x:c>
      <x:c r="N52" s="3" t="str">
        <x:f>IF(초입!AF52="","","1. "&amp;초입!AF52&amp;IF(초입!AI52&lt;&gt;"",CHAR(10)&amp;"2. "&amp;초입!AI52,"")&amp;IF(초입!AL52&lt;&gt;"",CHAR(10)&amp;"3. "&amp;초입!AL52,""))</x:f>
        <x:v/>
      </x:c>
      <x:c r="O52" s="3" t="str">
        <x:f>IF(초입!AG52="","",초입!AG52&amp;IF(초입!AJ52&lt;&gt;"",CHAR(10)&amp;초입!AJ52,"")&amp;IF(초입!AM52&lt;&gt;"",CHAR(10)&amp;초입!AM52,""))</x:f>
        <x:v/>
      </x:c>
      <x:c r="P52" s="3" t="str">
        <x:f>IF(초입!AH52="","",초입!AH52&amp;IF(초입!AK52&lt;&gt;"",CHAR(10)&amp;초입!AK52,"")&amp;IF(초입!AN52&lt;&gt;"",CHAR(10)&amp;초입!AN52,""))</x:f>
        <x:v/>
      </x:c>
      <x:c r="Q52" s="3" t="str">
        <x:f>IF(초입!AO52="","",초입!AO52)</x:f>
        <x:v>※2026년 6월 16일 검사 실시
□ K-WPPSI-Ⅳ: 전체IQ 84(언어이해 103, 시공간 93, 유동추론 72, 작업기억 58, 처리속도 84/평균 하)
□ 사회성숙도: SA 5세2개월, SQ 87.8()
□CARS(HF): 총점 33.5점(경도에서 중등도 수준의 자폐 관련 행동)</x:v>
      </x:c>
      <x:c r="R52" s="3" t="str">
        <x:f>IF(초입!AP52="","",초입!AP52)</x:f>
        <x:v>풀배터리 7.3.에 검사결과 나오고 바로 제출 예정 / 완료</x:v>
      </x:c>
      <x:c r="S52" s="3" t="str">
        <x:f>IF(초입!AD52="","",초입!AD52)</x:f>
        <x:v>010-9990-0433</x:v>
      </x:c>
      <x:c r="T52" s="3" t="str">
        <x:f>IF(초입!AE52="","",초입!AE52)</x:f>
        <x:v/>
      </x:c>
      <x:c r="U52" s="3" t="str">
        <x:f>IF(초입!M52="","",초입!M52)</x:f>
        <x:v>경기도 구리시 경춘로 207 롯데캐슬시그니처 106-1201</x:v>
      </x:c>
      <x:c r="V52" s="7"/>
      <x:c r="W52" s="7"/>
      <x:c r="X52" s="7"/>
    </x:row>
    <x:row r="53" spans="1:24" customFormat="1" ht="39.54999999999999715783">
      <x:c r="A53" s="3">
        <x:f>SUBTOTAL(103,$N$6:N53)</x:f>
        <x:v>15</x:v>
      </x:c>
      <x:c r="B53" s="3" t="s">
        <x:v>194</x:v>
      </x:c>
      <x:c r="C53" s="3" t="str">
        <x:f>IF(초입!H53&lt;&gt;"","O","")</x:f>
        <x:v/>
      </x:c>
      <x:c r="D53" s="3" t="str">
        <x:f>IF(초입!I53&lt;&gt;"","O","")</x:f>
        <x:v>O</x:v>
      </x:c>
      <x:c r="E53" s="3" t="str">
        <x:f>초입!B53</x:f>
        <x:v>시립미사어린이집</x:v>
      </x:c>
      <x:c r="F53" s="3" t="str">
        <x:f>IF(초입!C53="","",초입!C53)</x:f>
        <x:v/>
      </x:c>
      <x:c r="G53" s="3">
        <x:f>IF(초입!D53="","",초입!D53)</x:f>
        <x:v>3</x:v>
      </x:c>
      <x:c r="H53" s="3" t="str">
        <x:f>IF(초입!E53="","",초입!E53)</x:f>
        <x:v>박교빈</x:v>
      </x:c>
      <x:c r="I53" s="3" t="str">
        <x:f>IF(초입!F53="","",초입!F53)</x:f>
        <x:v>남</x:v>
      </x:c>
      <x:c r="J53" s="3" t="str">
        <x:f>IF(초입!G53="","",초입!G53)</x:f>
        <x:v>2020.10.19.</x:v>
      </x:c>
      <x:c r="K53" s="3" t="str">
        <x:f>IF(초입!J53="","",초입!J53)</x:f>
        <x:v>지적장애</x:v>
      </x:c>
      <x:c r="L53" s="3" t="str">
        <x:f>IF(초입!K53="","",초입!K53)</x:f>
        <x:v>지적·뇌병변장애</x:v>
      </x:c>
      <x:c r="M53" s="3" t="str">
        <x:f>IF(초입!L53="","",초입!L53)</x:f>
        <x:v>심한</x:v>
      </x:c>
      <x:c r="N53" s="3" t="str">
        <x:f>IF(초입!AG53="","","1. "&amp;초입!AG53&amp;IF(초입!AJ53&lt;&gt;"",CHAR(10)&amp;"2. "&amp;초입!AJ53,"")&amp;IF(초입!AM53&lt;&gt;"",CHAR(10)&amp;"3. "&amp;초입!AM53,""))</x:f>
        <x:v>1. 경은학교
2. 복합특수학급 신설
3. 송민학교</x:v>
      </x:c>
      <x:c r="O53" s="3" t="str">
        <x:f>IF(초입!AF53="","",초입!AF53&amp;IF(초입!AI53&lt;&gt;"",CHAR(10)&amp;초입!AI53,"")&amp;IF(초입!AL53&lt;&gt;"",CHAR(10)&amp;초입!AL53,""))</x:f>
        <x:v>구리남양주
구리남양주
의정부</x:v>
      </x:c>
      <x:c r="P53" s="3" t="str">
        <x:f>IF(초입!AH53="","",초입!AH53&amp;IF(초입!AK53&lt;&gt;"",CHAR(10)&amp;초입!AK53,"")&amp;IF(초입!AN53&lt;&gt;"",CHAR(10)&amp;초입!AN53,""))</x:f>
        <x:v>특수학교
복합특수학급
특수학교</x:v>
      </x:c>
      <x:c r="Q53" s="3" t="str">
        <x:f>IF(초입!AO53="","",초입!AO53)</x:f>
        <x:v>□ 장애인증명서: 지적장애 심한·뇌병변장애 심하지 않은 
(취득일: 2024.01.05.)</x:v>
      </x:c>
      <x:c r="R53" s="3" t="str">
        <x:f>IF(초입!AP53="","",초입!AP53)</x:f>
        <x:v>복지카드 유효기한은 2027년 2월이나 장애인증명서 제출</x:v>
      </x:c>
      <x:c r="S53" s="3" t="str">
        <x:f>IF(초입!AD53="","",초입!AD53)</x:f>
        <x:v>010-7640-7460</x:v>
      </x:c>
      <x:c r="T53" s="3" t="str">
        <x:f>IF(초입!AE53="","",초입!AE53)</x:f>
        <x:v/>
      </x:c>
      <x:c r="U53" s="3" t="str">
        <x:f>IF(초입!M53="","",초입!M53)</x:f>
        <x:v>경기도 구리시 장자대로37번길 55, 106동 1101호</x:v>
      </x:c>
      <x:c r="V53" s="7"/>
      <x:c r="W53" s="7"/>
      <x:c r="X53" s="7"/>
    </x:row>
    <x:row r="54" spans="1:24" customFormat="1" ht="26.35000000000000142109">
      <x:c r="A54" s="3">
        <x:f>SUBTOTAL(103,$N$6:N54)</x:f>
        <x:v>16</x:v>
      </x:c>
      <x:c r="B54" s="3" t="s">
        <x:v>194</x:v>
      </x:c>
      <x:c r="C54" s="3" t="str">
        <x:f>IF(초입!H54&lt;&gt;"","O","")</x:f>
        <x:v/>
      </x:c>
      <x:c r="D54" s="3" t="str">
        <x:f>IF(초입!I54&lt;&gt;"","O","")</x:f>
        <x:v>O</x:v>
      </x:c>
      <x:c r="E54" s="3" t="str">
        <x:f>초입!B54</x:f>
        <x:v>영진햇살어린이집</x:v>
      </x:c>
      <x:c r="F54" s="3" t="str">
        <x:f>IF(초입!C54="","",초입!C54)</x:f>
        <x:v/>
      </x:c>
      <x:c r="G54" s="3">
        <x:f>IF(초입!D54="","",초입!D54)</x:f>
        <x:v>3</x:v>
      </x:c>
      <x:c r="H54" s="3" t="str">
        <x:f>IF(초입!E54="","",초입!E54)</x:f>
        <x:v>최민재</x:v>
      </x:c>
      <x:c r="I54" s="3" t="str">
        <x:f>IF(초입!F54="","",초입!F54)</x:f>
        <x:v>남</x:v>
      </x:c>
      <x:c r="J54" s="3" t="str">
        <x:f>IF(초입!G54="","",초입!G54)</x:f>
        <x:v>2020.01.10.</x:v>
      </x:c>
      <x:c r="K54" s="3" t="str">
        <x:f>IF(초입!J54="","",초입!J54)</x:f>
        <x:v>자폐성장애</x:v>
      </x:c>
      <x:c r="L54" s="3" t="str">
        <x:f>IF(초입!K54="","",초입!K54)</x:f>
        <x:v>자폐성장애</x:v>
      </x:c>
      <x:c r="M54" s="3" t="str">
        <x:f>IF(초입!L54="","",초입!L54)</x:f>
        <x:v>심한</x:v>
      </x:c>
      <x:c r="N54" s="3" t="str">
        <x:f>IF(초입!AG54="","","1. "&amp;초입!AG54&amp;IF(초입!AJ54&lt;&gt;"",CHAR(10)&amp;"2. "&amp;초입!AJ54,"")&amp;IF(초입!AM54&lt;&gt;"",CHAR(10)&amp;"3. "&amp;초입!AM54,""))</x:f>
        <x:v>1. 경은학교</x:v>
      </x:c>
      <x:c r="O54" s="3" t="str">
        <x:f>IF(초입!AF54="","",초입!AF54&amp;IF(초입!AI54&lt;&gt;"",CHAR(10)&amp;초입!AI54,"")&amp;IF(초입!AL54&lt;&gt;"",CHAR(10)&amp;초입!AL54,""))</x:f>
        <x:v>구리남양주</x:v>
      </x:c>
      <x:c r="P54" s="3" t="str">
        <x:f>IF(초입!AH54="","",초입!AH54&amp;IF(초입!AK54&lt;&gt;"",CHAR(10)&amp;초입!AK54,"")&amp;IF(초입!AN54&lt;&gt;"",CHAR(10)&amp;초입!AN54,""))</x:f>
        <x:v>특수학교</x:v>
      </x:c>
      <x:c r="Q54" s="3" t="str">
        <x:f>IF(초입!AO54="","",초입!AO54)</x:f>
        <x:v>□ 복지카드: 자폐성장애 중증(~2032.1.17.)</x:v>
      </x:c>
      <x:c r="R54" s="3" t="str">
        <x:f>IF(초입!AP54="","",초입!AP54)</x:f>
        <x:v>특수학교 기각되면 취학유예 예정</x:v>
      </x:c>
      <x:c r="S54" s="3" t="str">
        <x:f>IF(초입!AD54="","",초입!AD54)</x:f>
        <x:v>010-3361-0124</x:v>
      </x:c>
      <x:c r="T54" s="3" t="str">
        <x:f>IF(초입!AE54="","",초입!AE54)</x:f>
        <x:v/>
      </x:c>
      <x:c r="U54" s="3" t="str">
        <x:f>IF(초입!M54="","",초입!M54)</x:f>
        <x:v>경기도 남양주시 화도읍 경춘로 1922번길 16, 202호</x:v>
      </x:c>
      <x:c r="V54" s="7"/>
      <x:c r="W54" s="7"/>
      <x:c r="X54" s="7"/>
    </x:row>
    <x:row r="55" spans="1:24" customFormat="1" ht="131.69999999999998863132" hidden="1">
      <x:c r="A55" s="3"/>
      <x:c r="B55" s="3" t="s">
        <x:v>194</x:v>
      </x:c>
      <x:c r="C55" s="3" t="str">
        <x:f>IF(초입!H55&lt;&gt;"","O","")</x:f>
        <x:v/>
      </x:c>
      <x:c r="D55" s="3" t="str">
        <x:f>IF(초입!I55&lt;&gt;"","O","")</x:f>
        <x:v>O</x:v>
      </x:c>
      <x:c r="E55" s="3" t="str">
        <x:f>초입!B55</x:f>
        <x:v>시립갈매어린이집</x:v>
      </x:c>
      <x:c r="F55" s="3" t="str">
        <x:f>IF(초입!C55="","",초입!C55)</x:f>
        <x:v/>
      </x:c>
      <x:c r="G55" s="3">
        <x:f>IF(초입!D55="","",초입!D55)</x:f>
        <x:v>3</x:v>
      </x:c>
      <x:c r="H55" s="3" t="str">
        <x:f>IF(초입!E55="","",초입!E55)</x:f>
        <x:v>구현모</x:v>
      </x:c>
      <x:c r="I55" s="3" t="str">
        <x:f>IF(초입!F55="","",초입!F55)</x:f>
        <x:v>남</x:v>
      </x:c>
      <x:c r="J55" s="3" t="str">
        <x:f>IF(초입!G55="","",초입!G55)</x:f>
        <x:v>2020.09.26.</x:v>
      </x:c>
      <x:c r="K55" s="3" t="str">
        <x:f>IF(초입!J55="","",초입!J55)</x:f>
        <x:v>지적장애</x:v>
      </x:c>
      <x:c r="L55" s="3" t="str">
        <x:f>IF(초입!K55="","",초입!K55)</x:f>
        <x:v/>
      </x:c>
      <x:c r="M55" s="3" t="str">
        <x:f>IF(초입!L55="","",초입!L55)</x:f>
        <x:v/>
      </x:c>
      <x:c r="N55" s="3" t="str">
        <x:f>IF(초입!AF55="","","1. "&amp;초입!AF55&amp;IF(초입!AI55&lt;&gt;"",CHAR(10)&amp;"2. "&amp;초입!AI55,"")&amp;IF(초입!AL55&lt;&gt;"",CHAR(10)&amp;"3. "&amp;초입!AL55,""))</x:f>
        <x:v/>
      </x:c>
      <x:c r="O55" s="3" t="str">
        <x:f>IF(초입!AG55="","",초입!AG55&amp;IF(초입!AJ55&lt;&gt;"",CHAR(10)&amp;초입!AJ55,"")&amp;IF(초입!AM55&lt;&gt;"",CHAR(10)&amp;초입!AM55,""))</x:f>
        <x:v/>
      </x:c>
      <x:c r="P55" s="3" t="str">
        <x:f>IF(초입!AH55="","",초입!AH55&amp;IF(초입!AK55&lt;&gt;"",CHAR(10)&amp;초입!AK55,"")&amp;IF(초입!AN55&lt;&gt;"",CHAR(10)&amp;초입!AN55,""))</x:f>
        <x:v/>
      </x:c>
      <x:c r="Q55" s="3" t="str">
        <x:f>IF(초입!AO55="","",초입!AO55)</x:f>
        <x:v>※2026년 1월 5일 검사 실시
□ K-WPPSI-Ⅳ: 전체IQ 45(언어이해 50, 시공간 46, 유동추론 51, 작업기억 52, 처리속도 55/매우 낮음)
□ 사회성숙도: SA 3세7개월, SQ 69(훈련가능 지적장애 수준)
□CARS: 총점 22.5점(증상이 없거나 최소한의 자폐 관련 행동)
※2026년 6월 일 검사 실시
□ 적응행동: 표준점수( 수준) -  유아용으로 다시 받을 예정</x:v>
      </x:c>
      <x:c r="R55" s="3" t="str">
        <x:f>IF(초입!AP55="","",초입!AP55)</x:f>
        <x:v>*학생 등본상 거주지와 보호자 등본상 거주지가 다르나 보호자는 학생과 구리남양주에서 실거주 중임. 등본과 가족관계증명서 추가제출 완료
*화접초 학구
*복지카드 7.22.수 10시 방문 예정</x:v>
      </x:c>
      <x:c r="S55" s="3" t="str">
        <x:f>IF(초입!AD55="","",초입!AD55)</x:f>
        <x:v>010-8619-9799</x:v>
      </x:c>
      <x:c r="T55" s="3" t="str">
        <x:f>IF(초입!AE55="","",초입!AE55)</x:f>
        <x:v/>
      </x:c>
      <x:c r="U55" s="3" t="str">
        <x:f>IF(초입!M55="","",초입!M55)</x:f>
        <x:v>경기도 남양주시 불암산로97번길 22-27</x:v>
      </x:c>
      <x:c r="V55" s="7"/>
      <x:c r="W55" s="7"/>
      <x:c r="X55" s="7"/>
    </x:row>
    <x:row r="56" spans="1:24" customFormat="1" ht="26.35000000000000142109" hidden="1">
      <x:c r="A56" s="3"/>
      <x:c r="B56" s="3" t="s">
        <x:v>194</x:v>
      </x:c>
      <x:c r="C56" s="3" t="str">
        <x:f>IF(초입!H56&lt;&gt;"","O","")</x:f>
        <x:v/>
      </x:c>
      <x:c r="D56" s="3" t="str">
        <x:f>IF(초입!I56&lt;&gt;"","O","")</x:f>
        <x:v>O</x:v>
      </x:c>
      <x:c r="E56" s="3" t="str">
        <x:f>초입!B56</x:f>
        <x:v>진접예랑어린이집</x:v>
      </x:c>
      <x:c r="F56" s="3" t="str">
        <x:f>IF(초입!C56="","",초입!C56)</x:f>
        <x:v/>
      </x:c>
      <x:c r="G56" s="3">
        <x:f>IF(초입!D56="","",초입!D56)</x:f>
        <x:v>3</x:v>
      </x:c>
      <x:c r="H56" s="3" t="str">
        <x:f>IF(초입!E56="","",초입!E56)</x:f>
        <x:v>엄주환</x:v>
      </x:c>
      <x:c r="I56" s="3" t="str">
        <x:f>IF(초입!F56="","",초입!F56)</x:f>
        <x:v>남</x:v>
      </x:c>
      <x:c r="J56" s="3" t="str">
        <x:f>IF(초입!G56="","",초입!G56)</x:f>
        <x:v>2020.01.20.</x:v>
      </x:c>
      <x:c r="K56" s="3" t="str">
        <x:f>IF(초입!J56="","",초입!J56)</x:f>
        <x:v>자폐성장애</x:v>
      </x:c>
      <x:c r="L56" s="3" t="str">
        <x:f>IF(초입!K56="","",초입!K56)</x:f>
        <x:v>자폐성장애</x:v>
      </x:c>
      <x:c r="M56" s="3" t="str">
        <x:f>IF(초입!L56="","",초입!L56)</x:f>
        <x:v>중증</x:v>
      </x:c>
      <x:c r="N56" s="3" t="str">
        <x:f>IF(초입!AF56="","","1. "&amp;초입!AF56&amp;IF(초입!AI56&lt;&gt;"",CHAR(10)&amp;"2. "&amp;초입!AI56,"")&amp;IF(초입!AL56&lt;&gt;"",CHAR(10)&amp;"3. "&amp;초입!AL56,""))</x:f>
        <x:v/>
      </x:c>
      <x:c r="O56" s="3" t="str">
        <x:f>IF(초입!AG56="","",초입!AG56&amp;IF(초입!AJ56&lt;&gt;"",CHAR(10)&amp;초입!AJ56,"")&amp;IF(초입!AM56&lt;&gt;"",CHAR(10)&amp;초입!AM56,""))</x:f>
        <x:v/>
      </x:c>
      <x:c r="P56" s="3" t="str">
        <x:f>IF(초입!AH56="","",초입!AH56&amp;IF(초입!AK56&lt;&gt;"",CHAR(10)&amp;초입!AK56,"")&amp;IF(초입!AN56&lt;&gt;"",CHAR(10)&amp;초입!AN56,""))</x:f>
        <x:v/>
      </x:c>
      <x:c r="Q56" s="3" t="str">
        <x:f>IF(초입!AO56="","",초입!AO56)</x:f>
        <x:v>□ 복지카드: 자폐성장애 중증(~2031.04.05.)</x:v>
      </x:c>
      <x:c r="R56" s="3" t="str">
        <x:f>IF(초입!AP56="","",초입!AP56)</x:f>
        <x:v>이미 주곡초에 재학 중인 형제자매와 동일교 입학을 원하여 등본 추가 제출</x:v>
      </x:c>
      <x:c r="S56" s="3" t="str">
        <x:f>IF(초입!AD56="","",초입!AD56)</x:f>
        <x:v>010-3839-7969</x:v>
      </x:c>
      <x:c r="T56" s="3" t="str">
        <x:f>IF(초입!AE56="","",초입!AE56)</x:f>
        <x:v/>
      </x:c>
      <x:c r="U56" s="3" t="str">
        <x:f>IF(초입!M56="","",초입!M56)</x:f>
        <x:v>경기도 남양주시 진접읍 주곡로 109, 루나빌리지 가동 202호</x:v>
      </x:c>
      <x:c r="V56" s="7"/>
      <x:c r="W56" s="7"/>
      <x:c r="X56" s="7"/>
    </x:row>
    <x:row r="57" spans="1:24" customFormat="1" ht="26.35000000000000142109" hidden="1">
      <x:c r="A57" s="3"/>
      <x:c r="B57" s="3" t="s">
        <x:v>194</x:v>
      </x:c>
      <x:c r="C57" s="3" t="str">
        <x:f>IF(초입!H57&lt;&gt;"","O","")</x:f>
        <x:v/>
      </x:c>
      <x:c r="D57" s="3" t="str">
        <x:f>IF(초입!I57&lt;&gt;"","O","")</x:f>
        <x:v>O</x:v>
      </x:c>
      <x:c r="E57" s="3" t="str">
        <x:f>초입!B57</x:f>
        <x:v>해오름어린이집</x:v>
      </x:c>
      <x:c r="F57" s="3" t="str">
        <x:f>IF(초입!C57="","",초입!C57)</x:f>
        <x:v/>
      </x:c>
      <x:c r="G57" s="3">
        <x:f>IF(초입!D57="","",초입!D57)</x:f>
        <x:v>3</x:v>
      </x:c>
      <x:c r="H57" s="3" t="str">
        <x:f>IF(초입!E57="","",초입!E57)</x:f>
        <x:v>조하준</x:v>
      </x:c>
      <x:c r="I57" s="3" t="str">
        <x:f>IF(초입!F57="","",초입!F57)</x:f>
        <x:v>남</x:v>
      </x:c>
      <x:c r="J57" s="3" t="str">
        <x:f>IF(초입!G57="","",초입!G57)</x:f>
        <x:v>2020.01.30.</x:v>
      </x:c>
      <x:c r="K57" s="3" t="str">
        <x:f>IF(초입!J57="","",초입!J57)</x:f>
        <x:v>자폐성장애</x:v>
      </x:c>
      <x:c r="L57" s="3" t="str">
        <x:f>IF(초입!K57="","",초입!K57)</x:f>
        <x:v>자폐성장애</x:v>
      </x:c>
      <x:c r="M57" s="3" t="str">
        <x:f>IF(초입!L57="","",초입!L57)</x:f>
        <x:v>중증</x:v>
      </x:c>
      <x:c r="N57" s="3" t="str">
        <x:f>IF(초입!AF57="","","1. "&amp;초입!AF57&amp;IF(초입!AI57&lt;&gt;"",CHAR(10)&amp;"2. "&amp;초입!AI57,"")&amp;IF(초입!AL57&lt;&gt;"",CHAR(10)&amp;"3. "&amp;초입!AL57,""))</x:f>
        <x:v/>
      </x:c>
      <x:c r="O57" s="3" t="str">
        <x:f>IF(초입!AG57="","",초입!AG57&amp;IF(초입!AJ57&lt;&gt;"",CHAR(10)&amp;초입!AJ57,"")&amp;IF(초입!AM57&lt;&gt;"",CHAR(10)&amp;초입!AM57,""))</x:f>
        <x:v/>
      </x:c>
      <x:c r="P57" s="3" t="str">
        <x:f>IF(초입!AH57="","",초입!AH57&amp;IF(초입!AK57&lt;&gt;"",CHAR(10)&amp;초입!AK57,"")&amp;IF(초입!AN57&lt;&gt;"",CHAR(10)&amp;초입!AN57,""))</x:f>
        <x:v/>
      </x:c>
      <x:c r="Q57" s="3" t="str">
        <x:f>IF(초입!AO57="","",초입!AO57)</x:f>
        <x:v>□ 복지카드: 자폐성장애 중증(~2032.01.17.)</x:v>
      </x:c>
      <x:c r="R57" s="3" t="str">
        <x:f>IF(초입!AP57="","",초입!AP57)</x:f>
        <x:v/>
      </x:c>
      <x:c r="S57" s="3" t="str">
        <x:f>IF(초입!AD57="","",초입!AD57)</x:f>
        <x:v>010-7238-8113</x:v>
      </x:c>
      <x:c r="T57" s="3" t="str">
        <x:f>IF(초입!AE57="","",초입!AE57)</x:f>
        <x:v/>
      </x:c>
      <x:c r="U57" s="3" t="str">
        <x:f>IF(초입!M57="","",초입!M57)</x:f>
        <x:v>경기도 남양주시 진접읍 부평로 41, 203동 401호</x:v>
      </x:c>
      <x:c r="V57" s="7"/>
      <x:c r="W57" s="7"/>
      <x:c r="X57" s="7"/>
    </x:row>
    <x:row r="58" spans="1:24" customFormat="1" ht="26.35000000000000142109" hidden="1">
      <x:c r="A58" s="3"/>
      <x:c r="B58" s="3" t="s">
        <x:v>194</x:v>
      </x:c>
      <x:c r="C58" s="3" t="str">
        <x:f>IF(초입!H58&lt;&gt;"","O","")</x:f>
        <x:v>O</x:v>
      </x:c>
      <x:c r="D58" s="3" t="str">
        <x:f>IF(초입!I58&lt;&gt;"","O","")</x:f>
        <x:v/>
      </x:c>
      <x:c r="E58" s="3" t="str">
        <x:f>초입!B58</x:f>
        <x:v>다산하늘빛유치원</x:v>
      </x:c>
      <x:c r="F58" s="3" t="str">
        <x:f>IF(초입!C58="","",초입!C58)</x:f>
        <x:v>특수학급</x:v>
      </x:c>
      <x:c r="G58" s="3">
        <x:f>IF(초입!D58="","",초입!D58)</x:f>
        <x:v>3</x:v>
      </x:c>
      <x:c r="H58" s="3" t="str">
        <x:f>IF(초입!E58="","",초입!E58)</x:f>
        <x:v>강윤채</x:v>
      </x:c>
      <x:c r="I58" s="3" t="str">
        <x:f>IF(초입!F58="","",초입!F58)</x:f>
        <x:v>여</x:v>
      </x:c>
      <x:c r="J58" s="3" t="str">
        <x:f>IF(초입!G58="","",초입!G58)</x:f>
        <x:v>2020.03.31</x:v>
      </x:c>
      <x:c r="K58" s="3" t="str">
        <x:f>IF(초입!J58="","",초입!J58)</x:f>
        <x:v>청각장애</x:v>
      </x:c>
      <x:c r="L58" s="3" t="str">
        <x:f>IF(초입!K58="","",초입!K58)</x:f>
        <x:v>청각장애</x:v>
      </x:c>
      <x:c r="M58" s="3" t="str">
        <x:f>IF(초입!L58="","",초입!L58)</x:f>
        <x:v>중증</x:v>
      </x:c>
      <x:c r="N58" s="3" t="str">
        <x:f>IF(초입!AF58="","","1. "&amp;초입!AF58&amp;IF(초입!AI58&lt;&gt;"",CHAR(10)&amp;"2. "&amp;초입!AI58,"")&amp;IF(초입!AL58&lt;&gt;"",CHAR(10)&amp;"3. "&amp;초입!AL58,""))</x:f>
        <x:v/>
      </x:c>
      <x:c r="O58" s="3" t="str">
        <x:f>IF(초입!AG58="","",초입!AG58&amp;IF(초입!AJ58&lt;&gt;"",CHAR(10)&amp;초입!AJ58,"")&amp;IF(초입!AM58&lt;&gt;"",CHAR(10)&amp;초입!AM58,""))</x:f>
        <x:v/>
      </x:c>
      <x:c r="P58" s="3" t="str">
        <x:f>IF(초입!AH58="","",초입!AH58&amp;IF(초입!AK58&lt;&gt;"",CHAR(10)&amp;초입!AK58,"")&amp;IF(초입!AN58&lt;&gt;"",CHAR(10)&amp;초입!AN58,""))</x:f>
        <x:v/>
      </x:c>
      <x:c r="Q58" s="3" t="str">
        <x:f>IF(초입!AO58="","",초입!AO58)</x:f>
        <x:v>□ 복지카드: 청각장애 중증(제한없음)</x:v>
      </x:c>
      <x:c r="R58" s="3" t="str">
        <x:f>IF(초입!AP58="","",초입!AP58)</x:f>
        <x:v/>
      </x:c>
      <x:c r="S58" s="3" t="str">
        <x:f>IF(초입!AD58="","",초입!AD58)</x:f>
        <x:v>010-4727-8865</x:v>
      </x:c>
      <x:c r="T58" s="3" t="str">
        <x:f>IF(초입!AE58="","",초입!AE58)</x:f>
        <x:v>서민지</x:v>
      </x:c>
      <x:c r="U58" s="3" t="str">
        <x:f>IF(초입!M58="","",초입!M58)</x:f>
        <x:v>경기도 남양주시 다산순환로300, 2104-1201</x:v>
      </x:c>
      <x:c r="V58" s="7"/>
      <x:c r="W58" s="7"/>
      <x:c r="X58" s="7"/>
    </x:row>
    <x:row r="59" spans="1:24" customFormat="1" ht="26.35000000000000142109" hidden="1">
      <x:c r="A59" s="3"/>
      <x:c r="B59" s="3" t="s">
        <x:v>194</x:v>
      </x:c>
      <x:c r="C59" s="3" t="str">
        <x:f>IF(초입!H59&lt;&gt;"","O","")</x:f>
        <x:v>O</x:v>
      </x:c>
      <x:c r="D59" s="3" t="str">
        <x:f>IF(초입!I59&lt;&gt;"","O","")</x:f>
        <x:v/>
      </x:c>
      <x:c r="E59" s="3" t="str">
        <x:f>초입!B59</x:f>
        <x:v>다산하늘빛유치원</x:v>
      </x:c>
      <x:c r="F59" s="3" t="str">
        <x:f>IF(초입!C59="","",초입!C59)</x:f>
        <x:v>특수학급</x:v>
      </x:c>
      <x:c r="G59" s="3">
        <x:f>IF(초입!D59="","",초입!D59)</x:f>
        <x:v>3</x:v>
      </x:c>
      <x:c r="H59" s="3" t="str">
        <x:f>IF(초입!E59="","",초입!E59)</x:f>
        <x:v>박채호</x:v>
      </x:c>
      <x:c r="I59" s="3" t="str">
        <x:f>IF(초입!F59="","",초입!F59)</x:f>
        <x:v>남</x:v>
      </x:c>
      <x:c r="J59" s="3" t="str">
        <x:f>IF(초입!G59="","",초입!G59)</x:f>
        <x:v>2020.05.21</x:v>
      </x:c>
      <x:c r="K59" s="3" t="str">
        <x:f>IF(초입!J59="","",초입!J59)</x:f>
        <x:v>발달지체</x:v>
      </x:c>
      <x:c r="L59" s="3" t="str">
        <x:f>IF(초입!K59="","",초입!K59)</x:f>
        <x:v/>
      </x:c>
      <x:c r="M59" s="3" t="str">
        <x:f>IF(초입!L59="","",초입!L59)</x:f>
        <x:v/>
      </x:c>
      <x:c r="N59" s="3" t="str">
        <x:f>IF(초입!AF59="","","1. "&amp;초입!AF59&amp;IF(초입!AI59&lt;&gt;"",CHAR(10)&amp;"2. "&amp;초입!AI59,"")&amp;IF(초입!AL59&lt;&gt;"",CHAR(10)&amp;"3. "&amp;초입!AL59,""))</x:f>
        <x:v/>
      </x:c>
      <x:c r="O59" s="3" t="str">
        <x:f>IF(초입!AG59="","",초입!AG59&amp;IF(초입!AJ59&lt;&gt;"",CHAR(10)&amp;초입!AJ59,"")&amp;IF(초입!AM59&lt;&gt;"",CHAR(10)&amp;초입!AM59,""))</x:f>
        <x:v/>
      </x:c>
      <x:c r="P59" s="3" t="str">
        <x:f>IF(초입!AH59="","",초입!AH59&amp;IF(초입!AK59&lt;&gt;"",CHAR(10)&amp;초입!AK59,"")&amp;IF(초입!AN59&lt;&gt;"",CHAR(10)&amp;초입!AN59,""))</x:f>
        <x:v/>
      </x:c>
      <x:c r="Q59" s="3" t="str">
        <x:f>IF(초입!AO59="","",초입!AO59)</x:f>
        <x:v/>
      </x:c>
      <x:c r="R59" s="3" t="str">
        <x:f>IF(초입!AP59="","",초입!AP59)</x:f>
        <x:v/>
      </x:c>
      <x:c r="S59" s="3" t="str">
        <x:f>IF(초입!AD59="","",초입!AD59)</x:f>
        <x:v>010-7777-6007</x:v>
      </x:c>
      <x:c r="T59" s="3" t="str">
        <x:f>IF(초입!AE59="","",초입!AE59)</x:f>
        <x:v>서민지</x:v>
      </x:c>
      <x:c r="U59" s="3" t="str">
        <x:f>IF(초입!M59="","",초입!M59)</x:f>
        <x:v>경기도 남양주시 다산순환로333, 2403-901</x:v>
      </x:c>
      <x:c r="V59" s="7"/>
      <x:c r="W59" s="7"/>
      <x:c r="X59" s="7"/>
    </x:row>
    <x:row r="60" spans="1:24" customFormat="1" ht="65.84999999999999431566" hidden="1">
      <x:c r="A60" s="3"/>
      <x:c r="B60" s="3" t="s">
        <x:v>194</x:v>
      </x:c>
      <x:c r="C60" s="3" t="str">
        <x:f>IF(초입!H60&lt;&gt;"","O","")</x:f>
        <x:v>O</x:v>
      </x:c>
      <x:c r="D60" s="3" t="str">
        <x:f>IF(초입!I60&lt;&gt;"","O","")</x:f>
        <x:v/>
      </x:c>
      <x:c r="E60" s="3" t="str">
        <x:f>초입!B60</x:f>
        <x:v>다산하늘빛유치원</x:v>
      </x:c>
      <x:c r="F60" s="3" t="str">
        <x:f>IF(초입!C60="","",초입!C60)</x:f>
        <x:v>특수학급</x:v>
      </x:c>
      <x:c r="G60" s="3">
        <x:f>IF(초입!D60="","",초입!D60)</x:f>
        <x:v>3</x:v>
      </x:c>
      <x:c r="H60" s="3" t="str">
        <x:f>IF(초입!E60="","",초입!E60)</x:f>
        <x:v>이정우</x:v>
      </x:c>
      <x:c r="I60" s="3" t="str">
        <x:f>IF(초입!F60="","",초입!F60)</x:f>
        <x:v>남</x:v>
      </x:c>
      <x:c r="J60" s="3" t="str">
        <x:f>IF(초입!G60="","",초입!G60)</x:f>
        <x:v>2020.07.22</x:v>
      </x:c>
      <x:c r="K60" s="3" t="str">
        <x:f>IF(초입!J60="","",초입!J60)</x:f>
        <x:v>발달지체</x:v>
      </x:c>
      <x:c r="L60" s="3" t="str">
        <x:f>IF(초입!K60="","",초입!K60)</x:f>
        <x:v/>
      </x:c>
      <x:c r="M60" s="3" t="str">
        <x:f>IF(초입!L60="","",초입!L60)</x:f>
        <x:v/>
      </x:c>
      <x:c r="N60" s="3" t="str">
        <x:f>IF(초입!AF60="","","1. "&amp;초입!AF60&amp;IF(초입!AI60&lt;&gt;"",CHAR(10)&amp;"2. "&amp;초입!AI60,"")&amp;IF(초입!AL60&lt;&gt;"",CHAR(10)&amp;"3. "&amp;초입!AL60,""))</x:f>
        <x:v/>
      </x:c>
      <x:c r="O60" s="3" t="str">
        <x:f>IF(초입!AG60="","",초입!AG60&amp;IF(초입!AJ60&lt;&gt;"",CHAR(10)&amp;초입!AJ60,"")&amp;IF(초입!AM60&lt;&gt;"",CHAR(10)&amp;초입!AM60,""))</x:f>
        <x:v/>
      </x:c>
      <x:c r="P60" s="3" t="str">
        <x:f>IF(초입!AH60="","",초입!AH60&amp;IF(초입!AK60&lt;&gt;"",CHAR(10)&amp;초입!AK60,"")&amp;IF(초입!AN60&lt;&gt;"",CHAR(10)&amp;초입!AN60,""))</x:f>
        <x:v/>
      </x:c>
      <x:c r="Q60" s="3" t="str">
        <x:f>IF(초입!AO60="","",초입!AO60)</x:f>
        <x:v/>
      </x:c>
      <x:c r="R60" s="3" t="str">
        <x:f>IF(초입!AP60="","",초입!AP60)</x:f>
        <x:v>3희망 다산한강초 해당없음. 증빙서류,사유도 없음. /
3희망 다산하늘초로 변경예정, 2명은 취소임 / 수정완료
2희망 하늘초, 3희망 새봄초로 내가 변경</x:v>
      </x:c>
      <x:c r="S60" s="3" t="str">
        <x:f>IF(초입!AD60="","",초입!AD60)</x:f>
        <x:v>010-8447-6557</x:v>
      </x:c>
      <x:c r="T60" s="3" t="str">
        <x:f>IF(초입!AE60="","",초입!AE60)</x:f>
        <x:v>서민지</x:v>
      </x:c>
      <x:c r="U60" s="3" t="str">
        <x:f>IF(초입!M60="","",초입!M60)</x:f>
        <x:v>경기도 남양주시 다산순환로311, 2304-1301</x:v>
      </x:c>
      <x:c r="V60" s="7"/>
      <x:c r="W60" s="7"/>
      <x:c r="X60" s="7"/>
    </x:row>
    <x:row r="61" spans="1:24" customFormat="1" ht="26.35000000000000142109">
      <x:c r="A61" s="3">
        <x:f>SUBTOTAL(103,$N$6:N61)</x:f>
        <x:v>17</x:v>
      </x:c>
      <x:c r="B61" s="3" t="s">
        <x:v>194</x:v>
      </x:c>
      <x:c r="C61" s="3" t="str">
        <x:f>IF(초입!H61&lt;&gt;"","O","")</x:f>
        <x:v/>
      </x:c>
      <x:c r="D61" s="3" t="str">
        <x:f>IF(초입!I61&lt;&gt;"","O","")</x:f>
        <x:v>O</x:v>
      </x:c>
      <x:c r="E61" s="3" t="str">
        <x:f>초입!B61</x:f>
        <x:v>시립하나어린이집</x:v>
      </x:c>
      <x:c r="F61" s="3" t="str">
        <x:f>IF(초입!C61="","",초입!C61)</x:f>
        <x:v/>
      </x:c>
      <x:c r="G61" s="3">
        <x:f>IF(초입!D61="","",초입!D61)</x:f>
        <x:v>3</x:v>
      </x:c>
      <x:c r="H61" s="3" t="str">
        <x:f>IF(초입!E61="","",초입!E61)</x:f>
        <x:v>유태영</x:v>
      </x:c>
      <x:c r="I61" s="3" t="str">
        <x:f>IF(초입!F61="","",초입!F61)</x:f>
        <x:v>남</x:v>
      </x:c>
      <x:c r="J61" s="3" t="str">
        <x:f>IF(초입!G61="","",초입!G61)</x:f>
        <x:v>2019.11.18.</x:v>
      </x:c>
      <x:c r="K61" s="3" t="str">
        <x:f>IF(초입!J61="","",초입!J61)</x:f>
        <x:v>지적장애</x:v>
      </x:c>
      <x:c r="L61" s="3" t="str">
        <x:f>IF(초입!K61="","",초입!K61)</x:f>
        <x:v>지적장애 발급중</x:v>
      </x:c>
      <x:c r="M61" s="3" t="str">
        <x:f>IF(초입!L61="","",초입!L61)</x:f>
        <x:v/>
      </x:c>
      <x:c r="N61" s="3" t="str">
        <x:f>IF(초입!AG61="","","1. "&amp;초입!AG61&amp;IF(초입!AJ61&lt;&gt;"",CHAR(10)&amp;"2. "&amp;초입!AJ61,"")&amp;IF(초입!AM61&lt;&gt;"",CHAR(10)&amp;"3. "&amp;초입!AM61,""))</x:f>
        <x:v>1. 경은학교</x:v>
      </x:c>
      <x:c r="O61" s="3" t="str">
        <x:f>IF(초입!AF61="","",초입!AF61&amp;IF(초입!AI61&lt;&gt;"",CHAR(10)&amp;초입!AI61,"")&amp;IF(초입!AL61&lt;&gt;"",CHAR(10)&amp;초입!AL61,""))</x:f>
        <x:v>구리남양주</x:v>
      </x:c>
      <x:c r="P61" s="3" t="str">
        <x:f>IF(초입!AH61="","",초입!AH61&amp;IF(초입!AK61&lt;&gt;"",CHAR(10)&amp;초입!AK61,"")&amp;IF(초입!AN61&lt;&gt;"",CHAR(10)&amp;초입!AN61,""))</x:f>
        <x:v>특수학교</x:v>
      </x:c>
      <x:c r="Q61" s="3" t="str">
        <x:f>IF(초입!AO61="","",초입!AO61)</x:f>
        <x:v>□ 장애인증명서: 지적장애 심한장애(~26.3.20.)
□ 진단서: 상세불명의 다운증후군(26.2.19.)</x:v>
      </x:c>
      <x:c r="R61" s="3" t="str">
        <x:f>IF(초입!AP61="","",초입!AP61)</x:f>
        <x:v>경은 기각되면 취학유예, 복지카드 발급중</x:v>
      </x:c>
      <x:c r="S61" s="3" t="str">
        <x:f>IF(초입!AD61="","",초입!AD61)</x:f>
        <x:v>010-7105-1116</x:v>
      </x:c>
      <x:c r="T61" s="3" t="str">
        <x:f>IF(초입!AE61="","",초입!AE61)</x:f>
        <x:v/>
      </x:c>
      <x:c r="U61" s="3" t="str">
        <x:f>IF(초입!M61="","",초입!M61)</x:f>
        <x:v>경기도 남양주시 화도읍 경춘로 2290번길2, 105동102호</x:v>
      </x:c>
      <x:c r="V61" s="7"/>
      <x:c r="W61" s="7"/>
      <x:c r="X61" s="7"/>
    </x:row>
    <x:row r="62" spans="1:24" customFormat="1" ht="65.84999999999999431566" hidden="1">
      <x:c r="A62" s="3"/>
      <x:c r="B62" s="3" t="s">
        <x:v>194</x:v>
      </x:c>
      <x:c r="C62" s="3" t="str">
        <x:f>IF(초입!H62&lt;&gt;"","O","")</x:f>
        <x:v/>
      </x:c>
      <x:c r="D62" s="3" t="str">
        <x:f>IF(초입!I62&lt;&gt;"","O","")</x:f>
        <x:v>O</x:v>
      </x:c>
      <x:c r="E62" s="3" t="str">
        <x:f>초입!B62</x:f>
        <x:v>시립토평마을어린이집</x:v>
      </x:c>
      <x:c r="F62" s="3" t="str">
        <x:f>IF(초입!C62="","",초입!C62)</x:f>
        <x:v/>
      </x:c>
      <x:c r="G62" s="3">
        <x:f>IF(초입!D62="","",초입!D62)</x:f>
        <x:v>3</x:v>
      </x:c>
      <x:c r="H62" s="3" t="str">
        <x:f>IF(초입!E62="","",초입!E62)</x:f>
        <x:v>장도윤</x:v>
      </x:c>
      <x:c r="I62" s="3" t="str">
        <x:f>IF(초입!F62="","",초입!F62)</x:f>
        <x:v>남</x:v>
      </x:c>
      <x:c r="J62" s="3" t="str">
        <x:f>IF(초입!G62="","",초입!G62)</x:f>
        <x:v>2020.07.15.</x:v>
      </x:c>
      <x:c r="K62" s="3" t="str">
        <x:f>IF(초입!J62="","",초입!J62)</x:f>
        <x:v>지체장애</x:v>
      </x:c>
      <x:c r="L62" s="3" t="str">
        <x:f>IF(초입!K62="","",초입!K62)</x:f>
        <x:v/>
      </x:c>
      <x:c r="M62" s="3" t="str">
        <x:f>IF(초입!L62="","",초입!L62)</x:f>
        <x:v/>
      </x:c>
      <x:c r="N62" s="3" t="str">
        <x:f>IF(초입!AF62="","","1. "&amp;초입!AF62&amp;IF(초입!AI62&lt;&gt;"",CHAR(10)&amp;"2. "&amp;초입!AI62,"")&amp;IF(초입!AL62&lt;&gt;"",CHAR(10)&amp;"3. "&amp;초입!AL62,""))</x:f>
        <x:v/>
      </x:c>
      <x:c r="O62" s="3" t="str">
        <x:f>IF(초입!AG62="","",초입!AG62&amp;IF(초입!AJ62&lt;&gt;"",CHAR(10)&amp;초입!AJ62,"")&amp;IF(초입!AM62&lt;&gt;"",CHAR(10)&amp;초입!AM62,""))</x:f>
        <x:v/>
      </x:c>
      <x:c r="P62" s="3" t="str">
        <x:f>IF(초입!AH62="","",초입!AH62&amp;IF(초입!AK62&lt;&gt;"",CHAR(10)&amp;초입!AK62,"")&amp;IF(초입!AN62&lt;&gt;"",CHAR(10)&amp;초입!AN62,""))</x:f>
        <x:v/>
      </x:c>
      <x:c r="Q62" s="3" t="str">
        <x:f>IF(초입!AO62="","",초입!AO62)</x:f>
        <x:v>※심리평가보고서(2026.06.08.)
□ K-WPPSI-Ⅳ: 전체IQ 69(언어이해 98, 시공간 49, 유동추론 78, 작업기억 83, 처리속도 67/매우 낮음)
□사회성숙도: SA 3세 7개월, SQ 73(경계선)
□VMI, CARS-2, PRES 등 기타 원본 참고</x:v>
      </x:c>
      <x:c r="R62" s="3" t="str">
        <x:f>IF(초입!AP62="","",초입!AP62)</x:f>
        <x:v>뇌병변 복지카드 발급중(8월 예상)</x:v>
      </x:c>
      <x:c r="S62" s="3" t="str">
        <x:f>IF(초입!AD62="","",초입!AD62)</x:f>
        <x:v>010-2078-2944</x:v>
      </x:c>
      <x:c r="T62" s="3" t="str">
        <x:f>IF(초입!AE62="","",초입!AE62)</x:f>
        <x:v/>
      </x:c>
      <x:c r="U62" s="3" t="str">
        <x:f>IF(초입!M62="","",초입!M62)</x:f>
        <x:v>경기도 구리시 검배로 15번길11, 201호</x:v>
      </x:c>
      <x:c r="V62" s="7"/>
      <x:c r="W62" s="7"/>
      <x:c r="X62" s="7"/>
    </x:row>
    <x:row r="63" spans="1:24" customFormat="1" ht="65.84999999999999431566" hidden="1">
      <x:c r="A63" s="3"/>
      <x:c r="B63" s="3" t="s">
        <x:v>194</x:v>
      </x:c>
      <x:c r="C63" s="3" t="str">
        <x:f>IF(초입!H63&lt;&gt;"","O","")</x:f>
        <x:v/>
      </x:c>
      <x:c r="D63" s="3" t="str">
        <x:f>IF(초입!I63&lt;&gt;"","O","")</x:f>
        <x:v>O</x:v>
      </x:c>
      <x:c r="E63" s="3" t="str">
        <x:f>초입!B63</x:f>
        <x:v>곡교어린이집</x:v>
      </x:c>
      <x:c r="F63" s="3" t="str">
        <x:f>IF(초입!C63="","",초입!C63)</x:f>
        <x:v/>
      </x:c>
      <x:c r="G63" s="3">
        <x:f>IF(초입!D63="","",초입!D63)</x:f>
        <x:v>3</x:v>
      </x:c>
      <x:c r="H63" s="3" t="str">
        <x:f>IF(초입!E63="","",초입!E63)</x:f>
        <x:v>강경민</x:v>
      </x:c>
      <x:c r="I63" s="3" t="str">
        <x:f>IF(초입!F63="","",초입!F63)</x:f>
        <x:v>남</x:v>
      </x:c>
      <x:c r="J63" s="3" t="str">
        <x:f>IF(초입!G63="","",초입!G63)</x:f>
        <x:v>2020.06.24.</x:v>
      </x:c>
      <x:c r="K63" s="3" t="str">
        <x:f>IF(초입!J63="","",초입!J63)</x:f>
        <x:v>지적장애</x:v>
      </x:c>
      <x:c r="L63" s="3" t="str">
        <x:f>IF(초입!K63="","",초입!K63)</x:f>
        <x:v/>
      </x:c>
      <x:c r="M63" s="3" t="str">
        <x:f>IF(초입!L63="","",초입!L63)</x:f>
        <x:v/>
      </x:c>
      <x:c r="N63" s="3" t="str">
        <x:f>IF(초입!AF63="","","1. "&amp;초입!AF63&amp;IF(초입!AI63&lt;&gt;"",CHAR(10)&amp;"2. "&amp;초입!AI63,"")&amp;IF(초입!AL63&lt;&gt;"",CHAR(10)&amp;"3. "&amp;초입!AL63,""))</x:f>
        <x:v/>
      </x:c>
      <x:c r="O63" s="3" t="str">
        <x:f>IF(초입!AG63="","",초입!AG63&amp;IF(초입!AJ63&lt;&gt;"",CHAR(10)&amp;초입!AJ63,"")&amp;IF(초입!AM63&lt;&gt;"",CHAR(10)&amp;초입!AM63,""))</x:f>
        <x:v/>
      </x:c>
      <x:c r="P63" s="3" t="str">
        <x:f>IF(초입!AH63="","",초입!AH63&amp;IF(초입!AK63&lt;&gt;"",CHAR(10)&amp;초입!AK63,"")&amp;IF(초입!AN63&lt;&gt;"",CHAR(10)&amp;초입!AN63,""))</x:f>
        <x:v/>
      </x:c>
      <x:c r="Q63" s="3" t="str">
        <x:f>IF(초입!AO63="","",초입!AO63)</x:f>
        <x:v>※심리평가보고서(2026.01.16.)
□ K-WPPSI-Ⅳ: 전체IQ 53(언어이해 53, 시공간 87, 유동추론 57, 작업기억 55, 처리속도 61/매우 낮음)
□사회성숙도: SA 3세 10개월, SQ 63.7(경도)
□적응행동검사: 표준점수 71(저조한 수준)</x:v>
      </x:c>
      <x:c r="R63" s="3" t="str">
        <x:f>IF(초입!AP63="","",초입!AP63)</x:f>
        <x:v>7월31일 거주지 이전 예정 / 여기서 SMS, 적응행동 실시(유아용, 초중등용 모두)</x:v>
      </x:c>
      <x:c r="S63" s="3" t="str">
        <x:f>IF(초입!AD63="","",초입!AD63)</x:f>
        <x:v>010-8688-3796</x:v>
      </x:c>
      <x:c r="T63" s="3" t="str">
        <x:f>IF(초입!AE63="","",초입!AE63)</x:f>
        <x:v/>
      </x:c>
      <x:c r="U63" s="3" t="str">
        <x:f>IF(초입!M63="","",초입!M63)</x:f>
        <x:v>경기도 남양주시 와부읍 덕소로 97번길 12, 207동104호
(7월31일 강동구에서 거주지 이전)</x:v>
      </x:c>
      <x:c r="V63" s="7"/>
      <x:c r="W63" s="7"/>
      <x:c r="X63" s="7"/>
    </x:row>
    <x:row r="64" spans="1:24" customFormat="1" ht="39.54999999999999715783">
      <x:c r="A64" s="3">
        <x:f>SUBTOTAL(103,$N$6:N64)</x:f>
        <x:v>18</x:v>
      </x:c>
      <x:c r="B64" s="3" t="s">
        <x:v>194</x:v>
      </x:c>
      <x:c r="C64" s="3" t="str">
        <x:f>IF(초입!H64&lt;&gt;"","O","")</x:f>
        <x:v/>
      </x:c>
      <x:c r="D64" s="3" t="str">
        <x:f>IF(초입!I64&lt;&gt;"","O","")</x:f>
        <x:v>O</x:v>
      </x:c>
      <x:c r="E64" s="3" t="str">
        <x:f>초입!B64</x:f>
        <x:v>시립남양주하나어린이집</x:v>
      </x:c>
      <x:c r="F64" s="3" t="str">
        <x:f>IF(초입!C64="","",초입!C64)</x:f>
        <x:v/>
      </x:c>
      <x:c r="G64" s="3">
        <x:f>IF(초입!D64="","",초입!D64)</x:f>
        <x:v>3</x:v>
      </x:c>
      <x:c r="H64" s="3" t="str">
        <x:f>IF(초입!E64="","",초입!E64)</x:f>
        <x:v>이윤아</x:v>
      </x:c>
      <x:c r="I64" s="3" t="str">
        <x:f>IF(초입!F64="","",초입!F64)</x:f>
        <x:v>여</x:v>
      </x:c>
      <x:c r="J64" s="3" t="str">
        <x:f>IF(초입!G64="","",초입!G64)</x:f>
        <x:v>2019.03.12.</x:v>
      </x:c>
      <x:c r="K64" s="3" t="str">
        <x:f>IF(초입!J64="","",초입!J64)</x:f>
        <x:v>자폐성장애</x:v>
      </x:c>
      <x:c r="L64" s="3" t="str">
        <x:f>IF(초입!K64="","",초입!K64)</x:f>
        <x:v>자폐성장애</x:v>
      </x:c>
      <x:c r="M64" s="3" t="str">
        <x:f>IF(초입!L64="","",초입!L64)</x:f>
        <x:v>중증</x:v>
      </x:c>
      <x:c r="N64" s="3" t="str">
        <x:f>IF(초입!AG64="","","1. "&amp;초입!AG64&amp;IF(초입!AJ64&lt;&gt;"",CHAR(10)&amp;"2. "&amp;초입!AJ64,"")&amp;IF(초입!AM64&lt;&gt;"",CHAR(10)&amp;"3. "&amp;초입!AM64,""))</x:f>
        <x:v>1. 경은학교
2. 복합특수학급 신설</x:v>
      </x:c>
      <x:c r="O64" s="3" t="str">
        <x:f>IF(초입!AF64="","",초입!AF64&amp;IF(초입!AI64&lt;&gt;"",CHAR(10)&amp;초입!AI64,"")&amp;IF(초입!AL64&lt;&gt;"",CHAR(10)&amp;초입!AL64,""))</x:f>
        <x:v>구리남양주
구리남양주</x:v>
      </x:c>
      <x:c r="P64" s="3" t="str">
        <x:f>IF(초입!AH64="","",초입!AH64&amp;IF(초입!AK64&lt;&gt;"",CHAR(10)&amp;초입!AK64,"")&amp;IF(초입!AN64&lt;&gt;"",CHAR(10)&amp;초입!AN64,""))</x:f>
        <x:v>특수학교
복합특수학급</x:v>
      </x:c>
      <x:c r="Q64" s="3" t="str">
        <x:f>IF(초입!AO64="","",초입!AO64)</x:f>
        <x:v>□ 복지카드: 자폐성장애 중증(~2030.10.22.)</x:v>
      </x:c>
      <x:c r="R64" s="3" t="str">
        <x:f>IF(초입!AP64="","",초입!AP64)</x:f>
        <x:v>내년에 초등학교 입학하는 비장애 자녀와 다른 학교 배치를 희망해 학구 외 학교를 희망함. 보호자 의견서 첨부.</x:v>
      </x:c>
      <x:c r="S64" s="3" t="str">
        <x:f>IF(초입!AD64="","",초입!AD64)</x:f>
        <x:v>010-5910-4061</x:v>
      </x:c>
      <x:c r="T64" s="3" t="str">
        <x:f>IF(초입!AE64="","",초입!AE64)</x:f>
        <x:v/>
      </x:c>
      <x:c r="U64" s="3" t="str">
        <x:f>IF(초입!M64="","",초입!M64)</x:f>
        <x:v>경기도 남양주시 백봉로 32, 105동 701동</x:v>
      </x:c>
      <x:c r="V64" s="7"/>
      <x:c r="W64" s="7"/>
      <x:c r="X64" s="7"/>
    </x:row>
    <x:row r="65" spans="1:24" customFormat="1" ht="39.54999999999999715783">
      <x:c r="A65" s="3">
        <x:f>SUBTOTAL(103,$N$6:N65)</x:f>
        <x:v>19</x:v>
      </x:c>
      <x:c r="B65" s="3" t="s">
        <x:v>194</x:v>
      </x:c>
      <x:c r="C65" s="3" t="str">
        <x:f>IF(초입!H65&lt;&gt;"","O","")</x:f>
        <x:v/>
      </x:c>
      <x:c r="D65" s="3" t="str">
        <x:f>IF(초입!I65&lt;&gt;"","O","")</x:f>
        <x:v>O</x:v>
      </x:c>
      <x:c r="E65" s="3" t="str">
        <x:f>초입!B65</x:f>
        <x:v>노원구 초록어린이집</x:v>
      </x:c>
      <x:c r="F65" s="3" t="str">
        <x:f>IF(초입!C65="","",초입!C65)</x:f>
        <x:v/>
      </x:c>
      <x:c r="G65" s="3">
        <x:f>IF(초입!D65="","",초입!D65)</x:f>
        <x:v>3</x:v>
      </x:c>
      <x:c r="H65" s="3" t="str">
        <x:f>IF(초입!E65="","",초입!E65)</x:f>
        <x:v>이희민</x:v>
      </x:c>
      <x:c r="I65" s="3" t="str">
        <x:f>IF(초입!F65="","",초입!F65)</x:f>
        <x:v>남</x:v>
      </x:c>
      <x:c r="J65" s="3" t="str">
        <x:f>IF(초입!G65="","",초입!G65)</x:f>
        <x:v>2020.03.23.</x:v>
      </x:c>
      <x:c r="K65" s="3" t="str">
        <x:f>IF(초입!J65="","",초입!J65)</x:f>
        <x:v>자폐성장애</x:v>
      </x:c>
      <x:c r="L65" s="3" t="str">
        <x:f>IF(초입!K65="","",초입!K65)</x:f>
        <x:v>자폐성장애</x:v>
      </x:c>
      <x:c r="M65" s="3" t="str">
        <x:f>IF(초입!L65="","",초입!L65)</x:f>
        <x:v>중증</x:v>
      </x:c>
      <x:c r="N65" s="3" t="str">
        <x:f>IF(초입!AG65="","","1. "&amp;초입!AG65&amp;IF(초입!AJ65&lt;&gt;"",CHAR(10)&amp;"2. "&amp;초입!AJ65,"")&amp;IF(초입!AM65&lt;&gt;"",CHAR(10)&amp;"3. "&amp;초입!AM65,""))</x:f>
        <x:v>1. 경은학교
2. 복합특수학급 신설
3. 송민학교</x:v>
      </x:c>
      <x:c r="O65" s="3" t="str">
        <x:f>IF(초입!AF65="","",초입!AF65&amp;IF(초입!AI65&lt;&gt;"",CHAR(10)&amp;초입!AI65,"")&amp;IF(초입!AL65&lt;&gt;"",CHAR(10)&amp;초입!AL65,""))</x:f>
        <x:v>구리남양주
구리남양주
의정부</x:v>
      </x:c>
      <x:c r="P65" s="3" t="str">
        <x:f>IF(초입!AH65="","",초입!AH65&amp;IF(초입!AK65&lt;&gt;"",CHAR(10)&amp;초입!AK65,"")&amp;IF(초입!AN65&lt;&gt;"",CHAR(10)&amp;초입!AN65,""))</x:f>
        <x:v>특수학교
복합특수학급
특수학교</x:v>
      </x:c>
      <x:c r="Q65" s="3" t="str">
        <x:f>IF(초입!AO65="","",초입!AO65)</x:f>
        <x:v>□ 복지카드: 자폐성장애 중증(~2032.03.31.)</x:v>
      </x:c>
      <x:c r="R65" s="3" t="str">
        <x:f>IF(초입!AP65="","",초입!AP65)</x:f>
        <x:v/>
      </x:c>
      <x:c r="S65" s="3" t="str">
        <x:f>IF(초입!AD65="","",초입!AD65)</x:f>
        <x:v>010-3738-8719</x:v>
      </x:c>
      <x:c r="T65" s="3" t="str">
        <x:f>IF(초입!AE65="","",초입!AE65)</x:f>
        <x:v>김찬희(어린이집)</x:v>
      </x:c>
      <x:c r="U65" s="3" t="str">
        <x:f>IF(초입!M65="","",초입!M65)</x:f>
        <x:v>경기도 남양주시 별내3로 159, 2707동 704호</x:v>
      </x:c>
      <x:c r="V65" s="7"/>
      <x:c r="W65" s="7"/>
      <x:c r="X65" s="7"/>
    </x:row>
    <x:row r="66" spans="1:24" customFormat="1" ht="26.35000000000000142109" hidden="1">
      <x:c r="A66" s="3"/>
      <x:c r="B66" s="3" t="s">
        <x:v>194</x:v>
      </x:c>
      <x:c r="C66" s="3" t="str">
        <x:f>IF(초입!H66&lt;&gt;"","O","")</x:f>
        <x:v/>
      </x:c>
      <x:c r="D66" s="3" t="str">
        <x:f>IF(초입!I66&lt;&gt;"","O","")</x:f>
        <x:v>O</x:v>
      </x:c>
      <x:c r="E66" s="3" t="str">
        <x:f>초입!B66</x:f>
        <x:v>시립하임어린이집</x:v>
      </x:c>
      <x:c r="F66" s="3" t="str">
        <x:f>IF(초입!C66="","",초입!C66)</x:f>
        <x:v/>
      </x:c>
      <x:c r="G66" s="3">
        <x:f>IF(초입!D66="","",초입!D66)</x:f>
        <x:v>3</x:v>
      </x:c>
      <x:c r="H66" s="3" t="str">
        <x:f>IF(초입!E66="","",초입!E66)</x:f>
        <x:v>권대훈</x:v>
      </x:c>
      <x:c r="I66" s="3" t="str">
        <x:f>IF(초입!F66="","",초입!F66)</x:f>
        <x:v>남</x:v>
      </x:c>
      <x:c r="J66" s="3" t="str">
        <x:f>IF(초입!G66="","",초입!G66)</x:f>
        <x:v>2020.08.04.</x:v>
      </x:c>
      <x:c r="K66" s="3" t="str">
        <x:f>IF(초입!J66="","",초입!J66)</x:f>
        <x:v>자폐성장애</x:v>
      </x:c>
      <x:c r="L66" s="3" t="str">
        <x:f>IF(초입!K66="","",초입!K66)</x:f>
        <x:v/>
      </x:c>
      <x:c r="M66" s="3" t="str">
        <x:f>IF(초입!L66="","",초입!L66)</x:f>
        <x:v/>
      </x:c>
      <x:c r="N66" s="3" t="str">
        <x:f>IF(초입!AF66="","","1. "&amp;초입!AF66&amp;IF(초입!AI66&lt;&gt;"",CHAR(10)&amp;"2. "&amp;초입!AI66,"")&amp;IF(초입!AL66&lt;&gt;"",CHAR(10)&amp;"3. "&amp;초입!AL66,""))</x:f>
        <x:v/>
      </x:c>
      <x:c r="O66" s="3" t="str">
        <x:f>IF(초입!AG66="","",초입!AG66&amp;IF(초입!AJ66&lt;&gt;"",CHAR(10)&amp;초입!AJ66,"")&amp;IF(초입!AM66&lt;&gt;"",CHAR(10)&amp;초입!AM66,""))</x:f>
        <x:v/>
      </x:c>
      <x:c r="P66" s="3" t="str">
        <x:f>IF(초입!AH66="","",초입!AH66&amp;IF(초입!AK66&lt;&gt;"",CHAR(10)&amp;초입!AK66,"")&amp;IF(초입!AN66&lt;&gt;"",CHAR(10)&amp;초입!AN66,""))</x:f>
        <x:v/>
      </x:c>
      <x:c r="Q66" s="3" t="str">
        <x:f>IF(초입!AO66="","",초입!AO66)</x:f>
        <x:v>진단평가 필요</x:v>
      </x:c>
      <x:c r="R66" s="3" t="str">
        <x:f>IF(초입!AP66="","",초입!AP66)</x:f>
        <x:v/>
      </x:c>
      <x:c r="S66" s="3" t="str">
        <x:f>IF(초입!AD66="","",초입!AD66)</x:f>
        <x:v>010-4699-4236</x:v>
      </x:c>
      <x:c r="T66" s="3" t="str">
        <x:f>IF(초입!AE66="","",초입!AE66)</x:f>
        <x:v/>
      </x:c>
      <x:c r="U66" s="3" t="str">
        <x:f>IF(초입!M66="","",초입!M66)</x:f>
        <x:v>경기도 남양주시 백봉로 32, 126동 2001호</x:v>
      </x:c>
      <x:c r="V66" s="7"/>
      <x:c r="W66" s="7"/>
      <x:c r="X66" s="7"/>
    </x:row>
    <x:row r="67" spans="1:24" customFormat="1" ht="26.35000000000000142109">
      <x:c r="A67" s="3">
        <x:f>SUBTOTAL(103,$N$6:N67)</x:f>
        <x:v>20</x:v>
      </x:c>
      <x:c r="B67" s="3" t="s">
        <x:v>194</x:v>
      </x:c>
      <x:c r="C67" s="3" t="str">
        <x:f>IF(초입!H67&lt;&gt;"","O","")</x:f>
        <x:v/>
      </x:c>
      <x:c r="D67" s="3" t="str">
        <x:f>IF(초입!I67&lt;&gt;"","O","")</x:f>
        <x:v>O</x:v>
      </x:c>
      <x:c r="E67" s="3" t="str">
        <x:f>초입!B67</x:f>
        <x:v>시립하나어린이집</x:v>
      </x:c>
      <x:c r="F67" s="3" t="str">
        <x:f>IF(초입!C67="","",초입!C67)</x:f>
        <x:v/>
      </x:c>
      <x:c r="G67" s="3">
        <x:f>IF(초입!D67="","",초입!D67)</x:f>
        <x:v>3</x:v>
      </x:c>
      <x:c r="H67" s="3" t="str">
        <x:f>IF(초입!E67="","",초입!E67)</x:f>
        <x:v>김주하</x:v>
      </x:c>
      <x:c r="I67" s="3" t="str">
        <x:f>IF(초입!F67="","",초입!F67)</x:f>
        <x:v>남</x:v>
      </x:c>
      <x:c r="J67" s="3" t="str">
        <x:f>IF(초입!G67="","",초입!G67)</x:f>
        <x:v>2019.03.03.</x:v>
      </x:c>
      <x:c r="K67" s="3" t="str">
        <x:f>IF(초입!J67="","",초입!J67)</x:f>
        <x:v>자폐성장애</x:v>
      </x:c>
      <x:c r="L67" s="3" t="str">
        <x:f>IF(초입!K67="","",초입!K67)</x:f>
        <x:v>자폐성장애</x:v>
      </x:c>
      <x:c r="M67" s="3" t="str">
        <x:f>IF(초입!L67="","",초입!L67)</x:f>
        <x:v>중증</x:v>
      </x:c>
      <x:c r="N67" s="3" t="str">
        <x:f>IF(초입!AG67="","","1. "&amp;초입!AG67&amp;IF(초입!AJ67&lt;&gt;"",CHAR(10)&amp;"2. "&amp;초입!AJ67,"")&amp;IF(초입!AM67&lt;&gt;"",CHAR(10)&amp;"3. "&amp;초입!AM67,""))</x:f>
        <x:v>1. 경은학교
2. 복합특수학급신설</x:v>
      </x:c>
      <x:c r="O67" s="3" t="str">
        <x:f>IF(초입!AF67="","",초입!AF67&amp;IF(초입!AI67&lt;&gt;"",CHAR(10)&amp;초입!AI67,"")&amp;IF(초입!AL67&lt;&gt;"",CHAR(10)&amp;초입!AL67,""))</x:f>
        <x:v>구리남양주
구리남양주</x:v>
      </x:c>
      <x:c r="P67" s="3" t="str">
        <x:f>IF(초입!AH67="","",초입!AH67&amp;IF(초입!AK67&lt;&gt;"",CHAR(10)&amp;초입!AK67,"")&amp;IF(초입!AN67&lt;&gt;"",CHAR(10)&amp;초입!AN67,""))</x:f>
        <x:v>특수학교</x:v>
      </x:c>
      <x:c r="Q67" s="3" t="str">
        <x:f>IF(초입!AO67="","",초입!AO67)</x:f>
        <x:v>□ 복지카드: 자폐성장애 중증(~2039.01.11.)</x:v>
      </x:c>
      <x:c r="R67" s="3" t="str">
        <x:f>IF(초입!AP67="","",초입!AP67)</x:f>
        <x:v>가족관계증명서, 등본 제출(한부모)</x:v>
      </x:c>
      <x:c r="S67" s="3" t="str">
        <x:f>IF(초입!AD67="","",초입!AD67)</x:f>
        <x:v>010-3222-5480</x:v>
      </x:c>
      <x:c r="T67" s="3" t="str">
        <x:f>IF(초입!AE67="","",초입!AE67)</x:f>
        <x:v/>
      </x:c>
      <x:c r="U67" s="3" t="str">
        <x:f>IF(초입!M67="","",초입!M67)</x:f>
        <x:v>경기도 남양주시 화도읍 경춘로 2290번길2, 111동103호</x:v>
      </x:c>
      <x:c r="V67" s="7"/>
      <x:c r="W67" s="7"/>
      <x:c r="X67" s="7"/>
    </x:row>
    <x:row r="68" spans="1:24" customFormat="1" ht="26.35000000000000142109">
      <x:c r="A68" s="3">
        <x:f>SUBTOTAL(103,$N$6:N68)</x:f>
        <x:v>21</x:v>
      </x:c>
      <x:c r="B68" s="3" t="s">
        <x:v>194</x:v>
      </x:c>
      <x:c r="C68" s="3" t="str">
        <x:f>IF(초입!H68&lt;&gt;"","O","")</x:f>
        <x:v/>
      </x:c>
      <x:c r="D68" s="3" t="str">
        <x:f>IF(초입!I68&lt;&gt;"","O","")</x:f>
        <x:v>O</x:v>
      </x:c>
      <x:c r="E68" s="3" t="str">
        <x:f>초입!B68</x:f>
        <x:v>시립하나어린이집</x:v>
      </x:c>
      <x:c r="F68" s="3" t="str">
        <x:f>IF(초입!C68="","",초입!C68)</x:f>
        <x:v/>
      </x:c>
      <x:c r="G68" s="3">
        <x:f>IF(초입!D68="","",초입!D68)</x:f>
        <x:v>3</x:v>
      </x:c>
      <x:c r="H68" s="3" t="str">
        <x:f>IF(초입!E68="","",초입!E68)</x:f>
        <x:v>박시영</x:v>
      </x:c>
      <x:c r="I68" s="3" t="str">
        <x:f>IF(초입!F68="","",초입!F68)</x:f>
        <x:v>여</x:v>
      </x:c>
      <x:c r="J68" s="3" t="str">
        <x:f>IF(초입!G68="","",초입!G68)</x:f>
        <x:v>2018.09.17.</x:v>
      </x:c>
      <x:c r="K68" s="3" t="str">
        <x:f>IF(초입!J68="","",초입!J68)</x:f>
        <x:v>지체장애</x:v>
      </x:c>
      <x:c r="L68" s="3" t="str">
        <x:f>IF(초입!K68="","",초입!K68)</x:f>
        <x:v>뇌병변장애</x:v>
      </x:c>
      <x:c r="M68" s="3" t="str">
        <x:f>IF(초입!L68="","",초입!L68)</x:f>
        <x:v>심한</x:v>
      </x:c>
      <x:c r="N68" s="3" t="str">
        <x:f>IF(초입!AG68="","","1. "&amp;초입!AG68&amp;IF(초입!AJ68&lt;&gt;"",CHAR(10)&amp;"2. "&amp;초입!AJ68,"")&amp;IF(초입!AM68&lt;&gt;"",CHAR(10)&amp;"3. "&amp;초입!AM68,""))</x:f>
        <x:v>1. 경은학교</x:v>
      </x:c>
      <x:c r="O68" s="3" t="str">
        <x:f>IF(초입!AF68="","",초입!AF68&amp;IF(초입!AI68&lt;&gt;"",CHAR(10)&amp;초입!AI68,"")&amp;IF(초입!AL68&lt;&gt;"",CHAR(10)&amp;초입!AL68,""))</x:f>
        <x:v>구리남양주</x:v>
      </x:c>
      <x:c r="P68" s="3" t="str">
        <x:f>IF(초입!AH68="","",초입!AH68&amp;IF(초입!AK68&lt;&gt;"",CHAR(10)&amp;초입!AK68,"")&amp;IF(초입!AN68&lt;&gt;"",CHAR(10)&amp;초입!AN68,""))</x:f>
        <x:v>특수학교</x:v>
      </x:c>
      <x:c r="Q68" s="3" t="str">
        <x:f>IF(초입!AO68="","",초입!AO68)</x:f>
        <x:v>□ 장애인증명서: 뇌병변 심한장애</x:v>
      </x:c>
      <x:c r="R68" s="3" t="str">
        <x:f>IF(초입!AP68="","",초입!AP68)</x:f>
        <x:v>경은 기각되면 취학유예 또는 재활 위해 면제 고려</x:v>
      </x:c>
      <x:c r="S68" s="3" t="str">
        <x:f>IF(초입!AD68="","",초입!AD68)</x:f>
        <x:v>010-8610-4533</x:v>
      </x:c>
      <x:c r="T68" s="3" t="str">
        <x:f>IF(초입!AE68="","",초입!AE68)</x:f>
        <x:v/>
      </x:c>
      <x:c r="U68" s="3" t="str">
        <x:f>IF(초입!M68="","",초입!M68)</x:f>
        <x:v>경기도 남양주시 화도읍 비룡로 56-8, 105동301호</x:v>
      </x:c>
      <x:c r="V68" s="7"/>
      <x:c r="W68" s="7"/>
      <x:c r="X68" s="7"/>
    </x:row>
    <x:row r="69" spans="1:24" customFormat="1" ht="65.84999999999999431566" hidden="1">
      <x:c r="A69" s="3"/>
      <x:c r="B69" s="3" t="s">
        <x:v>194</x:v>
      </x:c>
      <x:c r="C69" s="3" t="str">
        <x:f>IF(초입!H69&lt;&gt;"","O","")</x:f>
        <x:v/>
      </x:c>
      <x:c r="D69" s="3" t="str">
        <x:f>IF(초입!I69&lt;&gt;"","O","")</x:f>
        <x:v>O</x:v>
      </x:c>
      <x:c r="E69" s="3" t="str">
        <x:f>초입!B69</x:f>
        <x:v>시립와부어린이집</x:v>
      </x:c>
      <x:c r="F69" s="3" t="str">
        <x:f>IF(초입!C69="","",초입!C69)</x:f>
        <x:v/>
      </x:c>
      <x:c r="G69" s="3">
        <x:f>IF(초입!D69="","",초입!D69)</x:f>
        <x:v>3</x:v>
      </x:c>
      <x:c r="H69" s="3" t="str">
        <x:f>IF(초입!E69="","",초입!E69)</x:f>
        <x:v>김규리</x:v>
      </x:c>
      <x:c r="I69" s="3" t="str">
        <x:f>IF(초입!F69="","",초입!F69)</x:f>
        <x:v>여</x:v>
      </x:c>
      <x:c r="J69" s="3" t="str">
        <x:f>IF(초입!G69="","",초입!G69)</x:f>
        <x:v>2020.11.29.</x:v>
      </x:c>
      <x:c r="K69" s="3" t="str">
        <x:f>IF(초입!J69="","",초입!J69)</x:f>
        <x:v>지적장애</x:v>
      </x:c>
      <x:c r="L69" s="3" t="str">
        <x:f>IF(초입!K69="","",초입!K69)</x:f>
        <x:v/>
      </x:c>
      <x:c r="M69" s="3" t="str">
        <x:f>IF(초입!L69="","",초입!L69)</x:f>
        <x:v/>
      </x:c>
      <x:c r="N69" s="3" t="str">
        <x:f>IF(초입!AF69="","","1. "&amp;초입!AF69&amp;IF(초입!AI69&lt;&gt;"",CHAR(10)&amp;"2. "&amp;초입!AI69,"")&amp;IF(초입!AL69&lt;&gt;"",CHAR(10)&amp;"3. "&amp;초입!AL69,""))</x:f>
        <x:v/>
      </x:c>
      <x:c r="O69" s="3" t="str">
        <x:f>IF(초입!AG69="","",초입!AG69&amp;IF(초입!AJ69&lt;&gt;"",CHAR(10)&amp;초입!AJ69,"")&amp;IF(초입!AM69&lt;&gt;"",CHAR(10)&amp;초입!AM69,""))</x:f>
        <x:v/>
      </x:c>
      <x:c r="P69" s="3" t="str">
        <x:f>IF(초입!AH69="","",초입!AH69&amp;IF(초입!AK69&lt;&gt;"",CHAR(10)&amp;초입!AK69,"")&amp;IF(초입!AN69&lt;&gt;"",CHAR(10)&amp;초입!AN69,""))</x:f>
        <x:v/>
      </x:c>
      <x:c r="Q69" s="3" t="str">
        <x:f>IF(초입!AO69="","",초입!AO69)</x:f>
        <x:v>※심리평가보고서(2026.05.12.)
□ K-WPPSI-Ⅳ: 전체IQ 53(언어이해 50, 시공간 52, 유동추론 66, 작업기억 52, 처리속도 61/매우 낮음)
□사회성숙도: SA 2세 11개월, SQ 53.69(경도)
□적응행동검사: 표준점수 57(상당히 저조한 수준)</x:v>
      </x:c>
      <x:c r="R69" s="3" t="str">
        <x:f>IF(초입!AP69="","",초입!AP69)</x:f>
        <x:v/>
      </x:c>
      <x:c r="S69" s="3" t="str">
        <x:f>IF(초입!AD69="","",초입!AD69)</x:f>
        <x:v>010-4149-6589</x:v>
      </x:c>
      <x:c r="T69" s="3" t="str">
        <x:f>IF(초입!AE69="","",초입!AE69)</x:f>
        <x:v/>
      </x:c>
      <x:c r="U69" s="3" t="str">
        <x:f>IF(초입!M69="","",초입!M69)</x:f>
        <x:v>경기도 남양주시 와부읍 덕소로180, 106동201호</x:v>
      </x:c>
      <x:c r="V69" s="7"/>
      <x:c r="W69" s="7"/>
      <x:c r="X69" s="7"/>
    </x:row>
    <x:row r="70" spans="1:24" customFormat="1" ht="39.54999999999999715783" hidden="1">
      <x:c r="A70" s="3"/>
      <x:c r="B70" s="3" t="s">
        <x:v>194</x:v>
      </x:c>
      <x:c r="C70" s="3" t="str">
        <x:f>IF(초입!H70&lt;&gt;"","O","")</x:f>
        <x:v>O</x:v>
      </x:c>
      <x:c r="D70" s="3" t="str">
        <x:f>IF(초입!I70&lt;&gt;"","O","")</x:f>
        <x:v/>
      </x:c>
      <x:c r="E70" s="3" t="str">
        <x:f>초입!B70</x:f>
        <x:v>별가람유치원</x:v>
      </x:c>
      <x:c r="F70" s="3" t="str">
        <x:f>IF(초입!C70="","",초입!C70)</x:f>
        <x:v>특수학급</x:v>
      </x:c>
      <x:c r="G70" s="3">
        <x:f>IF(초입!D70="","",초입!D70)</x:f>
        <x:v>3</x:v>
      </x:c>
      <x:c r="H70" s="3" t="str">
        <x:f>IF(초입!E70="","",초입!E70)</x:f>
        <x:v>김도연</x:v>
      </x:c>
      <x:c r="I70" s="3" t="str">
        <x:f>IF(초입!F70="","",초입!F70)</x:f>
        <x:v>남</x:v>
      </x:c>
      <x:c r="J70" s="3" t="str">
        <x:f>IF(초입!G70="","",초입!G70)</x:f>
        <x:v>2020.06.22.</x:v>
      </x:c>
      <x:c r="K70" s="3" t="str">
        <x:f>IF(초입!J70="","",초입!J70)</x:f>
        <x:v>자폐성장애
(현 발달지체)</x:v>
      </x:c>
      <x:c r="L70" s="3" t="str">
        <x:f>IF(초입!K70="","",초입!K70)</x:f>
        <x:v>자폐성장애</x:v>
      </x:c>
      <x:c r="M70" s="3" t="str">
        <x:f>IF(초입!L70="","",초입!L70)</x:f>
        <x:v>중증</x:v>
      </x:c>
      <x:c r="N70" s="3" t="str">
        <x:f>IF(초입!AF70="","","1. "&amp;초입!AF70&amp;IF(초입!AI70&lt;&gt;"",CHAR(10)&amp;"2. "&amp;초입!AI70,"")&amp;IF(초입!AL70&lt;&gt;"",CHAR(10)&amp;"3. "&amp;초입!AL70,""))</x:f>
        <x:v/>
      </x:c>
      <x:c r="O70" s="3" t="str">
        <x:f>IF(초입!AG70="","",초입!AG70&amp;IF(초입!AJ70&lt;&gt;"",CHAR(10)&amp;초입!AJ70,"")&amp;IF(초입!AM70&lt;&gt;"",CHAR(10)&amp;초입!AM70,""))</x:f>
        <x:v/>
      </x:c>
      <x:c r="P70" s="3" t="str">
        <x:f>IF(초입!AH70="","",초입!AH70&amp;IF(초입!AK70&lt;&gt;"",CHAR(10)&amp;초입!AK70,"")&amp;IF(초입!AN70&lt;&gt;"",CHAR(10)&amp;초입!AN70,""))</x:f>
        <x:v/>
      </x:c>
      <x:c r="Q70" s="3" t="str">
        <x:f>IF(초입!AO70="","",초입!AO70)</x:f>
        <x:v>□ 복지카드: 자폐성장애 중증(~2029.08.18.)</x:v>
      </x:c>
      <x:c r="R70" s="3" t="str">
        <x:f>IF(초입!AP70="","",초입!AP70)</x:f>
        <x:v>*복지카드 원본대조필 / 주소 교사 확인 / 2,3희망교 순위 변경 / 한셀파일 추가
*수정본 접수. 샛별초 2희망 보호자 의견서 제출</x:v>
      </x:c>
      <x:c r="S70" s="3" t="str">
        <x:f>IF(초입!AD70="","",초입!AD70)</x:f>
        <x:v>010-8570-0151</x:v>
      </x:c>
      <x:c r="T70" s="3" t="str">
        <x:f>IF(초입!AE70="","",초입!AE70)</x:f>
        <x:v>임경희</x:v>
      </x:c>
      <x:c r="U70" s="3" t="str">
        <x:f>IF(초입!M70="","",초입!M70)</x:f>
        <x:v>경기도 남양주시 덕송1로 30, 1502동 1304호</x:v>
      </x:c>
      <x:c r="V70" s="7"/>
      <x:c r="W70" s="7"/>
      <x:c r="X70" s="7"/>
    </x:row>
    <x:row r="71" spans="1:24" customFormat="1" ht="26.35000000000000142109" hidden="1">
      <x:c r="A71" s="3"/>
      <x:c r="B71" s="3" t="s">
        <x:v>194</x:v>
      </x:c>
      <x:c r="C71" s="3" t="str">
        <x:f>IF(초입!H71&lt;&gt;"","O","")</x:f>
        <x:v>O</x:v>
      </x:c>
      <x:c r="D71" s="3" t="str">
        <x:f>IF(초입!I71&lt;&gt;"","O","")</x:f>
        <x:v/>
      </x:c>
      <x:c r="E71" s="3" t="str">
        <x:f>초입!B71</x:f>
        <x:v>다산새봄초등학교병설유치원</x:v>
      </x:c>
      <x:c r="F71" s="3" t="str">
        <x:f>IF(초입!C71="","",초입!C71)</x:f>
        <x:v>특수학급</x:v>
      </x:c>
      <x:c r="G71" s="3">
        <x:f>IF(초입!D71="","",초입!D71)</x:f>
        <x:v>3</x:v>
      </x:c>
      <x:c r="H71" s="3" t="str">
        <x:f>IF(초입!E71="","",초입!E71)</x:f>
        <x:v>홍아현</x:v>
      </x:c>
      <x:c r="I71" s="3" t="str">
        <x:f>IF(초입!F71="","",초입!F71)</x:f>
        <x:v>여</x:v>
      </x:c>
      <x:c r="J71" s="3" t="str">
        <x:f>IF(초입!G71="","",초입!G71)</x:f>
        <x:v>2020.04.09.</x:v>
      </x:c>
      <x:c r="K71" s="3" t="str">
        <x:f>IF(초입!J71="","",초입!J71)</x:f>
        <x:v>발달지체</x:v>
      </x:c>
      <x:c r="L71" s="3" t="str">
        <x:f>IF(초입!K71="","",초입!K71)</x:f>
        <x:v/>
      </x:c>
      <x:c r="M71" s="3" t="str">
        <x:f>IF(초입!L71="","",초입!L71)</x:f>
        <x:v/>
      </x:c>
      <x:c r="N71" s="3" t="str">
        <x:f>IF(초입!AF71="","","1. "&amp;초입!AF71&amp;IF(초입!AI71&lt;&gt;"",CHAR(10)&amp;"2. "&amp;초입!AI71,"")&amp;IF(초입!AL71&lt;&gt;"",CHAR(10)&amp;"3. "&amp;초입!AL71,""))</x:f>
        <x:v/>
      </x:c>
      <x:c r="O71" s="3" t="str">
        <x:f>IF(초입!AG71="","",초입!AG71&amp;IF(초입!AJ71&lt;&gt;"",CHAR(10)&amp;초입!AJ71,"")&amp;IF(초입!AM71&lt;&gt;"",CHAR(10)&amp;초입!AM71,""))</x:f>
        <x:v/>
      </x:c>
      <x:c r="P71" s="3" t="str">
        <x:f>IF(초입!AH71="","",초입!AH71&amp;IF(초입!AK71&lt;&gt;"",CHAR(10)&amp;초입!AK71,"")&amp;IF(초입!AN71&lt;&gt;"",CHAR(10)&amp;초입!AN71,""))</x:f>
        <x:v/>
      </x:c>
      <x:c r="Q71" s="3" t="str">
        <x:f>IF(초입!AO71="","",초입!AO71)</x:f>
        <x:v/>
      </x:c>
      <x:c r="R71" s="3" t="str">
        <x:f>IF(초입!AP71="","",초입!AP71)</x:f>
        <x:v/>
      </x:c>
      <x:c r="S71" s="3" t="str">
        <x:f>IF(초입!AD71="","",초입!AD71)</x:f>
        <x:v>010-3681-1805</x:v>
      </x:c>
      <x:c r="T71" s="3" t="str">
        <x:f>IF(초입!AE71="","",초입!AE71)</x:f>
        <x:v>황가연</x:v>
      </x:c>
      <x:c r="U71" s="3" t="str">
        <x:f>IF(초입!M71="","",초입!M71)</x:f>
        <x:v>경기도 남양주시 다산중앙로 82번길 105, 6205-2504</x:v>
      </x:c>
      <x:c r="V71" s="7"/>
      <x:c r="W71" s="7"/>
      <x:c r="X71" s="7"/>
    </x:row>
    <x:row r="72" spans="1:24" customFormat="1" ht="26.35000000000000142109" hidden="1">
      <x:c r="A72" s="3"/>
      <x:c r="B72" s="3" t="s">
        <x:v>194</x:v>
      </x:c>
      <x:c r="C72" s="3" t="str">
        <x:f>IF(초입!H72&lt;&gt;"","O","")</x:f>
        <x:v>O</x:v>
      </x:c>
      <x:c r="D72" s="3" t="str">
        <x:f>IF(초입!I72&lt;&gt;"","O","")</x:f>
        <x:v/>
      </x:c>
      <x:c r="E72" s="3" t="str">
        <x:f>초입!B72</x:f>
        <x:v>다산새봄초등학교병설유치원</x:v>
      </x:c>
      <x:c r="F72" s="3" t="str">
        <x:f>IF(초입!C72="","",초입!C72)</x:f>
        <x:v>일반학급</x:v>
      </x:c>
      <x:c r="G72" s="3">
        <x:f>IF(초입!D72="","",초입!D72)</x:f>
        <x:v>3</x:v>
      </x:c>
      <x:c r="H72" s="3" t="str">
        <x:f>IF(초입!E72="","",초입!E72)</x:f>
        <x:v>김유안</x:v>
      </x:c>
      <x:c r="I72" s="3" t="str">
        <x:f>IF(초입!F72="","",초입!F72)</x:f>
        <x:v>남</x:v>
      </x:c>
      <x:c r="J72" s="3" t="str">
        <x:f>IF(초입!G72="","",초입!G72)</x:f>
        <x:v>2020.12.27.</x:v>
      </x:c>
      <x:c r="K72" s="3" t="str">
        <x:f>IF(초입!J72="","",초입!J72)</x:f>
        <x:v>발달지체</x:v>
      </x:c>
      <x:c r="L72" s="3" t="str">
        <x:f>IF(초입!K72="","",초입!K72)</x:f>
        <x:v/>
      </x:c>
      <x:c r="M72" s="3" t="str">
        <x:f>IF(초입!L72="","",초입!L72)</x:f>
        <x:v/>
      </x:c>
      <x:c r="N72" s="3" t="str">
        <x:f>IF(초입!AF72="","","1. "&amp;초입!AF72&amp;IF(초입!AI72&lt;&gt;"",CHAR(10)&amp;"2. "&amp;초입!AI72,"")&amp;IF(초입!AL72&lt;&gt;"",CHAR(10)&amp;"3. "&amp;초입!AL72,""))</x:f>
        <x:v/>
      </x:c>
      <x:c r="O72" s="3" t="str">
        <x:f>IF(초입!AG72="","",초입!AG72&amp;IF(초입!AJ72&lt;&gt;"",CHAR(10)&amp;초입!AJ72,"")&amp;IF(초입!AM72&lt;&gt;"",CHAR(10)&amp;초입!AM72,""))</x:f>
        <x:v/>
      </x:c>
      <x:c r="P72" s="3" t="str">
        <x:f>IF(초입!AH72="","",초입!AH72&amp;IF(초입!AK72&lt;&gt;"",CHAR(10)&amp;초입!AK72,"")&amp;IF(초입!AN72&lt;&gt;"",CHAR(10)&amp;초입!AN72,""))</x:f>
        <x:v/>
      </x:c>
      <x:c r="Q72" s="3" t="str">
        <x:f>IF(초입!AO72="","",초입!AO72)</x:f>
        <x:v/>
      </x:c>
      <x:c r="R72" s="3" t="str">
        <x:f>IF(초입!AP72="","",초입!AP72)</x:f>
        <x:v>한셀과 PDF 신청교 다름 확인 / 다른 특대자 김해준,박우영 취소</x:v>
      </x:c>
      <x:c r="S72" s="3" t="str">
        <x:f>IF(초입!AD72="","",초입!AD72)</x:f>
        <x:v>010-9809-0905</x:v>
      </x:c>
      <x:c r="T72" s="3" t="str">
        <x:f>IF(초입!AE72="","",초입!AE72)</x:f>
        <x:v>황가연</x:v>
      </x:c>
      <x:c r="U72" s="3" t="str">
        <x:f>IF(초입!M72="","",초입!M72)</x:f>
        <x:v>경기도 남양주시 다산중앙로 82번길 12, 5310-201</x:v>
      </x:c>
      <x:c r="V72" s="7"/>
      <x:c r="W72" s="7"/>
      <x:c r="X72" s="7"/>
    </x:row>
    <x:row r="73" spans="1:24" customFormat="1" ht="39.54999999999999715783">
      <x:c r="A73" s="3">
        <x:f>SUBTOTAL(103,$N$6:N73)</x:f>
        <x:v>22</x:v>
      </x:c>
      <x:c r="B73" s="3" t="s">
        <x:v>194</x:v>
      </x:c>
      <x:c r="C73" s="3" t="str">
        <x:f>IF(초입!H73&lt;&gt;"","O","")</x:f>
        <x:v>O</x:v>
      </x:c>
      <x:c r="D73" s="3" t="str">
        <x:f>IF(초입!I73&lt;&gt;"","O","")</x:f>
        <x:v/>
      </x:c>
      <x:c r="E73" s="3" t="str">
        <x:f>초입!B73</x:f>
        <x:v>다산한강유치원</x:v>
      </x:c>
      <x:c r="F73" s="3" t="str">
        <x:f>IF(초입!C73="","",초입!C73)</x:f>
        <x:v>특수학급</x:v>
      </x:c>
      <x:c r="G73" s="3">
        <x:f>IF(초입!D73="","",초입!D73)</x:f>
        <x:v>3</x:v>
      </x:c>
      <x:c r="H73" s="3" t="str">
        <x:f>IF(초입!E73="","",초입!E73)</x:f>
        <x:v>김태리</x:v>
      </x:c>
      <x:c r="I73" s="3" t="str">
        <x:f>IF(초입!F73="","",초입!F73)</x:f>
        <x:v>남</x:v>
      </x:c>
      <x:c r="J73" s="3" t="str">
        <x:f>IF(초입!G73="","",초입!G73)</x:f>
        <x:v>2020.01.20.</x:v>
      </x:c>
      <x:c r="K73" s="3" t="str">
        <x:f>IF(초입!J73="","",초입!J73)</x:f>
        <x:v>자폐성장애</x:v>
      </x:c>
      <x:c r="L73" s="3" t="str">
        <x:f>IF(초입!K73="","",초입!K73)</x:f>
        <x:v>자폐성·언어장애</x:v>
      </x:c>
      <x:c r="M73" s="3" t="str">
        <x:f>IF(초입!L73="","",초입!L73)</x:f>
        <x:v>중증</x:v>
      </x:c>
      <x:c r="N73" s="3" t="str">
        <x:f>IF(초입!AG73="","","1. "&amp;초입!AG73&amp;IF(초입!AJ73&lt;&gt;"",CHAR(10)&amp;"2. "&amp;초입!AJ73,"")&amp;IF(초입!AM73&lt;&gt;"",CHAR(10)&amp;"3. "&amp;초입!AM73,""))</x:f>
        <x:v>1. 경은학교
2. 성광학교
3. 사능초등학교</x:v>
      </x:c>
      <x:c r="O73" s="3" t="str">
        <x:f>IF(초입!AF73="","",초입!AF73&amp;IF(초입!AI73&lt;&gt;"",CHAR(10)&amp;초입!AI73,"")&amp;IF(초입!AL73&lt;&gt;"",CHAR(10)&amp;초입!AL73,""))</x:f>
        <x:v>구리남양주
광주하남
구리남양주</x:v>
      </x:c>
      <x:c r="P73" s="3" t="str">
        <x:f>IF(초입!AH73="","",초입!AH73&amp;IF(초입!AK73&lt;&gt;"",CHAR(10)&amp;초입!AK73,"")&amp;IF(초입!AN73&lt;&gt;"",CHAR(10)&amp;초입!AN73,""))</x:f>
        <x:v>특수학교
특수학교
복합특수학급</x:v>
      </x:c>
      <x:c r="Q73" s="3" t="str">
        <x:f>IF(초입!AO73="","",초입!AO73)</x:f>
        <x:v>□ 복지카드: 자폐성,언어장애 중증(~2031.10.14.)</x:v>
      </x:c>
      <x:c r="R73" s="3" t="str">
        <x:f>IF(초입!AP73="","",초입!AP73)</x:f>
        <x:v/>
      </x:c>
      <x:c r="S73" s="3" t="str">
        <x:f>IF(초입!AD73="","",초입!AD73)</x:f>
        <x:v>010-8504-2941</x:v>
      </x:c>
      <x:c r="T73" s="3" t="str">
        <x:f>IF(초입!AE73="","",초입!AE73)</x:f>
        <x:v>김해지</x:v>
      </x:c>
      <x:c r="U73" s="3" t="str">
        <x:f>IF(초입!M73="","",초입!M73)</x:f>
        <x:v>경기도 남양주시 다산지금로 146번길 117, 7511-1901</x:v>
      </x:c>
      <x:c r="V73" s="7"/>
      <x:c r="W73" s="7"/>
      <x:c r="X73" s="7"/>
    </x:row>
    <x:row r="74" spans="1:24" customFormat="1" ht="39.54999999999999715783">
      <x:c r="A74" s="3">
        <x:f>SUBTOTAL(103,$N$6:N74)</x:f>
        <x:v>23</x:v>
      </x:c>
      <x:c r="B74" s="3" t="s">
        <x:v>194</x:v>
      </x:c>
      <x:c r="C74" s="3" t="str">
        <x:f>IF(초입!H74&lt;&gt;"","O","")</x:f>
        <x:v>O</x:v>
      </x:c>
      <x:c r="D74" s="3" t="str">
        <x:f>IF(초입!I74&lt;&gt;"","O","")</x:f>
        <x:v/>
      </x:c>
      <x:c r="E74" s="3" t="str">
        <x:f>초입!B74</x:f>
        <x:v>다산한강유치원</x:v>
      </x:c>
      <x:c r="F74" s="3" t="str">
        <x:f>IF(초입!C74="","",초입!C74)</x:f>
        <x:v>특수학급</x:v>
      </x:c>
      <x:c r="G74" s="3">
        <x:f>IF(초입!D74="","",초입!D74)</x:f>
        <x:v>3</x:v>
      </x:c>
      <x:c r="H74" s="3" t="str">
        <x:f>IF(초입!E74="","",초입!E74)</x:f>
        <x:v>이해빈</x:v>
      </x:c>
      <x:c r="I74" s="3" t="str">
        <x:f>IF(초입!F74="","",초입!F74)</x:f>
        <x:v>여</x:v>
      </x:c>
      <x:c r="J74" s="3" t="str">
        <x:f>IF(초입!G74="","",초입!G74)</x:f>
        <x:v>2020.05.13.</x:v>
      </x:c>
      <x:c r="K74" s="3" t="str">
        <x:f>IF(초입!J74="","",초입!J74)</x:f>
        <x:v>자폐성장애
(현 발달지체)</x:v>
      </x:c>
      <x:c r="L74" s="3" t="str">
        <x:f>IF(초입!K74="","",초입!K74)</x:f>
        <x:v>자폐성장애</x:v>
      </x:c>
      <x:c r="M74" s="3" t="str">
        <x:f>IF(초입!L74="","",초입!L74)</x:f>
        <x:v>중증</x:v>
      </x:c>
      <x:c r="N74" s="3" t="str">
        <x:f>IF(초입!AG74="","","1. "&amp;초입!AG74&amp;IF(초입!AJ74&lt;&gt;"",CHAR(10)&amp;"2. "&amp;초입!AJ74,"")&amp;IF(초입!AM74&lt;&gt;"",CHAR(10)&amp;"3. "&amp;초입!AM74,""))</x:f>
        <x:v>1. 경은학교</x:v>
      </x:c>
      <x:c r="O74" s="3" t="str">
        <x:f>IF(초입!AF74="","",초입!AF74&amp;IF(초입!AI74&lt;&gt;"",CHAR(10)&amp;초입!AI74,"")&amp;IF(초입!AL74&lt;&gt;"",CHAR(10)&amp;초입!AL74,""))</x:f>
        <x:v>구리남양주</x:v>
      </x:c>
      <x:c r="P74" s="3" t="str">
        <x:f>IF(초입!AH74="","",초입!AH74&amp;IF(초입!AK74&lt;&gt;"",CHAR(10)&amp;초입!AK74,"")&amp;IF(초입!AN74&lt;&gt;"",CHAR(10)&amp;초입!AN74,""))</x:f>
        <x:v>특수학교</x:v>
      </x:c>
      <x:c r="Q74" s="3" t="str">
        <x:f>IF(초입!AO74="","",초입!AO74)</x:f>
        <x:v>□ 복지카드: 자폐성장애 중증(~2032.02.03.)</x:v>
      </x:c>
      <x:c r="R74" s="3" t="str">
        <x:f>IF(초입!AP74="","",초입!AP74)</x:f>
        <x:v>근거리 가운초, 양정초 순</x:v>
      </x:c>
      <x:c r="S74" s="3" t="str">
        <x:f>IF(초입!AD74="","",초입!AD74)</x:f>
        <x:v>010-5377-5204</x:v>
      </x:c>
      <x:c r="T74" s="3" t="str">
        <x:f>IF(초입!AE74="","",초입!AE74)</x:f>
        <x:v>김해지</x:v>
      </x:c>
      <x:c r="U74" s="3" t="str">
        <x:f>IF(초입!M74="","",초입!M74)</x:f>
        <x:v>경기도 남양주시 다산지금로 146번길 117, 7502-2902</x:v>
      </x:c>
      <x:c r="V74" s="7"/>
      <x:c r="W74" s="7"/>
      <x:c r="X74" s="7"/>
    </x:row>
    <x:row r="75" spans="1:24" customFormat="1" ht="26.35000000000000142109" hidden="1">
      <x:c r="A75" s="3"/>
      <x:c r="B75" s="3" t="s">
        <x:v>194</x:v>
      </x:c>
      <x:c r="C75" s="3" t="str">
        <x:f>IF(초입!H75&lt;&gt;"","O","")</x:f>
        <x:v>O</x:v>
      </x:c>
      <x:c r="D75" s="3" t="str">
        <x:f>IF(초입!I75&lt;&gt;"","O","")</x:f>
        <x:v/>
      </x:c>
      <x:c r="E75" s="3" t="str">
        <x:f>초입!B75</x:f>
        <x:v>다산한강유치원</x:v>
      </x:c>
      <x:c r="F75" s="3" t="str">
        <x:f>IF(초입!C75="","",초입!C75)</x:f>
        <x:v>특수학급</x:v>
      </x:c>
      <x:c r="G75" s="3">
        <x:f>IF(초입!D75="","",초입!D75)</x:f>
        <x:v>3</x:v>
      </x:c>
      <x:c r="H75" s="3" t="str">
        <x:f>IF(초입!E75="","",초입!E75)</x:f>
        <x:v>최모건</x:v>
      </x:c>
      <x:c r="I75" s="3" t="str">
        <x:f>IF(초입!F75="","",초입!F75)</x:f>
        <x:v>남</x:v>
      </x:c>
      <x:c r="J75" s="3" t="str">
        <x:f>IF(초입!G75="","",초입!G75)</x:f>
        <x:v>2020.10.22.</x:v>
      </x:c>
      <x:c r="K75" s="3" t="str">
        <x:f>IF(초입!J75="","",초입!J75)</x:f>
        <x:v>발달지체</x:v>
      </x:c>
      <x:c r="L75" s="3" t="str">
        <x:f>IF(초입!K75="","",초입!K75)</x:f>
        <x:v/>
      </x:c>
      <x:c r="M75" s="3" t="str">
        <x:f>IF(초입!L75="","",초입!L75)</x:f>
        <x:v/>
      </x:c>
      <x:c r="N75" s="3" t="str">
        <x:f>IF(초입!AF75="","","1. "&amp;초입!AF75&amp;IF(초입!AI75&lt;&gt;"",CHAR(10)&amp;"2. "&amp;초입!AI75,"")&amp;IF(초입!AL75&lt;&gt;"",CHAR(10)&amp;"3. "&amp;초입!AL75,""))</x:f>
        <x:v/>
      </x:c>
      <x:c r="O75" s="3" t="str">
        <x:f>IF(초입!AG75="","",초입!AG75&amp;IF(초입!AJ75&lt;&gt;"",CHAR(10)&amp;초입!AJ75,"")&amp;IF(초입!AM75&lt;&gt;"",CHAR(10)&amp;초입!AM75,""))</x:f>
        <x:v/>
      </x:c>
      <x:c r="P75" s="3" t="str">
        <x:f>IF(초입!AH75="","",초입!AH75&amp;IF(초입!AK75&lt;&gt;"",CHAR(10)&amp;초입!AK75,"")&amp;IF(초입!AN75&lt;&gt;"",CHAR(10)&amp;초입!AN75,""))</x:f>
        <x:v/>
      </x:c>
      <x:c r="Q75" s="3" t="str">
        <x:f>IF(초입!AO75="","",초입!AO75)</x:f>
        <x:v/>
      </x:c>
      <x:c r="R75" s="3" t="str">
        <x:f>IF(초입!AP75="","",초입!AP75)</x:f>
        <x:v>3순위 거리 애매... 가운,다산별빛,금교</x:v>
      </x:c>
      <x:c r="S75" s="3" t="str">
        <x:f>IF(초입!AD75="","",초입!AD75)</x:f>
        <x:v>010-7180-0903</x:v>
      </x:c>
      <x:c r="T75" s="3" t="str">
        <x:f>IF(초입!AE75="","",초입!AE75)</x:f>
        <x:v>김해지</x:v>
      </x:c>
      <x:c r="U75" s="3" t="str">
        <x:f>IF(초입!M75="","",초입!M75)</x:f>
        <x:v>경기도 남양주시 다산지금로145번길 15, 7303동 2104호</x:v>
      </x:c>
      <x:c r="V75" s="7"/>
      <x:c r="W75" s="7"/>
      <x:c r="X75" s="7"/>
    </x:row>
    <x:row r="76" spans="1:24" customFormat="1" ht="26.35000000000000142109" hidden="1">
      <x:c r="A76" s="3"/>
      <x:c r="B76" s="3" t="s">
        <x:v>194</x:v>
      </x:c>
      <x:c r="C76" s="3" t="str">
        <x:f>IF(초입!H76&lt;&gt;"","O","")</x:f>
        <x:v>O</x:v>
      </x:c>
      <x:c r="D76" s="3" t="str">
        <x:f>IF(초입!I76&lt;&gt;"","O","")</x:f>
        <x:v/>
      </x:c>
      <x:c r="E76" s="3" t="str">
        <x:f>초입!B76</x:f>
        <x:v>다산한강유치원</x:v>
      </x:c>
      <x:c r="F76" s="3" t="str">
        <x:f>IF(초입!C76="","",초입!C76)</x:f>
        <x:v>일반학급</x:v>
      </x:c>
      <x:c r="G76" s="3">
        <x:f>IF(초입!D76="","",초입!D76)</x:f>
        <x:v>3</x:v>
      </x:c>
      <x:c r="H76" s="3" t="str">
        <x:f>IF(초입!E76="","",초입!E76)</x:f>
        <x:v>김수영</x:v>
      </x:c>
      <x:c r="I76" s="3" t="str">
        <x:f>IF(초입!F76="","",초입!F76)</x:f>
        <x:v>여</x:v>
      </x:c>
      <x:c r="J76" s="3" t="str">
        <x:f>IF(초입!G76="","",초입!G76)</x:f>
        <x:v>2020.12.03.</x:v>
      </x:c>
      <x:c r="K76" s="3" t="str">
        <x:f>IF(초입!J76="","",초입!J76)</x:f>
        <x:v>발달지체</x:v>
      </x:c>
      <x:c r="L76" s="3" t="str">
        <x:f>IF(초입!K76="","",초입!K76)</x:f>
        <x:v/>
      </x:c>
      <x:c r="M76" s="3" t="str">
        <x:f>IF(초입!L76="","",초입!L76)</x:f>
        <x:v/>
      </x:c>
      <x:c r="N76" s="3" t="str">
        <x:f>IF(초입!AF76="","","1. "&amp;초입!AF76&amp;IF(초입!AI76&lt;&gt;"",CHAR(10)&amp;"2. "&amp;초입!AI76,"")&amp;IF(초입!AL76&lt;&gt;"",CHAR(10)&amp;"3. "&amp;초입!AL76,""))</x:f>
        <x:v/>
      </x:c>
      <x:c r="O76" s="3" t="str">
        <x:f>IF(초입!AG76="","",초입!AG76&amp;IF(초입!AJ76&lt;&gt;"",CHAR(10)&amp;초입!AJ76,"")&amp;IF(초입!AM76&lt;&gt;"",CHAR(10)&amp;초입!AM76,""))</x:f>
        <x:v/>
      </x:c>
      <x:c r="P76" s="3" t="str">
        <x:f>IF(초입!AH76="","",초입!AH76&amp;IF(초입!AK76&lt;&gt;"",CHAR(10)&amp;초입!AK76,"")&amp;IF(초입!AN76&lt;&gt;"",CHAR(10)&amp;초입!AN76,""))</x:f>
        <x:v/>
      </x:c>
      <x:c r="Q76" s="3" t="str">
        <x:f>IF(초입!AO76="","",초입!AO76)</x:f>
        <x:v/>
      </x:c>
      <x:c r="R76" s="3" t="str">
        <x:f>IF(초입!AP76="","",초입!AP76)</x:f>
        <x:v>이사 예정</x:v>
      </x:c>
      <x:c r="S76" s="3" t="str">
        <x:f>IF(초입!AD76="","",초입!AD76)</x:f>
        <x:v>010-5303-0083</x:v>
      </x:c>
      <x:c r="T76" s="3" t="str">
        <x:f>IF(초입!AE76="","",초입!AE76)</x:f>
        <x:v>김해지</x:v>
      </x:c>
      <x:c r="U76" s="3" t="str">
        <x:f>IF(초입!M76="","",초입!M76)</x:f>
        <x:v xml:space="preserve">경기도 남양주시 다산지금로146번길 100, 7602동 2802호 </x:v>
      </x:c>
      <x:c r="V76" s="7"/>
      <x:c r="W76" s="7"/>
      <x:c r="X76" s="7"/>
    </x:row>
    <x:row r="77" spans="1:24" customFormat="1" ht="26.35000000000000142109" hidden="1">
      <x:c r="A77" s="3"/>
      <x:c r="B77" s="3" t="s">
        <x:v>194</x:v>
      </x:c>
      <x:c r="C77" s="3" t="str">
        <x:f>IF(초입!H77&lt;&gt;"","O","")</x:f>
        <x:v>O</x:v>
      </x:c>
      <x:c r="D77" s="3" t="str">
        <x:f>IF(초입!I77&lt;&gt;"","O","")</x:f>
        <x:v/>
      </x:c>
      <x:c r="E77" s="3" t="str">
        <x:f>초입!B77</x:f>
        <x:v>갈매초등학교병설유치원</x:v>
      </x:c>
      <x:c r="F77" s="3" t="str">
        <x:f>IF(초입!C77="","",초입!C77)</x:f>
        <x:v>특수학급</x:v>
      </x:c>
      <x:c r="G77" s="3">
        <x:f>IF(초입!D77="","",초입!D77)</x:f>
        <x:v>3</x:v>
      </x:c>
      <x:c r="H77" s="3" t="str">
        <x:f>IF(초입!E77="","",초입!E77)</x:f>
        <x:v>이태훈</x:v>
      </x:c>
      <x:c r="I77" s="3" t="str">
        <x:f>IF(초입!F77="","",초입!F77)</x:f>
        <x:v>남</x:v>
      </x:c>
      <x:c r="J77" s="3" t="str">
        <x:f>IF(초입!G77="","",초입!G77)</x:f>
        <x:v>2020.04.13.</x:v>
      </x:c>
      <x:c r="K77" s="3" t="str">
        <x:f>IF(초입!J77="","",초입!J77)</x:f>
        <x:v>자폐성장애</x:v>
      </x:c>
      <x:c r="L77" s="3" t="str">
        <x:f>IF(초입!K77="","",초입!K77)</x:f>
        <x:v>자폐성장애</x:v>
      </x:c>
      <x:c r="M77" s="3" t="str">
        <x:f>IF(초입!L77="","",초입!L77)</x:f>
        <x:v>중증</x:v>
      </x:c>
      <x:c r="N77" s="3" t="str">
        <x:f>IF(초입!AF77="","","1. "&amp;초입!AF77&amp;IF(초입!AI77&lt;&gt;"",CHAR(10)&amp;"2. "&amp;초입!AI77,"")&amp;IF(초입!AL77&lt;&gt;"",CHAR(10)&amp;"3. "&amp;초입!AL77,""))</x:f>
        <x:v/>
      </x:c>
      <x:c r="O77" s="3" t="str">
        <x:f>IF(초입!AG77="","",초입!AG77&amp;IF(초입!AJ77&lt;&gt;"",CHAR(10)&amp;초입!AJ77,"")&amp;IF(초입!AM77&lt;&gt;"",CHAR(10)&amp;초입!AM77,""))</x:f>
        <x:v/>
      </x:c>
      <x:c r="P77" s="3" t="str">
        <x:f>IF(초입!AH77="","",초입!AH77&amp;IF(초입!AK77&lt;&gt;"",CHAR(10)&amp;초입!AK77,"")&amp;IF(초입!AN77&lt;&gt;"",CHAR(10)&amp;초입!AN77,""))</x:f>
        <x:v/>
      </x:c>
      <x:c r="Q77" s="3" t="str">
        <x:f>IF(초입!AO77="","",초입!AO77)</x:f>
        <x:v>□ 복지카드: 자폐성장애 중증(~2032.03.16.)</x:v>
      </x:c>
      <x:c r="R77" s="3" t="str">
        <x:f>IF(초입!AP77="","",초입!AP77)</x:f>
        <x:v>3희망교 한별초로 변경</x:v>
      </x:c>
      <x:c r="S77" s="3" t="str">
        <x:f>IF(초입!AD77="","",초입!AD77)</x:f>
        <x:v>010-8962-0166</x:v>
      </x:c>
      <x:c r="T77" s="3" t="str">
        <x:f>IF(초입!AE77="","",초입!AE77)</x:f>
        <x:v>이신애</x:v>
      </x:c>
      <x:c r="U77" s="3" t="str">
        <x:f>IF(초입!M77="","",초입!M77)</x:f>
        <x:v>경기도 구리시 갈매중앙로 16, 701-2402</x:v>
      </x:c>
      <x:c r="V77" s="7"/>
      <x:c r="W77" s="7"/>
      <x:c r="X77" s="7"/>
    </x:row>
    <x:row r="78" spans="1:24" customFormat="1" ht="39.54999999999999715783" hidden="1">
      <x:c r="A78" s="3"/>
      <x:c r="B78" s="3" t="s">
        <x:v>194</x:v>
      </x:c>
      <x:c r="C78" s="3" t="str">
        <x:f>IF(초입!H78&lt;&gt;"","O","")</x:f>
        <x:v>O</x:v>
      </x:c>
      <x:c r="D78" s="3" t="str">
        <x:f>IF(초입!I78&lt;&gt;"","O","")</x:f>
        <x:v/>
      </x:c>
      <x:c r="E78" s="3" t="str">
        <x:f>초입!B78</x:f>
        <x:v>오남초등학교병설유치원</x:v>
      </x:c>
      <x:c r="F78" s="3" t="str">
        <x:f>IF(초입!C78="","",초입!C78)</x:f>
        <x:v>특수학급</x:v>
      </x:c>
      <x:c r="G78" s="3">
        <x:f>IF(초입!D78="","",초입!D78)</x:f>
        <x:v>3</x:v>
      </x:c>
      <x:c r="H78" s="3" t="str">
        <x:f>IF(초입!E78="","",초입!E78)</x:f>
        <x:v>김지혜</x:v>
      </x:c>
      <x:c r="I78" s="3" t="str">
        <x:f>IF(초입!F78="","",초입!F78)</x:f>
        <x:v>여</x:v>
      </x:c>
      <x:c r="J78" s="3" t="str">
        <x:f>IF(초입!G78="","",초입!G78)</x:f>
        <x:v>2020.04.18.</x:v>
      </x:c>
      <x:c r="K78" s="3" t="str">
        <x:f>IF(초입!J78="","",초입!J78)</x:f>
        <x:v>지적장애
(현 발달지체)</x:v>
      </x:c>
      <x:c r="L78" s="3" t="str">
        <x:f>IF(초입!K78="","",초입!K78)</x:f>
        <x:v>지적장애</x:v>
      </x:c>
      <x:c r="M78" s="3" t="str">
        <x:f>IF(초입!L78="","",초입!L78)</x:f>
        <x:v>중증</x:v>
      </x:c>
      <x:c r="N78" s="3" t="str">
        <x:f>IF(초입!AF78="","","1. "&amp;초입!AF78&amp;IF(초입!AI78&lt;&gt;"",CHAR(10)&amp;"2. "&amp;초입!AI78,"")&amp;IF(초입!AL78&lt;&gt;"",CHAR(10)&amp;"3. "&amp;초입!AL78,""))</x:f>
        <x:v/>
      </x:c>
      <x:c r="O78" s="3" t="str">
        <x:f>IF(초입!AG78="","",초입!AG78&amp;IF(초입!AJ78&lt;&gt;"",CHAR(10)&amp;초입!AJ78,"")&amp;IF(초입!AM78&lt;&gt;"",CHAR(10)&amp;초입!AM78,""))</x:f>
        <x:v/>
      </x:c>
      <x:c r="P78" s="3" t="str">
        <x:f>IF(초입!AH78="","",초입!AH78&amp;IF(초입!AK78&lt;&gt;"",CHAR(10)&amp;초입!AK78,"")&amp;IF(초입!AN78&lt;&gt;"",CHAR(10)&amp;초입!AN78,""))</x:f>
        <x:v/>
      </x:c>
      <x:c r="Q78" s="3" t="str">
        <x:f>IF(초입!AO78="","",초입!AO78)</x:f>
        <x:v>□ 복지카드: 지적장애 중증(~2030.12.22.)</x:v>
      </x:c>
      <x:c r="R78" s="3" t="str">
        <x:f>IF(초입!AP78="","",초입!AP78)</x:f>
        <x:v>동생이 오남초병유 재원. 초등학교도 학구인 오남초에 배치 받아야 등하원 용이. 의견서 및 증빙서류 제출</x:v>
      </x:c>
      <x:c r="S78" s="3" t="str">
        <x:f>IF(초입!AD78="","",초입!AD78)</x:f>
        <x:v>010-9477-5341</x:v>
      </x:c>
      <x:c r="T78" s="3" t="str">
        <x:f>IF(초입!AE78="","",초입!AE78)</x:f>
        <x:v>우미란</x:v>
      </x:c>
      <x:c r="U78" s="3" t="str">
        <x:f>IF(초입!M78="","",초입!M78)</x:f>
        <x:v>경기도 남양주시 오남읍 진건오남로631, 601-305</x:v>
      </x:c>
      <x:c r="V78" s="7"/>
      <x:c r="W78" s="7"/>
      <x:c r="X78" s="7"/>
    </x:row>
    <x:row r="79" spans="1:24" customFormat="1" ht="79.04999999999999715783" hidden="1">
      <x:c r="A79" s="3"/>
      <x:c r="B79" s="3" t="s">
        <x:v>194</x:v>
      </x:c>
      <x:c r="C79" s="3" t="str">
        <x:f>IF(초입!H79&lt;&gt;"","O","")</x:f>
        <x:v>O</x:v>
      </x:c>
      <x:c r="D79" s="3" t="str">
        <x:f>IF(초입!I79&lt;&gt;"","O","")</x:f>
        <x:v/>
      </x:c>
      <x:c r="E79" s="3" t="str">
        <x:f>초입!B79</x:f>
        <x:v>다산새봄유치원</x:v>
      </x:c>
      <x:c r="F79" s="3" t="str">
        <x:f>IF(초입!C79="","",초입!C79)</x:f>
        <x:v>특수학급</x:v>
      </x:c>
      <x:c r="G79" s="3">
        <x:f>IF(초입!D79="","",초입!D79)</x:f>
        <x:v>3</x:v>
      </x:c>
      <x:c r="H79" s="3" t="str">
        <x:f>IF(초입!E79="","",초입!E79)</x:f>
        <x:v>문시현</x:v>
      </x:c>
      <x:c r="I79" s="3" t="str">
        <x:f>IF(초입!F79="","",초입!F79)</x:f>
        <x:v>남</x:v>
      </x:c>
      <x:c r="J79" s="3" t="str">
        <x:f>IF(초입!G79="","",초입!G79)</x:f>
        <x:v>2020.01.13.</x:v>
      </x:c>
      <x:c r="K79" s="3" t="str">
        <x:f>IF(초입!J79="","",초입!J79)</x:f>
        <x:v>발달지체</x:v>
      </x:c>
      <x:c r="L79" s="3" t="str">
        <x:f>IF(초입!K79="","",초입!K79)</x:f>
        <x:v/>
      </x:c>
      <x:c r="M79" s="3" t="str">
        <x:f>IF(초입!L79="","",초입!L79)</x:f>
        <x:v/>
      </x:c>
      <x:c r="N79" s="3" t="str">
        <x:f>IF(초입!AF79="","","1. "&amp;초입!AF79&amp;IF(초입!AI79&lt;&gt;"",CHAR(10)&amp;"2. "&amp;초입!AI79,"")&amp;IF(초입!AL79&lt;&gt;"",CHAR(10)&amp;"3. "&amp;초입!AL79,""))</x:f>
        <x:v/>
      </x:c>
      <x:c r="O79" s="3" t="str">
        <x:f>IF(초입!AG79="","",초입!AG79&amp;IF(초입!AJ79&lt;&gt;"",CHAR(10)&amp;초입!AJ79,"")&amp;IF(초입!AM79&lt;&gt;"",CHAR(10)&amp;초입!AM79,""))</x:f>
        <x:v/>
      </x:c>
      <x:c r="P79" s="3" t="str">
        <x:f>IF(초입!AH79="","",초입!AH79&amp;IF(초입!AK79&lt;&gt;"",CHAR(10)&amp;초입!AK79,"")&amp;IF(초입!AN79&lt;&gt;"",CHAR(10)&amp;초입!AN79,""))</x:f>
        <x:v/>
      </x:c>
      <x:c r="Q79" s="3" t="str">
        <x:f>IF(초입!AO79="","",초입!AO79)</x:f>
        <x:v/>
      </x:c>
      <x:c r="R79" s="3" t="str">
        <x:f>IF(초입!AP79="","",초입!AP79)</x:f>
        <x:v>도농초1.2 / 다산가람초 1.7 / 금교초 2.3 순인데, 2희망 다산새봄, 3희망 다산가람초 작성함. (다산새봄은 2.3)
-최근거리교 안내함. 
-도보, 버스이용으로 인해 2,3희망교 최근거리 아님. 보호자 확인서 제출완</x:v>
      </x:c>
      <x:c r="S79" s="3" t="str">
        <x:f>IF(초입!AD79="","",초입!AD79)</x:f>
        <x:v>010-3344-7709</x:v>
      </x:c>
      <x:c r="T79" s="3" t="str">
        <x:f>IF(초입!AE79="","",초입!AE79)</x:f>
        <x:v>이성진</x:v>
      </x:c>
      <x:c r="U79" s="3" t="str">
        <x:f>IF(초입!M79="","",초입!M79)</x:f>
        <x:v>경기도 남양주시 미금로24 805동 1104호</x:v>
      </x:c>
      <x:c r="V79" s="7"/>
      <x:c r="W79" s="7"/>
      <x:c r="X79" s="7"/>
    </x:row>
    <x:row r="80" spans="1:24" customFormat="1" ht="39.54999999999999715783" hidden="1">
      <x:c r="A80" s="3"/>
      <x:c r="B80" s="3" t="s">
        <x:v>194</x:v>
      </x:c>
      <x:c r="C80" s="3" t="str">
        <x:f>IF(초입!H80&lt;&gt;"","O","")</x:f>
        <x:v>O</x:v>
      </x:c>
      <x:c r="D80" s="3" t="str">
        <x:f>IF(초입!I80&lt;&gt;"","O","")</x:f>
        <x:v/>
      </x:c>
      <x:c r="E80" s="3" t="str">
        <x:f>초입!B80</x:f>
        <x:v>산마루초등학교병설유치원</x:v>
      </x:c>
      <x:c r="F80" s="3" t="str">
        <x:f>IF(초입!C80="","",초입!C80)</x:f>
        <x:v>특수학급</x:v>
      </x:c>
      <x:c r="G80" s="3">
        <x:f>IF(초입!D80="","",초입!D80)</x:f>
        <x:v>3</x:v>
      </x:c>
      <x:c r="H80" s="3" t="str">
        <x:f>IF(초입!E80="","",초입!E80)</x:f>
        <x:v>김도현</x:v>
      </x:c>
      <x:c r="I80" s="3" t="str">
        <x:f>IF(초입!F80="","",초입!F80)</x:f>
        <x:v>남</x:v>
      </x:c>
      <x:c r="J80" s="3" t="str">
        <x:f>IF(초입!G80="","",초입!G80)</x:f>
        <x:v>2020.03.02.</x:v>
      </x:c>
      <x:c r="K80" s="3" t="str">
        <x:f>IF(초입!J80="","",초입!J80)</x:f>
        <x:v>자폐성장애
(현 발달지체)</x:v>
      </x:c>
      <x:c r="L80" s="3" t="str">
        <x:f>IF(초입!K80="","",초입!K80)</x:f>
        <x:v>발급중</x:v>
      </x:c>
      <x:c r="M80" s="3" t="str">
        <x:f>IF(초입!L80="","",초입!L80)</x:f>
        <x:v/>
      </x:c>
      <x:c r="N80" s="3" t="str">
        <x:f>IF(초입!AF80="","","1. "&amp;초입!AF80&amp;IF(초입!AI80&lt;&gt;"",CHAR(10)&amp;"2. "&amp;초입!AI80,"")&amp;IF(초입!AL80&lt;&gt;"",CHAR(10)&amp;"3. "&amp;초입!AL80,""))</x:f>
        <x:v/>
      </x:c>
      <x:c r="O80" s="3" t="str">
        <x:f>IF(초입!AG80="","",초입!AG80&amp;IF(초입!AJ80&lt;&gt;"",CHAR(10)&amp;초입!AJ80,"")&amp;IF(초입!AM80&lt;&gt;"",CHAR(10)&amp;초입!AM80,""))</x:f>
        <x:v/>
      </x:c>
      <x:c r="P80" s="3" t="str">
        <x:f>IF(초입!AH80="","",초입!AH80&amp;IF(초입!AK80&lt;&gt;"",CHAR(10)&amp;초입!AK80,"")&amp;IF(초입!AN80&lt;&gt;"",CHAR(10)&amp;초입!AN80,""))</x:f>
        <x:v/>
      </x:c>
      <x:c r="Q80" s="3" t="str">
        <x:f>IF(초입!AO80="","",초입!AO80)</x:f>
        <x:v>진단서(자폐증,최종진단)</x:v>
      </x:c>
      <x:c r="R80" s="3" t="str">
        <x:f>IF(초입!AP80="","",초입!AP80)</x:f>
        <x:v>복지카드 발급중 (자폐 중증) / 발급 완료되면 복지카드 추가 제출 안내 / 3근거리 내양초X 한별초0 안내</x:v>
      </x:c>
      <x:c r="S80" s="3" t="str">
        <x:f>IF(초입!AD80="","",초입!AD80)</x:f>
        <x:v>010-3302-3499</x:v>
      </x:c>
      <x:c r="T80" s="3" t="str">
        <x:f>IF(초입!AE80="","",초입!AE80)</x:f>
        <x:v>안선영</x:v>
      </x:c>
      <x:c r="U80" s="3" t="str">
        <x:f>IF(초입!M80="","",초입!M80)</x:f>
        <x:v>경기도 구리시 경춘북로 252, 810동 2504호(갈매동, 갈매역 아이파크)</x:v>
      </x:c>
      <x:c r="V80" s="7"/>
      <x:c r="W80" s="7"/>
      <x:c r="X80" s="7"/>
    </x:row>
    <x:row r="81" spans="1:24" customFormat="1" ht="92.20000000000000284217">
      <x:c r="A81" s="3">
        <x:f>SUBTOTAL(103,$N$6:N81)</x:f>
        <x:v>24</x:v>
      </x:c>
      <x:c r="B81" s="3" t="s">
        <x:v>194</x:v>
      </x:c>
      <x:c r="C81" s="3" t="str">
        <x:f>IF(초입!H81&lt;&gt;"","O","")</x:f>
        <x:v>O</x:v>
      </x:c>
      <x:c r="D81" s="3" t="str">
        <x:f>IF(초입!I81&lt;&gt;"","O","")</x:f>
        <x:v/>
      </x:c>
      <x:c r="E81" s="3" t="str">
        <x:f>초입!B81</x:f>
        <x:v>산마루초등학교병설유치원</x:v>
      </x:c>
      <x:c r="F81" s="3" t="str">
        <x:f>IF(초입!C81="","",초입!C81)</x:f>
        <x:v>특수학급</x:v>
      </x:c>
      <x:c r="G81" s="3">
        <x:f>IF(초입!D81="","",초입!D81)</x:f>
        <x:v>3</x:v>
      </x:c>
      <x:c r="H81" s="3" t="str">
        <x:f>IF(초입!E81="","",초입!E81)</x:f>
        <x:v>김서율</x:v>
      </x:c>
      <x:c r="I81" s="3" t="str">
        <x:f>IF(초입!F81="","",초입!F81)</x:f>
        <x:v>여</x:v>
      </x:c>
      <x:c r="J81" s="3" t="str">
        <x:f>IF(초입!G81="","",초입!G81)</x:f>
        <x:v>2020.10.03.</x:v>
      </x:c>
      <x:c r="K81" s="3" t="str">
        <x:f>IF(초입!J81="","",초입!J81)</x:f>
        <x:v>자폐성장애
(현 발달지체)</x:v>
      </x:c>
      <x:c r="L81" s="3" t="str">
        <x:f>IF(초입!K81="","",초입!K81)</x:f>
        <x:v>발급중</x:v>
      </x:c>
      <x:c r="M81" s="3" t="str">
        <x:f>IF(초입!L81="","",초입!L81)</x:f>
        <x:v/>
      </x:c>
      <x:c r="N81" s="3" t="str">
        <x:f>IF(초입!AG81="","","1. "&amp;초입!AG81&amp;IF(초입!AJ81&lt;&gt;"",CHAR(10)&amp;"2. "&amp;초입!AJ81,"")&amp;IF(초입!AM81&lt;&gt;"",CHAR(10)&amp;"3. "&amp;초입!AM81,""))</x:f>
        <x:v>1. 경은학교</x:v>
      </x:c>
      <x:c r="O81" s="3" t="str">
        <x:f>IF(초입!AF81="","",초입!AF81&amp;IF(초입!AI81&lt;&gt;"",CHAR(10)&amp;초입!AI81,"")&amp;IF(초입!AL81&lt;&gt;"",CHAR(10)&amp;초입!AL81,""))</x:f>
        <x:v>구리남양주</x:v>
      </x:c>
      <x:c r="P81" s="3" t="str">
        <x:f>IF(초입!AH81="","",초입!AH81&amp;IF(초입!AK81&lt;&gt;"",CHAR(10)&amp;초입!AK81,"")&amp;IF(초입!AN81&lt;&gt;"",CHAR(10)&amp;초입!AN81,""))</x:f>
        <x:v>특수학교</x:v>
      </x:c>
      <x:c r="Q81" s="3" t="str">
        <x:f>IF(초입!AO81="","",초입!AO81)</x:f>
        <x:v>※심리평가보고서(2026.3.26.)
□K-WPPSI-IV: 전체IQ 40 (언어이해 45, 시공간 52, 유동추론 45,        
  작업기억 45, 처리속도 45/매우낮음)
□사회성숙도: SA 2세 7개월, SQ 47.79(매우낮음)
□K-CARS-Ⅱ(ST): 총점 34점(경도에서 중등도 수준의 자폐 관련 행동)</x:v>
      </x:c>
      <x:c r="R81" s="3" t="str">
        <x:f>IF(초입!AP81="","",초입!AP81)</x:f>
        <x:v>복지카드 발급중 (자폐 중증) / 발급 완료되면 복지카드 추가 제출 안내 / 3근거리 내양초X 한별초0 안내 / 복지카드 없어도 자폐성장애 진단 가능</x:v>
      </x:c>
      <x:c r="S81" s="3" t="str">
        <x:f>IF(초입!AD81="","",초입!AD81)</x:f>
        <x:v>010-9769-4972</x:v>
      </x:c>
      <x:c r="T81" s="3" t="str">
        <x:f>IF(초입!AE81="","",초입!AE81)</x:f>
        <x:v>안선영</x:v>
      </x:c>
      <x:c r="U81" s="3" t="str">
        <x:f>IF(초입!M81="","",초입!M81)</x:f>
        <x:v>경기도 구리시 갈매순환로 204번길 8-32, 202호(갈매동)</x:v>
      </x:c>
      <x:c r="V81" s="7"/>
      <x:c r="W81" s="7"/>
      <x:c r="X81" s="7"/>
    </x:row>
    <x:row r="82" spans="1:24" customFormat="1" ht="26.35000000000000142109">
      <x:c r="A82" s="3">
        <x:f>SUBTOTAL(103,$N$6:N82)</x:f>
        <x:v>25</x:v>
      </x:c>
      <x:c r="B82" s="3" t="s">
        <x:v>194</x:v>
      </x:c>
      <x:c r="C82" s="3" t="str">
        <x:f>IF(초입!H82&lt;&gt;"","O","")</x:f>
        <x:v>O</x:v>
      </x:c>
      <x:c r="D82" s="3" t="str">
        <x:f>IF(초입!I82&lt;&gt;"","O","")</x:f>
        <x:v/>
      </x:c>
      <x:c r="E82" s="3" t="str">
        <x:f>초입!B82</x:f>
        <x:v>산마루초등학교병설유치원</x:v>
      </x:c>
      <x:c r="F82" s="3" t="str">
        <x:f>IF(초입!C82="","",초입!C82)</x:f>
        <x:v>특수학급</x:v>
      </x:c>
      <x:c r="G82" s="3">
        <x:f>IF(초입!D82="","",초입!D82)</x:f>
        <x:v>3</x:v>
      </x:c>
      <x:c r="H82" s="3" t="str">
        <x:f>IF(초입!E82="","",초입!E82)</x:f>
        <x:v>정지현</x:v>
      </x:c>
      <x:c r="I82" s="3" t="str">
        <x:f>IF(초입!F82="","",초입!F82)</x:f>
        <x:v>여</x:v>
      </x:c>
      <x:c r="J82" s="3" t="str">
        <x:f>IF(초입!G82="","",초입!G82)</x:f>
        <x:v>2020.09.15.</x:v>
      </x:c>
      <x:c r="K82" s="3" t="str">
        <x:f>IF(초입!J82="","",초입!J82)</x:f>
        <x:v>자폐성장애</x:v>
      </x:c>
      <x:c r="L82" s="3" t="str">
        <x:f>IF(초입!K82="","",초입!K82)</x:f>
        <x:v>자폐성장애</x:v>
      </x:c>
      <x:c r="M82" s="3" t="str">
        <x:f>IF(초입!L82="","",초입!L82)</x:f>
        <x:v>중증</x:v>
      </x:c>
      <x:c r="N82" s="3" t="str">
        <x:f>IF(초입!AG82="","","1. "&amp;초입!AG82&amp;IF(초입!AJ82&lt;&gt;"",CHAR(10)&amp;"2. "&amp;초입!AJ82,"")&amp;IF(초입!AM82&lt;&gt;"",CHAR(10)&amp;"3. "&amp;초입!AM82,""))</x:f>
        <x:v>1. 경은학교</x:v>
      </x:c>
      <x:c r="O82" s="3" t="str">
        <x:f>IF(초입!AF82="","",초입!AF82&amp;IF(초입!AI82&lt;&gt;"",CHAR(10)&amp;초입!AI82,"")&amp;IF(초입!AL82&lt;&gt;"",CHAR(10)&amp;초입!AL82,""))</x:f>
        <x:v>구리남양주</x:v>
      </x:c>
      <x:c r="P82" s="3" t="str">
        <x:f>IF(초입!AH82="","",초입!AH82&amp;IF(초입!AK82&lt;&gt;"",CHAR(10)&amp;초입!AK82,"")&amp;IF(초입!AN82&lt;&gt;"",CHAR(10)&amp;초입!AN82,""))</x:f>
        <x:v>특수학교</x:v>
      </x:c>
      <x:c r="Q82" s="3" t="str">
        <x:f>IF(초입!AO82="","",초입!AO82)</x:f>
        <x:v>□ 복지카드: 자폐성장애 중증(~2029.11.23.)</x:v>
      </x:c>
      <x:c r="R82" s="3" t="str">
        <x:f>IF(초입!AP82="","",초입!AP82)</x:f>
        <x:v/>
      </x:c>
      <x:c r="S82" s="3" t="str">
        <x:f>IF(초입!AD82="","",초입!AD82)</x:f>
        <x:v>010-4345-0582</x:v>
      </x:c>
      <x:c r="T82" s="3" t="str">
        <x:f>IF(초입!AE82="","",초입!AE82)</x:f>
        <x:v>안선영</x:v>
      </x:c>
      <x:c r="U82" s="3" t="str">
        <x:f>IF(초입!M82="","",초입!M82)</x:f>
        <x:v>경기도 구리시 갈매중앙로 131, 303동 1103호(갈매동, 한라비발디)</x:v>
      </x:c>
      <x:c r="V82" s="7"/>
      <x:c r="W82" s="7"/>
      <x:c r="X82" s="7"/>
    </x:row>
    <x:row r="83" spans="1:24" customFormat="1" ht="79.04999999999999715783" hidden="1">
      <x:c r="A83" s="3"/>
      <x:c r="B83" s="3" t="s">
        <x:v>194</x:v>
      </x:c>
      <x:c r="C83" s="3" t="str">
        <x:f>IF(초입!H83&lt;&gt;"","O","")</x:f>
        <x:v>O</x:v>
      </x:c>
      <x:c r="D83" s="3" t="str">
        <x:f>IF(초입!I83&lt;&gt;"","O","")</x:f>
        <x:v/>
      </x:c>
      <x:c r="E83" s="3" t="str">
        <x:f>초입!B83</x:f>
        <x:v>화도은솔유치원</x:v>
      </x:c>
      <x:c r="F83" s="3" t="str">
        <x:f>IF(초입!C83="","",초입!C83)</x:f>
        <x:v>특수학급</x:v>
      </x:c>
      <x:c r="G83" s="3">
        <x:f>IF(초입!D83="","",초입!D83)</x:f>
        <x:v>3</x:v>
      </x:c>
      <x:c r="H83" s="3" t="str">
        <x:f>IF(초입!E83="","",초입!E83)</x:f>
        <x:v>김서후</x:v>
      </x:c>
      <x:c r="I83" s="3" t="str">
        <x:f>IF(초입!F83="","",초입!F83)</x:f>
        <x:v>남</x:v>
      </x:c>
      <x:c r="J83" s="3" t="str">
        <x:f>IF(초입!G83="","",초입!G83)</x:f>
        <x:v>2020.01.02.</x:v>
      </x:c>
      <x:c r="K83" s="3" t="str">
        <x:f>IF(초입!J83="","",초입!J83)</x:f>
        <x:v>자폐성장애
(현 발달지체)</x:v>
      </x:c>
      <x:c r="L83" s="3" t="str">
        <x:f>IF(초입!K83="","",초입!K83)</x:f>
        <x:v>자폐성장애</x:v>
      </x:c>
      <x:c r="M83" s="3" t="str">
        <x:f>IF(초입!L83="","",초입!L83)</x:f>
        <x:v>중증</x:v>
      </x:c>
      <x:c r="N83" s="3" t="str">
        <x:f>IF(초입!AF83="","","1. "&amp;초입!AF83&amp;IF(초입!AI83&lt;&gt;"",CHAR(10)&amp;"2. "&amp;초입!AI83,"")&amp;IF(초입!AL83&lt;&gt;"",CHAR(10)&amp;"3. "&amp;초입!AL83,""))</x:f>
        <x:v/>
      </x:c>
      <x:c r="O83" s="3" t="str">
        <x:f>IF(초입!AG83="","",초입!AG83&amp;IF(초입!AJ83&lt;&gt;"",CHAR(10)&amp;초입!AJ83,"")&amp;IF(초입!AM83&lt;&gt;"",CHAR(10)&amp;초입!AM83,""))</x:f>
        <x:v/>
      </x:c>
      <x:c r="P83" s="3" t="str">
        <x:f>IF(초입!AH83="","",초입!AH83&amp;IF(초입!AK83&lt;&gt;"",CHAR(10)&amp;초입!AK83,"")&amp;IF(초입!AN83&lt;&gt;"",CHAR(10)&amp;초입!AN83,""))</x:f>
        <x:v/>
      </x:c>
      <x:c r="Q83" s="3" t="str">
        <x:f>IF(초입!AO83="","",초입!AO83)</x:f>
        <x:v>□ 복지카드: 자폐성장애 중증(~2031.2.26.)</x:v>
      </x:c>
      <x:c r="R83" s="3" t="str">
        <x:f>IF(초입!AP83="","",초입!AP83)</x:f>
        <x:v>*김서후, 김시후 쌍둥이 같은 학교 배치 희망 
*활보 가능한 은솔초, 마석초 희망(송라초는 활보 불가하다함) / 2근거리 마석초, 3근거리 창현초임, 4근거리가 은솔초
*발달지체에서 자폐성장애로 유형변경 안내(복지카드 제출)</x:v>
      </x:c>
      <x:c r="S83" s="3" t="str">
        <x:f>IF(초입!AD83="","",초입!AD83)</x:f>
        <x:v>010-5094-4560</x:v>
      </x:c>
      <x:c r="T83" s="3" t="str">
        <x:f>IF(초입!AE83="","",초입!AE83)</x:f>
        <x:v>류창준</x:v>
      </x:c>
      <x:c r="U83" s="3" t="str">
        <x:f>IF(초입!M83="","",초입!M83)</x:f>
        <x:v>경기도 남양주시 화도읍 마석로 33, 102동 1002호 (빌리브센트하이)</x:v>
      </x:c>
      <x:c r="V83" s="7"/>
      <x:c r="W83" s="7"/>
      <x:c r="X83" s="7"/>
    </x:row>
    <x:row r="84" spans="1:24" customFormat="1" ht="79.04999999999999715783" hidden="1">
      <x:c r="A84" s="3"/>
      <x:c r="B84" s="3" t="s">
        <x:v>194</x:v>
      </x:c>
      <x:c r="C84" s="3" t="str">
        <x:f>IF(초입!H84&lt;&gt;"","O","")</x:f>
        <x:v>O</x:v>
      </x:c>
      <x:c r="D84" s="3" t="str">
        <x:f>IF(초입!I84&lt;&gt;"","O","")</x:f>
        <x:v/>
      </x:c>
      <x:c r="E84" s="3" t="str">
        <x:f>초입!B84</x:f>
        <x:v>화도은솔유치원</x:v>
      </x:c>
      <x:c r="F84" s="3" t="str">
        <x:f>IF(초입!C84="","",초입!C84)</x:f>
        <x:v>특수학급</x:v>
      </x:c>
      <x:c r="G84" s="3">
        <x:f>IF(초입!D84="","",초입!D84)</x:f>
        <x:v>3</x:v>
      </x:c>
      <x:c r="H84" s="3" t="str">
        <x:f>IF(초입!E84="","",초입!E84)</x:f>
        <x:v>김시후</x:v>
      </x:c>
      <x:c r="I84" s="3" t="str">
        <x:f>IF(초입!F84="","",초입!F84)</x:f>
        <x:v>남</x:v>
      </x:c>
      <x:c r="J84" s="3" t="str">
        <x:f>IF(초입!G84="","",초입!G84)</x:f>
        <x:v>2020.01.02.</x:v>
      </x:c>
      <x:c r="K84" s="3" t="str">
        <x:f>IF(초입!J84="","",초입!J84)</x:f>
        <x:v>자폐성장애
(현 발달지체)</x:v>
      </x:c>
      <x:c r="L84" s="3" t="str">
        <x:f>IF(초입!K84="","",초입!K84)</x:f>
        <x:v>자폐성장애</x:v>
      </x:c>
      <x:c r="M84" s="3" t="str">
        <x:f>IF(초입!L84="","",초입!L84)</x:f>
        <x:v>중증</x:v>
      </x:c>
      <x:c r="N84" s="3" t="str">
        <x:f>IF(초입!AF84="","","1. "&amp;초입!AF84&amp;IF(초입!AI84&lt;&gt;"",CHAR(10)&amp;"2. "&amp;초입!AI84,"")&amp;IF(초입!AL84&lt;&gt;"",CHAR(10)&amp;"3. "&amp;초입!AL84,""))</x:f>
        <x:v/>
      </x:c>
      <x:c r="O84" s="3" t="str">
        <x:f>IF(초입!AG84="","",초입!AG84&amp;IF(초입!AJ84&lt;&gt;"",CHAR(10)&amp;초입!AJ84,"")&amp;IF(초입!AM84&lt;&gt;"",CHAR(10)&amp;초입!AM84,""))</x:f>
        <x:v/>
      </x:c>
      <x:c r="P84" s="3" t="str">
        <x:f>IF(초입!AH84="","",초입!AH84&amp;IF(초입!AK84&lt;&gt;"",CHAR(10)&amp;초입!AK84,"")&amp;IF(초입!AN84&lt;&gt;"",CHAR(10)&amp;초입!AN84,""))</x:f>
        <x:v/>
      </x:c>
      <x:c r="Q84" s="3" t="str">
        <x:f>IF(초입!AO84="","",초입!AO84)</x:f>
        <x:v>□ 복지카드: 자폐성장애 중증(~2031.2.26.)</x:v>
      </x:c>
      <x:c r="R84" s="3" t="str">
        <x:f>IF(초입!AP84="","",초입!AP84)</x:f>
        <x:v>*김서후, 김시후 쌍둥이 같은 학교 배치 희망 
*활보 가능한 은솔초, 마석초 희망(송라초는 활보 불가하다함) / 2근거리 마석초, 3근거리 창현초임, 4근거리가 은솔초
*발달지체에서 자폐성장애로 유형변경 안내(복지카드 제출)</x:v>
      </x:c>
      <x:c r="S84" s="3" t="str">
        <x:f>IF(초입!AD84="","",초입!AD84)</x:f>
        <x:v>010-5094-4560</x:v>
      </x:c>
      <x:c r="T84" s="3" t="str">
        <x:f>IF(초입!AE84="","",초입!AE84)</x:f>
        <x:v>류창준</x:v>
      </x:c>
      <x:c r="U84" s="3" t="str">
        <x:f>IF(초입!M84="","",초입!M84)</x:f>
        <x:v>경기도 남양주시 화도읍 마석로 33, 102동 1002호 (빌리브센트하이)</x:v>
      </x:c>
      <x:c r="V84" s="7"/>
      <x:c r="W84" s="7"/>
      <x:c r="X84" s="7"/>
    </x:row>
    <x:row r="85" spans="1:24" customFormat="1" ht="65.84999999999999431566" hidden="1">
      <x:c r="A85" s="3"/>
      <x:c r="B85" s="3" t="s">
        <x:v>194</x:v>
      </x:c>
      <x:c r="C85" s="3" t="str">
        <x:f>IF(초입!H85&lt;&gt;"","O","")</x:f>
        <x:v>O</x:v>
      </x:c>
      <x:c r="D85" s="3" t="str">
        <x:f>IF(초입!I85&lt;&gt;"","O","")</x:f>
        <x:v/>
      </x:c>
      <x:c r="E85" s="3" t="str">
        <x:f>초입!B85</x:f>
        <x:v>화도은솔유치원</x:v>
      </x:c>
      <x:c r="F85" s="3" t="str">
        <x:f>IF(초입!C85="","",초입!C85)</x:f>
        <x:v>특수학급</x:v>
      </x:c>
      <x:c r="G85" s="3">
        <x:f>IF(초입!D85="","",초입!D85)</x:f>
        <x:v>3</x:v>
      </x:c>
      <x:c r="H85" s="3" t="str">
        <x:f>IF(초입!E85="","",초입!E85)</x:f>
        <x:v>문채환</x:v>
      </x:c>
      <x:c r="I85" s="3" t="str">
        <x:f>IF(초입!F85="","",초입!F85)</x:f>
        <x:v>남</x:v>
      </x:c>
      <x:c r="J85" s="3" t="str">
        <x:f>IF(초입!G85="","",초입!G85)</x:f>
        <x:v>2020.12.15.</x:v>
      </x:c>
      <x:c r="K85" s="3" t="str">
        <x:f>IF(초입!J85="","",초입!J85)</x:f>
        <x:v>자폐성장애</x:v>
      </x:c>
      <x:c r="L85" s="3" t="str">
        <x:f>IF(초입!K85="","",초입!K85)</x:f>
        <x:v/>
      </x:c>
      <x:c r="M85" s="3" t="str">
        <x:f>IF(초입!L85="","",초입!L85)</x:f>
        <x:v/>
      </x:c>
      <x:c r="N85" s="3" t="str">
        <x:f>IF(초입!AF85="","","1. "&amp;초입!AF85&amp;IF(초입!AI85&lt;&gt;"",CHAR(10)&amp;"2. "&amp;초입!AI85,"")&amp;IF(초입!AL85&lt;&gt;"",CHAR(10)&amp;"3. "&amp;초입!AL85,""))</x:f>
        <x:v/>
      </x:c>
      <x:c r="O85" s="3" t="str">
        <x:f>IF(초입!AG85="","",초입!AG85&amp;IF(초입!AJ85&lt;&gt;"",CHAR(10)&amp;초입!AJ85,"")&amp;IF(초입!AM85&lt;&gt;"",CHAR(10)&amp;초입!AM85,""))</x:f>
        <x:v/>
      </x:c>
      <x:c r="P85" s="3" t="str">
        <x:f>IF(초입!AH85="","",초입!AH85&amp;IF(초입!AK85&lt;&gt;"",CHAR(10)&amp;초입!AK85,"")&amp;IF(초입!AN85&lt;&gt;"",CHAR(10)&amp;초입!AN85,""))</x:f>
        <x:v/>
      </x:c>
      <x:c r="Q85" s="3" t="str">
        <x:f>IF(초입!AO85="","",초입!AO85)</x:f>
        <x:v/>
      </x:c>
      <x:c r="R85" s="3" t="str">
        <x:f>IF(초입!AP85="","",초입!AP85)</x:f>
        <x:v>*학부모 직장 근거리 학교 희망(최근거리 호평초 말고 평동초 희망) / 증빙서류 제출함 재직증명서, 가족관계증명서
*직장 기준 2근거리 판곡초, 3근거리 구룡초임(원본 2희망 구룡초, 3희망 호평초였음)</x:v>
      </x:c>
      <x:c r="S85" s="3" t="str">
        <x:f>IF(초입!AD85="","",초입!AD85)</x:f>
        <x:v>010-3279-2477</x:v>
      </x:c>
      <x:c r="T85" s="3" t="str">
        <x:f>IF(초입!AE85="","",초입!AE85)</x:f>
        <x:v>류창준</x:v>
      </x:c>
      <x:c r="U85" s="3" t="str">
        <x:f>IF(초입!M85="","",초입!M85)</x:f>
        <x:v>경기도 남양주시 천마산로 65, 116동 404호 (호평동, 호평파라곤)
직장: 경기도 남양주시 호평로46번길 8, 클랑피아노교습소</x:v>
      </x:c>
      <x:c r="V85" s="7"/>
      <x:c r="W85" s="7"/>
      <x:c r="X85" s="7"/>
    </x:row>
    <x:row r="86" spans="1:24" customFormat="1" ht="26.35000000000000142109" hidden="1">
      <x:c r="A86" s="3"/>
      <x:c r="B86" s="3" t="s">
        <x:v>194</x:v>
      </x:c>
      <x:c r="C86" s="3" t="str">
        <x:f>IF(초입!H86&lt;&gt;"","O","")</x:f>
        <x:v>O</x:v>
      </x:c>
      <x:c r="D86" s="3" t="str">
        <x:f>IF(초입!I86&lt;&gt;"","O","")</x:f>
        <x:v/>
      </x:c>
      <x:c r="E86" s="3" t="str">
        <x:f>초입!B86</x:f>
        <x:v>화도은솔유치원</x:v>
      </x:c>
      <x:c r="F86" s="3" t="str">
        <x:f>IF(초입!C86="","",초입!C86)</x:f>
        <x:v>특수학급</x:v>
      </x:c>
      <x:c r="G86" s="3">
        <x:f>IF(초입!D86="","",초입!D86)</x:f>
        <x:v>3</x:v>
      </x:c>
      <x:c r="H86" s="3" t="str">
        <x:f>IF(초입!E86="","",초입!E86)</x:f>
        <x:v>이선재</x:v>
      </x:c>
      <x:c r="I86" s="3" t="str">
        <x:f>IF(초입!F86="","",초입!F86)</x:f>
        <x:v>남</x:v>
      </x:c>
      <x:c r="J86" s="3" t="str">
        <x:f>IF(초입!G86="","",초입!G86)</x:f>
        <x:v>2020.06.24.</x:v>
      </x:c>
      <x:c r="K86" s="3" t="str">
        <x:f>IF(초입!J86="","",초입!J86)</x:f>
        <x:v>발달지체</x:v>
      </x:c>
      <x:c r="L86" s="3" t="str">
        <x:f>IF(초입!K86="","",초입!K86)</x:f>
        <x:v/>
      </x:c>
      <x:c r="M86" s="3" t="str">
        <x:f>IF(초입!L86="","",초입!L86)</x:f>
        <x:v/>
      </x:c>
      <x:c r="N86" s="3" t="str">
        <x:f>IF(초입!AF86="","","1. "&amp;초입!AF86&amp;IF(초입!AI86&lt;&gt;"",CHAR(10)&amp;"2. "&amp;초입!AI86,"")&amp;IF(초입!AL86&lt;&gt;"",CHAR(10)&amp;"3. "&amp;초입!AL86,""))</x:f>
        <x:v/>
      </x:c>
      <x:c r="O86" s="3" t="str">
        <x:f>IF(초입!AG86="","",초입!AG86&amp;IF(초입!AJ86&lt;&gt;"",CHAR(10)&amp;초입!AJ86,"")&amp;IF(초입!AM86&lt;&gt;"",CHAR(10)&amp;초입!AM86,""))</x:f>
        <x:v/>
      </x:c>
      <x:c r="P86" s="3" t="str">
        <x:f>IF(초입!AH86="","",초입!AH86&amp;IF(초입!AK86&lt;&gt;"",CHAR(10)&amp;초입!AK86,"")&amp;IF(초입!AN86&lt;&gt;"",CHAR(10)&amp;초입!AN86,""))</x:f>
        <x:v/>
      </x:c>
      <x:c r="Q86" s="3" t="str">
        <x:f>IF(초입!AO86="","",초입!AO86)</x:f>
        <x:v/>
      </x:c>
      <x:c r="R86" s="3" t="str">
        <x:f>IF(초입!AP86="","",초입!AP86)</x:f>
        <x:v/>
      </x:c>
      <x:c r="S86" s="3" t="str">
        <x:f>IF(초입!AD86="","",초입!AD86)</x:f>
        <x:v>010-6489-5236</x:v>
      </x:c>
      <x:c r="T86" s="3" t="str">
        <x:f>IF(초입!AE86="","",초입!AE86)</x:f>
        <x:v>류창준</x:v>
      </x:c>
      <x:c r="U86" s="3" t="str">
        <x:f>IF(초입!M86="","",초입!M86)</x:f>
        <x:v>경기도 남양주시 백봉로 32, 114동 901호 (호평동, 두산 알프하임)</x:v>
      </x:c>
      <x:c r="V86" s="7"/>
      <x:c r="W86" s="7"/>
      <x:c r="X86" s="7"/>
    </x:row>
    <x:row r="87" spans="1:24" customFormat="1" ht="39.54999999999999715783">
      <x:c r="A87" s="3">
        <x:f>SUBTOTAL(103,$N$6:N87)</x:f>
        <x:v>26</x:v>
      </x:c>
      <x:c r="B87" s="3" t="s">
        <x:v>194</x:v>
      </x:c>
      <x:c r="C87" s="3" t="str">
        <x:f>IF(초입!H87&lt;&gt;"","O","")</x:f>
        <x:v>O</x:v>
      </x:c>
      <x:c r="D87" s="3" t="str">
        <x:f>IF(초입!I87&lt;&gt;"","O","")</x:f>
        <x:v/>
      </x:c>
      <x:c r="E87" s="3" t="str">
        <x:f>초입!B87</x:f>
        <x:v>화도은솔유치원</x:v>
      </x:c>
      <x:c r="F87" s="3" t="str">
        <x:f>IF(초입!C87="","",초입!C87)</x:f>
        <x:v>특수학급</x:v>
      </x:c>
      <x:c r="G87" s="3">
        <x:f>IF(초입!D87="","",초입!D87)</x:f>
        <x:v>3</x:v>
      </x:c>
      <x:c r="H87" s="3" t="str">
        <x:f>IF(초입!E87="","",초입!E87)</x:f>
        <x:v>진시아</x:v>
      </x:c>
      <x:c r="I87" s="3" t="str">
        <x:f>IF(초입!F87="","",초입!F87)</x:f>
        <x:v>여</x:v>
      </x:c>
      <x:c r="J87" s="3" t="str">
        <x:f>IF(초입!G87="","",초입!G87)</x:f>
        <x:v>2020.03.19.</x:v>
      </x:c>
      <x:c r="K87" s="3" t="str">
        <x:f>IF(초입!J87="","",초입!J87)</x:f>
        <x:v>자폐성장애
(현 발달지체)</x:v>
      </x:c>
      <x:c r="L87" s="3" t="str">
        <x:f>IF(초입!K87="","",초입!K87)</x:f>
        <x:v>자폐성장애</x:v>
      </x:c>
      <x:c r="M87" s="3" t="str">
        <x:f>IF(초입!L87="","",초입!L87)</x:f>
        <x:v>중증</x:v>
      </x:c>
      <x:c r="N87" s="3" t="str">
        <x:f>IF(초입!AG87="","","1. "&amp;초입!AG87&amp;IF(초입!AJ87&lt;&gt;"",CHAR(10)&amp;"2. "&amp;초입!AJ87,"")&amp;IF(초입!AM87&lt;&gt;"",CHAR(10)&amp;"3. "&amp;초입!AM87,""))</x:f>
        <x:v>1. 경은학교</x:v>
      </x:c>
      <x:c r="O87" s="3" t="str">
        <x:f>IF(초입!AF87="","",초입!AF87&amp;IF(초입!AI87&lt;&gt;"",CHAR(10)&amp;초입!AI87,"")&amp;IF(초입!AL87&lt;&gt;"",CHAR(10)&amp;초입!AL87,""))</x:f>
        <x:v>구리남양주</x:v>
      </x:c>
      <x:c r="P87" s="3" t="str">
        <x:f>IF(초입!AH87="","",초입!AH87&amp;IF(초입!AK87&lt;&gt;"",CHAR(10)&amp;초입!AK87,"")&amp;IF(초입!AN87&lt;&gt;"",CHAR(10)&amp;초입!AN87,""))</x:f>
        <x:v>특수학교</x:v>
      </x:c>
      <x:c r="Q87" s="3" t="str">
        <x:f>IF(초입!AO87="","",초입!AO87)</x:f>
        <x:v/>
      </x:c>
      <x:c r="R87" s="3" t="str">
        <x:f>IF(초입!AP87="","",초입!AP87)</x:f>
        <x:v>*3근거리 창현초1.4, 화도초1.5, 은솔초1.5임
*송라, 마석, 화도 순으로 수정 제출함</x:v>
      </x:c>
      <x:c r="S87" s="3" t="str">
        <x:f>IF(초입!AD87="","",초입!AD87)</x:f>
        <x:v>010-9153-1455</x:v>
      </x:c>
      <x:c r="T87" s="3" t="str">
        <x:f>IF(초입!AE87="","",초입!AE87)</x:f>
        <x:v>류창준</x:v>
      </x:c>
      <x:c r="U87" s="3" t="str">
        <x:f>IF(초입!M87="","",초입!M87)</x:f>
        <x:v>경기도 남양주시 화도읍 비룡로 56-8, 107동 303호 (신명스카이뷰그린)</x:v>
      </x:c>
      <x:c r="V87" s="7"/>
      <x:c r="W87" s="7"/>
      <x:c r="X87" s="7"/>
    </x:row>
    <x:row r="88" spans="1:24" customFormat="1" ht="52.70000000000000284217" hidden="1">
      <x:c r="A88" s="3"/>
      <x:c r="B88" s="3" t="s">
        <x:v>194</x:v>
      </x:c>
      <x:c r="C88" s="3" t="str">
        <x:f>IF(초입!H88&lt;&gt;"","O","")</x:f>
        <x:v>O</x:v>
      </x:c>
      <x:c r="D88" s="3" t="str">
        <x:f>IF(초입!I88&lt;&gt;"","O","")</x:f>
        <x:v/>
      </x:c>
      <x:c r="E88" s="3" t="str">
        <x:f>초입!B88</x:f>
        <x:v>화도은솔유치원</x:v>
      </x:c>
      <x:c r="F88" s="3" t="str">
        <x:f>IF(초입!C88="","",초입!C88)</x:f>
        <x:v>특수학급</x:v>
      </x:c>
      <x:c r="G88" s="3">
        <x:f>IF(초입!D88="","",초입!D88)</x:f>
        <x:v>3</x:v>
      </x:c>
      <x:c r="H88" s="3" t="str">
        <x:f>IF(초입!E88="","",초입!E88)</x:f>
        <x:v>천수호</x:v>
      </x:c>
      <x:c r="I88" s="3" t="str">
        <x:f>IF(초입!F88="","",초입!F88)</x:f>
        <x:v>남</x:v>
      </x:c>
      <x:c r="J88" s="3" t="str">
        <x:f>IF(초입!G88="","",초입!G88)</x:f>
        <x:v>2020.03.26.</x:v>
      </x:c>
      <x:c r="K88" s="3" t="str">
        <x:f>IF(초입!J88="","",초입!J88)</x:f>
        <x:v>자폐성장애</x:v>
      </x:c>
      <x:c r="L88" s="3" t="str">
        <x:f>IF(초입!K88="","",초입!K88)</x:f>
        <x:v>자폐성장애</x:v>
      </x:c>
      <x:c r="M88" s="3" t="str">
        <x:f>IF(초입!L88="","",초입!L88)</x:f>
        <x:v>심한</x:v>
      </x:c>
      <x:c r="N88" s="3" t="str">
        <x:f>IF(초입!AF88="","","1. "&amp;초입!AF88&amp;IF(초입!AI88&lt;&gt;"",CHAR(10)&amp;"2. "&amp;초입!AI88,"")&amp;IF(초입!AL88&lt;&gt;"",CHAR(10)&amp;"3. "&amp;초입!AL88,""))</x:f>
        <x:v/>
      </x:c>
      <x:c r="O88" s="3" t="str">
        <x:f>IF(초입!AG88="","",초입!AG88&amp;IF(초입!AJ88&lt;&gt;"",CHAR(10)&amp;초입!AJ88,"")&amp;IF(초입!AM88&lt;&gt;"",CHAR(10)&amp;초입!AM88,""))</x:f>
        <x:v/>
      </x:c>
      <x:c r="P88" s="3" t="str">
        <x:f>IF(초입!AH88="","",초입!AH88&amp;IF(초입!AK88&lt;&gt;"",CHAR(10)&amp;초입!AK88,"")&amp;IF(초입!AN88&lt;&gt;"",CHAR(10)&amp;초입!AN88,""))</x:f>
        <x:v/>
      </x:c>
      <x:c r="Q88" s="3" t="str">
        <x:f>IF(초입!AO88="","",초입!AO88)</x:f>
        <x:v>장애인증명서: 자폐성장애 심한장애</x:v>
      </x:c>
      <x:c r="R88" s="3" t="str">
        <x:f>IF(초입!AP88="","",초입!AP88)</x:f>
        <x:v>*활보 가능한 최근거리교 화도초 희망
*2,3희망교 근거리가X 사유 제출함. 활보 이용 때문에.
*원래 2근거리 송라초1.7, 3근거리 은솔초 2.3</x:v>
      </x:c>
      <x:c r="S88" s="3" t="str">
        <x:f>IF(초입!AD88="","",초입!AD88)</x:f>
        <x:v>010-8836-1772</x:v>
      </x:c>
      <x:c r="T88" s="3" t="str">
        <x:f>IF(초입!AE88="","",초입!AE88)</x:f>
        <x:v>류창준</x:v>
      </x:c>
      <x:c r="U88" s="3" t="str">
        <x:f>IF(초입!M88="","",초입!M88)</x:f>
        <x:v>경기도 남양주시 화도읍 비룡로99번길 52-6, 다동 402호 (보아주택)</x:v>
      </x:c>
      <x:c r="V88" s="7"/>
      <x:c r="W88" s="7"/>
      <x:c r="X88" s="7"/>
    </x:row>
    <x:row r="89" spans="1:24" customFormat="1" ht="39.54999999999999715783">
      <x:c r="A89" s="3">
        <x:f>SUBTOTAL(103,$N$6:N89)</x:f>
        <x:v>27</x:v>
      </x:c>
      <x:c r="B89" s="3" t="s">
        <x:v>194</x:v>
      </x:c>
      <x:c r="C89" s="3" t="str">
        <x:f>IF(초입!H89&lt;&gt;"","O","")</x:f>
        <x:v>O</x:v>
      </x:c>
      <x:c r="D89" s="3" t="str">
        <x:f>IF(초입!I89&lt;&gt;"","O","")</x:f>
        <x:v/>
      </x:c>
      <x:c r="E89" s="3" t="str">
        <x:f>초입!B89</x:f>
        <x:v>화도은솔유치원</x:v>
      </x:c>
      <x:c r="F89" s="3" t="str">
        <x:f>IF(초입!C89="","",초입!C89)</x:f>
        <x:v>특수학급</x:v>
      </x:c>
      <x:c r="G89" s="3">
        <x:f>IF(초입!D89="","",초입!D89)</x:f>
        <x:v>3</x:v>
      </x:c>
      <x:c r="H89" s="3" t="str">
        <x:f>IF(초입!E89="","",초입!E89)</x:f>
        <x:v>최규현</x:v>
      </x:c>
      <x:c r="I89" s="3" t="str">
        <x:f>IF(초입!F89="","",초입!F89)</x:f>
        <x:v>남</x:v>
      </x:c>
      <x:c r="J89" s="3" t="str">
        <x:f>IF(초입!G89="","",초입!G89)</x:f>
        <x:v>2020.12.23.</x:v>
      </x:c>
      <x:c r="K89" s="3" t="str">
        <x:f>IF(초입!J89="","",초입!J89)</x:f>
        <x:v>지적장애
(현 발달지체)</x:v>
      </x:c>
      <x:c r="L89" s="3" t="str">
        <x:f>IF(초입!K89="","",초입!K89)</x:f>
        <x:v>지적장애 발급중</x:v>
      </x:c>
      <x:c r="M89" s="3" t="str">
        <x:f>IF(초입!L89="","",초입!L89)</x:f>
        <x:v/>
      </x:c>
      <x:c r="N89" s="3" t="str">
        <x:f>IF(초입!AG89="","","1. "&amp;초입!AG89&amp;IF(초입!AJ89&lt;&gt;"",CHAR(10)&amp;"2. "&amp;초입!AJ89,"")&amp;IF(초입!AM89&lt;&gt;"",CHAR(10)&amp;"3. "&amp;초입!AM89,""))</x:f>
        <x:v>1. 경은학교</x:v>
      </x:c>
      <x:c r="O89" s="3" t="str">
        <x:f>IF(초입!AF89="","",초입!AF89&amp;IF(초입!AI89&lt;&gt;"",CHAR(10)&amp;초입!AI89,"")&amp;IF(초입!AL89&lt;&gt;"",CHAR(10)&amp;초입!AL89,""))</x:f>
        <x:v>구리남양주</x:v>
      </x:c>
      <x:c r="P89" s="3" t="str">
        <x:f>IF(초입!AH89="","",초입!AH89&amp;IF(초입!AK89&lt;&gt;"",CHAR(10)&amp;초입!AK89,"")&amp;IF(초입!AN89&lt;&gt;"",CHAR(10)&amp;초입!AN89,""))</x:f>
        <x:v>특수학교</x:v>
      </x:c>
      <x:c r="Q89" s="3" t="str">
        <x:f>IF(초입!AO89="","",초입!AO89)</x:f>
        <x:v>지적장애 복지카드 발급 대기중</x:v>
      </x:c>
      <x:c r="R89" s="3" t="str">
        <x:f>IF(초입!AP89="","",초입!AP89)</x:f>
        <x:v>*복지카드 발급 후 추가 제출 안내
*경은 취소함 / 서류 수정제출 필요</x:v>
      </x:c>
      <x:c r="S89" s="3" t="str">
        <x:f>IF(초입!AD89="","",초입!AD89)</x:f>
        <x:v>010-5527-4969</x:v>
      </x:c>
      <x:c r="T89" s="3" t="str">
        <x:f>IF(초입!AE89="","",초입!AE89)</x:f>
        <x:v>류창준</x:v>
      </x:c>
      <x:c r="U89" s="3" t="str">
        <x:f>IF(초입!M89="","",초입!M89)</x:f>
        <x:v>경기도 남양주시 화도읍 경춘보학2길 29, 301동 301호 (라온프라이빗아파트)</x:v>
      </x:c>
      <x:c r="V89" s="7"/>
      <x:c r="W89" s="7"/>
      <x:c r="X89" s="7"/>
    </x:row>
    <x:row r="90" spans="1:24" customFormat="1" ht="26.35000000000000142109" hidden="1">
      <x:c r="A90" s="3"/>
      <x:c r="B90" s="3" t="s">
        <x:v>194</x:v>
      </x:c>
      <x:c r="C90" s="3" t="str">
        <x:f>IF(초입!H90&lt;&gt;"","O","")</x:f>
        <x:v>O</x:v>
      </x:c>
      <x:c r="D90" s="3" t="str">
        <x:f>IF(초입!I90&lt;&gt;"","O","")</x:f>
        <x:v/>
      </x:c>
      <x:c r="E90" s="3" t="str">
        <x:f>초입!B90</x:f>
        <x:v>화도은솔유치원</x:v>
      </x:c>
      <x:c r="F90" s="3" t="str">
        <x:f>IF(초입!C90="","",초입!C90)</x:f>
        <x:v>특수학급</x:v>
      </x:c>
      <x:c r="G90" s="3">
        <x:f>IF(초입!D90="","",초입!D90)</x:f>
        <x:v>3</x:v>
      </x:c>
      <x:c r="H90" s="3" t="str">
        <x:f>IF(초입!E90="","",초입!E90)</x:f>
        <x:v>함채이</x:v>
      </x:c>
      <x:c r="I90" s="3" t="str">
        <x:f>IF(초입!F90="","",초입!F90)</x:f>
        <x:v>여</x:v>
      </x:c>
      <x:c r="J90" s="3" t="str">
        <x:f>IF(초입!G90="","",초입!G90)</x:f>
        <x:v>2020.08.25.</x:v>
      </x:c>
      <x:c r="K90" s="3" t="str">
        <x:f>IF(초입!J90="","",초입!J90)</x:f>
        <x:v>자폐성장애</x:v>
      </x:c>
      <x:c r="L90" s="3" t="str">
        <x:f>IF(초입!K90="","",초입!K90)</x:f>
        <x:v/>
      </x:c>
      <x:c r="M90" s="3" t="str">
        <x:f>IF(초입!L90="","",초입!L90)</x:f>
        <x:v/>
      </x:c>
      <x:c r="N90" s="3" t="str">
        <x:f>IF(초입!AF90="","","1. "&amp;초입!AF90&amp;IF(초입!AI90&lt;&gt;"",CHAR(10)&amp;"2. "&amp;초입!AI90,"")&amp;IF(초입!AL90&lt;&gt;"",CHAR(10)&amp;"3. "&amp;초입!AL90,""))</x:f>
        <x:v/>
      </x:c>
      <x:c r="O90" s="3" t="str">
        <x:f>IF(초입!AG90="","",초입!AG90&amp;IF(초입!AJ90&lt;&gt;"",CHAR(10)&amp;초입!AJ90,"")&amp;IF(초입!AM90&lt;&gt;"",CHAR(10)&amp;초입!AM90,""))</x:f>
        <x:v/>
      </x:c>
      <x:c r="P90" s="3" t="str">
        <x:f>IF(초입!AH90="","",초입!AH90&amp;IF(초입!AK90&lt;&gt;"",CHAR(10)&amp;초입!AK90,"")&amp;IF(초입!AN90&lt;&gt;"",CHAR(10)&amp;초입!AN90,""))</x:f>
        <x:v/>
      </x:c>
      <x:c r="Q90" s="3" t="str">
        <x:f>IF(초입!AO90="","",초입!AO90)</x:f>
        <x:v/>
      </x:c>
      <x:c r="R90" s="3" t="str">
        <x:f>IF(초입!AP90="","",초입!AP90)</x:f>
        <x:v/>
      </x:c>
      <x:c r="S90" s="3" t="str">
        <x:f>IF(초입!AD90="","",초입!AD90)</x:f>
        <x:v>010-3906-3963</x:v>
      </x:c>
      <x:c r="T90" s="3" t="str">
        <x:f>IF(초입!AE90="","",초입!AE90)</x:f>
        <x:v>류창준</x:v>
      </x:c>
      <x:c r="U90" s="3" t="str">
        <x:f>IF(초입!M90="","",초입!M90)</x:f>
        <x:v>경기도 남양주시 화도읍 경춘보학2길 29, 302동 9층 901호 (라온프라이빗아파트)</x:v>
      </x:c>
      <x:c r="V90" s="7"/>
      <x:c r="W90" s="7"/>
      <x:c r="X90" s="7"/>
    </x:row>
    <x:row r="91" spans="1:24" customFormat="1" ht="39.54999999999999715783" hidden="1">
      <x:c r="A91" s="3"/>
      <x:c r="B91" s="3" t="s">
        <x:v>194</x:v>
      </x:c>
      <x:c r="C91" s="3" t="str">
        <x:f>IF(초입!H91&lt;&gt;"","O","")</x:f>
        <x:v>O</x:v>
      </x:c>
      <x:c r="D91" s="3" t="str">
        <x:f>IF(초입!I91&lt;&gt;"","O","")</x:f>
        <x:v/>
      </x:c>
      <x:c r="E91" s="3" t="str">
        <x:f>초입!B91</x:f>
        <x:v>다산꽃다비유치원</x:v>
      </x:c>
      <x:c r="F91" s="3" t="str">
        <x:f>IF(초입!C91="","",초입!C91)</x:f>
        <x:v>특수학급</x:v>
      </x:c>
      <x:c r="G91" s="3">
        <x:f>IF(초입!D91="","",초입!D91)</x:f>
        <x:v>3</x:v>
      </x:c>
      <x:c r="H91" s="3" t="str">
        <x:f>IF(초입!E91="","",초입!E91)</x:f>
        <x:v>최시환</x:v>
      </x:c>
      <x:c r="I91" s="3" t="str">
        <x:f>IF(초입!F91="","",초입!F91)</x:f>
        <x:v>남</x:v>
      </x:c>
      <x:c r="J91" s="3" t="str">
        <x:f>IF(초입!G91="","",초입!G91)</x:f>
        <x:v>2020.10.20.</x:v>
      </x:c>
      <x:c r="K91" s="3" t="str">
        <x:f>IF(초입!J91="","",초입!J91)</x:f>
        <x:v>발달지체</x:v>
      </x:c>
      <x:c r="L91" s="3" t="str">
        <x:f>IF(초입!K91="","",초입!K91)</x:f>
        <x:v/>
      </x:c>
      <x:c r="M91" s="3" t="str">
        <x:f>IF(초입!L91="","",초입!L91)</x:f>
        <x:v/>
      </x:c>
      <x:c r="N91" s="3" t="str">
        <x:f>IF(초입!AF91="","","1. "&amp;초입!AF91&amp;IF(초입!AI91&lt;&gt;"",CHAR(10)&amp;"2. "&amp;초입!AI91,"")&amp;IF(초입!AL91&lt;&gt;"",CHAR(10)&amp;"3. "&amp;초입!AL91,""))</x:f>
        <x:v/>
      </x:c>
      <x:c r="O91" s="3" t="str">
        <x:f>IF(초입!AG91="","",초입!AG91&amp;IF(초입!AJ91&lt;&gt;"",CHAR(10)&amp;초입!AJ91,"")&amp;IF(초입!AM91&lt;&gt;"",CHAR(10)&amp;초입!AM91,""))</x:f>
        <x:v/>
      </x:c>
      <x:c r="P91" s="3" t="str">
        <x:f>IF(초입!AH91="","",초입!AH91&amp;IF(초입!AK91&lt;&gt;"",CHAR(10)&amp;초입!AK91,"")&amp;IF(초입!AN91&lt;&gt;"",CHAR(10)&amp;초입!AN91,""))</x:f>
        <x:v/>
      </x:c>
      <x:c r="Q91" s="3" t="str">
        <x:f>IF(초입!AO91="","",초입!AO91)</x:f>
        <x:v/>
      </x:c>
      <x:c r="R91" s="3" t="str">
        <x:f>IF(초입!AP91="","",초입!AP91)</x:f>
        <x:v>*구룡초, 판곡초 공동학구이며,
*쌍둥이와 다른 학교 희망해 1희망 구룡 작성 / 우선 가족관계 추가제출 요청 / 공문으로 받음</x:v>
      </x:c>
      <x:c r="S91" s="3" t="str">
        <x:f>IF(초입!AD91="","",초입!AD91)</x:f>
        <x:v>010-2971-2727</x:v>
      </x:c>
      <x:c r="T91" s="3" t="str">
        <x:f>IF(초입!AE91="","",초입!AE91)</x:f>
        <x:v>정지혜</x:v>
      </x:c>
      <x:c r="U91" s="3" t="str">
        <x:f>IF(초입!M91="","",초입!M91)</x:f>
        <x:v>경기도 남양주시 늘을3로 65-26, 1318동 905호</x:v>
      </x:c>
      <x:c r="V91" s="7"/>
      <x:c r="W91" s="7"/>
      <x:c r="X91" s="7"/>
    </x:row>
    <x:row r="92" spans="1:24" customFormat="1" ht="26.35000000000000142109" hidden="1">
      <x:c r="A92" s="3"/>
      <x:c r="B92" s="3" t="s">
        <x:v>194</x:v>
      </x:c>
      <x:c r="C92" s="3" t="str">
        <x:f>IF(초입!H92&lt;&gt;"","O","")</x:f>
        <x:v>O</x:v>
      </x:c>
      <x:c r="D92" s="3" t="str">
        <x:f>IF(초입!I92&lt;&gt;"","O","")</x:f>
        <x:v/>
      </x:c>
      <x:c r="E92" s="3" t="str">
        <x:f>초입!B92</x:f>
        <x:v>다산꽃다비유치원</x:v>
      </x:c>
      <x:c r="F92" s="3" t="str">
        <x:f>IF(초입!C92="","",초입!C92)</x:f>
        <x:v>특수학급</x:v>
      </x:c>
      <x:c r="G92" s="3">
        <x:f>IF(초입!D92="","",초입!D92)</x:f>
        <x:v>3</x:v>
      </x:c>
      <x:c r="H92" s="3" t="str">
        <x:f>IF(초입!E92="","",초입!E92)</x:f>
        <x:v>이로하</x:v>
      </x:c>
      <x:c r="I92" s="3" t="str">
        <x:f>IF(초입!F92="","",초입!F92)</x:f>
        <x:v>남</x:v>
      </x:c>
      <x:c r="J92" s="3" t="str">
        <x:f>IF(초입!G92="","",초입!G92)</x:f>
        <x:v>2020.05.04.</x:v>
      </x:c>
      <x:c r="K92" s="3" t="str">
        <x:f>IF(초입!J92="","",초입!J92)</x:f>
        <x:v>발달지체</x:v>
      </x:c>
      <x:c r="L92" s="3" t="str">
        <x:f>IF(초입!K92="","",초입!K92)</x:f>
        <x:v/>
      </x:c>
      <x:c r="M92" s="3" t="str">
        <x:f>IF(초입!L92="","",초입!L92)</x:f>
        <x:v/>
      </x:c>
      <x:c r="N92" s="3" t="str">
        <x:f>IF(초입!AF92="","","1. "&amp;초입!AF92&amp;IF(초입!AI92&lt;&gt;"",CHAR(10)&amp;"2. "&amp;초입!AI92,"")&amp;IF(초입!AL92&lt;&gt;"",CHAR(10)&amp;"3. "&amp;초입!AL92,""))</x:f>
        <x:v/>
      </x:c>
      <x:c r="O92" s="3" t="str">
        <x:f>IF(초입!AG92="","",초입!AG92&amp;IF(초입!AJ92&lt;&gt;"",CHAR(10)&amp;초입!AJ92,"")&amp;IF(초입!AM92&lt;&gt;"",CHAR(10)&amp;초입!AM92,""))</x:f>
        <x:v/>
      </x:c>
      <x:c r="P92" s="3" t="str">
        <x:f>IF(초입!AH92="","",초입!AH92&amp;IF(초입!AK92&lt;&gt;"",CHAR(10)&amp;초입!AK92,"")&amp;IF(초입!AN92&lt;&gt;"",CHAR(10)&amp;초입!AN92,""))</x:f>
        <x:v/>
      </x:c>
      <x:c r="Q92" s="3" t="str">
        <x:f>IF(초입!AO92="","",초입!AO92)</x:f>
        <x:v/>
      </x:c>
      <x:c r="R92" s="3" t="str">
        <x:f>IF(초입!AP92="","",초입!AP92)</x:f>
        <x:v/>
      </x:c>
      <x:c r="S92" s="3" t="str">
        <x:f>IF(초입!AD92="","",초입!AD92)</x:f>
        <x:v>010-2744-5265</x:v>
      </x:c>
      <x:c r="T92" s="3" t="str">
        <x:f>IF(초입!AE92="","",초입!AE92)</x:f>
        <x:v>정지혜</x:v>
      </x:c>
      <x:c r="U92" s="3" t="str">
        <x:f>IF(초입!M92="","",초입!M92)</x:f>
        <x:v>경기도 남양주시 다산중앙로 82번길 72-43, 301호</x:v>
      </x:c>
      <x:c r="V92" s="7"/>
      <x:c r="W92" s="7"/>
      <x:c r="X92" s="7"/>
    </x:row>
    <x:row r="93" spans="1:24" customFormat="1" ht="39.54999999999999715783" hidden="1">
      <x:c r="A93" s="3"/>
      <x:c r="B93" s="3" t="s">
        <x:v>194</x:v>
      </x:c>
      <x:c r="C93" s="3" t="str">
        <x:f>IF(초입!H93&lt;&gt;"","O","")</x:f>
        <x:v>O</x:v>
      </x:c>
      <x:c r="D93" s="3" t="str">
        <x:f>IF(초입!I93&lt;&gt;"","O","")</x:f>
        <x:v/>
      </x:c>
      <x:c r="E93" s="3" t="str">
        <x:f>초입!B93</x:f>
        <x:v>미사랑유치원(광주하남)</x:v>
      </x:c>
      <x:c r="F93" s="3" t="str">
        <x:f>IF(초입!C93="","",초입!C93)</x:f>
        <x:v>특수학급</x:v>
      </x:c>
      <x:c r="G93" s="3">
        <x:f>IF(초입!D93="","",초입!D93)</x:f>
        <x:v>3</x:v>
      </x:c>
      <x:c r="H93" s="3" t="str">
        <x:f>IF(초입!E93="","",초입!E93)</x:f>
        <x:v>정시우</x:v>
      </x:c>
      <x:c r="I93" s="3" t="str">
        <x:f>IF(초입!F93="","",초입!F93)</x:f>
        <x:v>남</x:v>
      </x:c>
      <x:c r="J93" s="3" t="str">
        <x:f>IF(초입!G93="","",초입!G93)</x:f>
        <x:v>2020.07.30.</x:v>
      </x:c>
      <x:c r="K93" s="3" t="str">
        <x:f>IF(초입!J93="","",초입!J93)</x:f>
        <x:v>자폐성장애</x:v>
      </x:c>
      <x:c r="L93" s="3" t="str">
        <x:f>IF(초입!K93="","",초입!K93)</x:f>
        <x:v>자폐성장애</x:v>
      </x:c>
      <x:c r="M93" s="3" t="str">
        <x:f>IF(초입!L93="","",초입!L93)</x:f>
        <x:v>중증</x:v>
      </x:c>
      <x:c r="N93" s="3" t="str">
        <x:f>IF(초입!AF93="","","1. "&amp;초입!AF93&amp;IF(초입!AI93&lt;&gt;"",CHAR(10)&amp;"2. "&amp;초입!AI93,"")&amp;IF(초입!AL93&lt;&gt;"",CHAR(10)&amp;"3. "&amp;초입!AL93,""))</x:f>
        <x:v/>
      </x:c>
      <x:c r="O93" s="3" t="str">
        <x:f>IF(초입!AG93="","",초입!AG93&amp;IF(초입!AJ93&lt;&gt;"",CHAR(10)&amp;초입!AJ93,"")&amp;IF(초입!AM93&lt;&gt;"",CHAR(10)&amp;초입!AM93,""))</x:f>
        <x:v/>
      </x:c>
      <x:c r="P93" s="3" t="str">
        <x:f>IF(초입!AH93="","",초입!AH93&amp;IF(초입!AK93&lt;&gt;"",CHAR(10)&amp;초입!AK93,"")&amp;IF(초입!AN93&lt;&gt;"",CHAR(10)&amp;초입!AN93,""))</x:f>
        <x:v/>
      </x:c>
      <x:c r="Q93" s="3" t="str">
        <x:f>IF(초입!AO93="","",초입!AO93)</x:f>
        <x:v>□ 복지카드: 자폐성장애 중증(~2031.12.26.)</x:v>
      </x:c>
      <x:c r="R93" s="3" t="str">
        <x:f>IF(초입!AP93="","",초입!AP93)</x:f>
        <x:v>*(관외_광주하남) 진단평가결과X / 추후 수령 예정
*와부초 거리 근거 3희망으로 임의변경함.</x:v>
      </x:c>
      <x:c r="S93" s="3" t="str">
        <x:f>IF(초입!AD93="","",초입!AD93)</x:f>
        <x:v>010-8547-9168</x:v>
      </x:c>
      <x:c r="T93" s="3" t="str">
        <x:f>IF(초입!AE93="","",초입!AE93)</x:f>
        <x:v>채승현</x:v>
      </x:c>
      <x:c r="U93" s="3" t="str">
        <x:f>IF(초입!M93="","",초입!M93)</x:f>
        <x:v>경기도 남양주시 와부읍 덕소로116번길 12, 603동 504호 (덕소강변신일해피트리아파트)</x:v>
      </x:c>
      <x:c r="V93" s="22"/>
      <x:c r="W93" s="22"/>
      <x:c r="X93" s="22"/>
    </x:row>
    <x:row r="94" spans="1:24" customFormat="1" ht="52.70000000000000284217" hidden="1">
      <x:c r="A94" s="3"/>
      <x:c r="B94" s="3" t="s">
        <x:v>194</x:v>
      </x:c>
      <x:c r="C94" s="3" t="str">
        <x:f>IF(초입!H94&lt;&gt;"","O","")</x:f>
        <x:v>O</x:v>
      </x:c>
      <x:c r="D94" s="3" t="str">
        <x:f>IF(초입!I94&lt;&gt;"","O","")</x:f>
        <x:v/>
      </x:c>
      <x:c r="E94" s="3" t="str">
        <x:f>초입!B94</x:f>
        <x:v>예봉초등학교병설유치원</x:v>
      </x:c>
      <x:c r="F94" s="3" t="str">
        <x:f>IF(초입!C94="","",초입!C94)</x:f>
        <x:v>특수학급</x:v>
      </x:c>
      <x:c r="G94" s="3">
        <x:f>IF(초입!D94="","",초입!D94)</x:f>
        <x:v>3</x:v>
      </x:c>
      <x:c r="H94" s="3" t="str">
        <x:f>IF(초입!E94="","",초입!E94)</x:f>
        <x:v>김성연</x:v>
      </x:c>
      <x:c r="I94" s="3" t="str">
        <x:f>IF(초입!F94="","",초입!F94)</x:f>
        <x:v>남</x:v>
      </x:c>
      <x:c r="J94" s="3" t="str">
        <x:f>IF(초입!G94="","",초입!G94)</x:f>
        <x:v>2020.09.14.</x:v>
      </x:c>
      <x:c r="K94" s="3" t="str">
        <x:f>IF(초입!J94="","",초입!J94)</x:f>
        <x:v>발달지체</x:v>
      </x:c>
      <x:c r="L94" s="3" t="str">
        <x:f>IF(초입!K94="","",초입!K94)</x:f>
        <x:v/>
      </x:c>
      <x:c r="M94" s="3" t="str">
        <x:f>IF(초입!L94="","",초입!L94)</x:f>
        <x:v/>
      </x:c>
      <x:c r="N94" s="3" t="str">
        <x:f>IF(초입!AF94="","","1. "&amp;초입!AF94&amp;IF(초입!AI94&lt;&gt;"",CHAR(10)&amp;"2. "&amp;초입!AI94,"")&amp;IF(초입!AL94&lt;&gt;"",CHAR(10)&amp;"3. "&amp;초입!AL94,""))</x:f>
        <x:v/>
      </x:c>
      <x:c r="O94" s="3" t="str">
        <x:f>IF(초입!AG94="","",초입!AG94&amp;IF(초입!AJ94&lt;&gt;"",CHAR(10)&amp;초입!AJ94,"")&amp;IF(초입!AM94&lt;&gt;"",CHAR(10)&amp;초입!AM94,""))</x:f>
        <x:v/>
      </x:c>
      <x:c r="P94" s="3" t="str">
        <x:f>IF(초입!AH94="","",초입!AH94&amp;IF(초입!AK94&lt;&gt;"",CHAR(10)&amp;초입!AK94,"")&amp;IF(초입!AN94&lt;&gt;"",CHAR(10)&amp;초입!AN94,""))</x:f>
        <x:v/>
      </x:c>
      <x:c r="Q94" s="3" t="str">
        <x:f>IF(초입!AO94="","",초입!AO94)</x:f>
        <x:v/>
      </x:c>
      <x:c r="R94" s="3" t="str">
        <x:f>IF(초입!AP94="","",초입!AP94)</x:f>
        <x:v>*2희망 월문초 일반학급 작성. 별도의 증빙서류 없기에 배치에 반영은 어려움 안내, 3근거리 도곡초 1.7
* 원본 수정파일 들어올 예정 / 들어옴</x:v>
      </x:c>
      <x:c r="S94" s="3" t="str">
        <x:f>IF(초입!AD94="","",초입!AD94)</x:f>
        <x:v>010-3686-1911</x:v>
      </x:c>
      <x:c r="T94" s="3" t="str">
        <x:f>IF(초입!AE94="","",초입!AE94)</x:f>
        <x:v>윤세련</x:v>
      </x:c>
      <x:c r="U94" s="3" t="str">
        <x:f>IF(초입!M94="","",초입!M94)</x:f>
        <x:v>경기도 남양주시 와부읍 덕소로 33, 301-1404</x:v>
      </x:c>
      <x:c r="V94" s="7"/>
      <x:c r="W94" s="7"/>
      <x:c r="X94" s="7"/>
    </x:row>
    <x:row r="95" spans="1:24" customFormat="1" ht="26.35000000000000142109" hidden="1">
      <x:c r="A95" s="3"/>
      <x:c r="B95" s="3" t="s">
        <x:v>194</x:v>
      </x:c>
      <x:c r="C95" s="3" t="str">
        <x:f>IF(초입!H95&lt;&gt;"","O","")</x:f>
        <x:v>O</x:v>
      </x:c>
      <x:c r="D95" s="3" t="str">
        <x:f>IF(초입!I95&lt;&gt;"","O","")</x:f>
        <x:v/>
      </x:c>
      <x:c r="E95" s="3" t="str">
        <x:f>초입!B95</x:f>
        <x:v>남양주다산초등학교병설유치원</x:v>
      </x:c>
      <x:c r="F95" s="3" t="str">
        <x:f>IF(초입!C95="","",초입!C95)</x:f>
        <x:v>특수학급</x:v>
      </x:c>
      <x:c r="G95" s="3">
        <x:f>IF(초입!D95="","",초입!D95)</x:f>
        <x:v>3</x:v>
      </x:c>
      <x:c r="H95" s="3" t="str">
        <x:f>IF(초입!E95="","",초입!E95)</x:f>
        <x:v>이지성</x:v>
      </x:c>
      <x:c r="I95" s="3" t="str">
        <x:f>IF(초입!F95="","",초입!F95)</x:f>
        <x:v>남</x:v>
      </x:c>
      <x:c r="J95" s="3" t="str">
        <x:f>IF(초입!G95="","",초입!G95)</x:f>
        <x:v>2020.04.08.</x:v>
      </x:c>
      <x:c r="K95" s="3" t="str">
        <x:f>IF(초입!J95="","",초입!J95)</x:f>
        <x:v>발달지체</x:v>
      </x:c>
      <x:c r="L95" s="3" t="str">
        <x:f>IF(초입!K95="","",초입!K95)</x:f>
        <x:v/>
      </x:c>
      <x:c r="M95" s="3" t="str">
        <x:f>IF(초입!L95="","",초입!L95)</x:f>
        <x:v/>
      </x:c>
      <x:c r="N95" s="3" t="str">
        <x:f>IF(초입!AF95="","","1. "&amp;초입!AF95&amp;IF(초입!AI95&lt;&gt;"",CHAR(10)&amp;"2. "&amp;초입!AI95,"")&amp;IF(초입!AL95&lt;&gt;"",CHAR(10)&amp;"3. "&amp;초입!AL95,""))</x:f>
        <x:v/>
      </x:c>
      <x:c r="O95" s="3" t="str">
        <x:f>IF(초입!AG95="","",초입!AG95&amp;IF(초입!AJ95&lt;&gt;"",CHAR(10)&amp;초입!AJ95,"")&amp;IF(초입!AM95&lt;&gt;"",CHAR(10)&amp;초입!AM95,""))</x:f>
        <x:v/>
      </x:c>
      <x:c r="P95" s="3" t="str">
        <x:f>IF(초입!AH95="","",초입!AH95&amp;IF(초입!AK95&lt;&gt;"",CHAR(10)&amp;초입!AK95,"")&amp;IF(초입!AN95&lt;&gt;"",CHAR(10)&amp;초입!AN95,""))</x:f>
        <x:v/>
      </x:c>
      <x:c r="Q95" s="3" t="str">
        <x:f>IF(초입!AO95="","",초입!AO95)</x:f>
        <x:v/>
      </x:c>
      <x:c r="R95" s="3" t="str">
        <x:f>IF(초입!AP95="","",초입!AP95)</x:f>
        <x:v/>
      </x:c>
      <x:c r="S95" s="3" t="str">
        <x:f>IF(초입!AD95="","",초입!AD95)</x:f>
        <x:v>010-8905-4635</x:v>
      </x:c>
      <x:c r="T95" s="3" t="str">
        <x:f>IF(초입!AE95="","",초입!AE95)</x:f>
        <x:v>이수빈</x:v>
      </x:c>
      <x:c r="U95" s="3" t="str">
        <x:f>IF(초입!M95="","",초입!M95)</x:f>
        <x:v>경기도 남양주시 다산중앙로 82번길15, 5106동 1201호(다산e편한세상)</x:v>
      </x:c>
      <x:c r="V95" s="7"/>
      <x:c r="W95" s="7"/>
      <x:c r="X95" s="7"/>
    </x:row>
    <x:row r="96" spans="1:24" customFormat="1" ht="26.35000000000000142109" hidden="1">
      <x:c r="A96" s="3"/>
      <x:c r="B96" s="3" t="s">
        <x:v>194</x:v>
      </x:c>
      <x:c r="C96" s="3" t="str">
        <x:f>IF(초입!H96&lt;&gt;"","O","")</x:f>
        <x:v>O</x:v>
      </x:c>
      <x:c r="D96" s="3" t="str">
        <x:f>IF(초입!I96&lt;&gt;"","O","")</x:f>
        <x:v/>
      </x:c>
      <x:c r="E96" s="3" t="str">
        <x:f>초입!B96</x:f>
        <x:v>해밀초등학교병설유치원</x:v>
      </x:c>
      <x:c r="F96" s="3" t="str">
        <x:f>IF(초입!C96="","",초입!C96)</x:f>
        <x:v>특수학급</x:v>
      </x:c>
      <x:c r="G96" s="3">
        <x:f>IF(초입!D96="","",초입!D96)</x:f>
        <x:v>3</x:v>
      </x:c>
      <x:c r="H96" s="3" t="str">
        <x:f>IF(초입!E96="","",초입!E96)</x:f>
        <x:v>김이현</x:v>
      </x:c>
      <x:c r="I96" s="3" t="str">
        <x:f>IF(초입!F96="","",초입!F96)</x:f>
        <x:v>남</x:v>
      </x:c>
      <x:c r="J96" s="3" t="str">
        <x:f>IF(초입!G96="","",초입!G96)</x:f>
        <x:v>2020.09.09.</x:v>
      </x:c>
      <x:c r="K96" s="3" t="str">
        <x:f>IF(초입!J96="","",초입!J96)</x:f>
        <x:v>발달지체</x:v>
      </x:c>
      <x:c r="L96" s="3" t="str">
        <x:f>IF(초입!K96="","",초입!K96)</x:f>
        <x:v/>
      </x:c>
      <x:c r="M96" s="3" t="str">
        <x:f>IF(초입!L96="","",초입!L96)</x:f>
        <x:v/>
      </x:c>
      <x:c r="N96" s="3" t="str">
        <x:f>IF(초입!AF96="","","1. "&amp;초입!AF96&amp;IF(초입!AI96&lt;&gt;"",CHAR(10)&amp;"2. "&amp;초입!AI96,"")&amp;IF(초입!AL96&lt;&gt;"",CHAR(10)&amp;"3. "&amp;초입!AL96,""))</x:f>
        <x:v/>
      </x:c>
      <x:c r="O96" s="3" t="str">
        <x:f>IF(초입!AG96="","",초입!AG96&amp;IF(초입!AJ96&lt;&gt;"",CHAR(10)&amp;초입!AJ96,"")&amp;IF(초입!AM96&lt;&gt;"",CHAR(10)&amp;초입!AM96,""))</x:f>
        <x:v/>
      </x:c>
      <x:c r="P96" s="3" t="str">
        <x:f>IF(초입!AH96="","",초입!AH96&amp;IF(초입!AK96&lt;&gt;"",CHAR(10)&amp;초입!AK96,"")&amp;IF(초입!AN96&lt;&gt;"",CHAR(10)&amp;초입!AN96,""))</x:f>
        <x:v/>
      </x:c>
      <x:c r="Q96" s="3" t="str">
        <x:f>IF(초입!AO96="","",초입!AO96)</x:f>
        <x:v/>
      </x:c>
      <x:c r="R96" s="3" t="str">
        <x:f>IF(초입!AP96="","",초입!AP96)</x:f>
        <x:v/>
      </x:c>
      <x:c r="S96" s="3" t="str">
        <x:f>IF(초입!AD96="","",초입!AD96)</x:f>
        <x:v>010-6638-5906</x:v>
      </x:c>
      <x:c r="T96" s="3" t="str">
        <x:f>IF(초입!AE96="","",초입!AE96)</x:f>
        <x:v>장하영</x:v>
      </x:c>
      <x:c r="U96" s="3" t="str">
        <x:f>IF(초입!M96="","",초입!M96)</x:f>
        <x:v>경기도 남양주시 진접읍 해밀예당3로68, 1907동 101호(금강펜테리움)</x:v>
      </x:c>
      <x:c r="V96" s="7"/>
      <x:c r="W96" s="7"/>
      <x:c r="X96" s="7"/>
    </x:row>
    <x:row r="97" spans="1:24" customFormat="1" ht="39.54999999999999715783" hidden="1">
      <x:c r="A97" s="3"/>
      <x:c r="B97" s="3" t="s">
        <x:v>194</x:v>
      </x:c>
      <x:c r="C97" s="3" t="str">
        <x:f>IF(초입!H97&lt;&gt;"","O","")</x:f>
        <x:v>O</x:v>
      </x:c>
      <x:c r="D97" s="3" t="str">
        <x:f>IF(초입!I97&lt;&gt;"","O","")</x:f>
        <x:v/>
      </x:c>
      <x:c r="E97" s="3" t="str">
        <x:f>초입!B97</x:f>
        <x:v>해밀초등학교병설유치원</x:v>
      </x:c>
      <x:c r="F97" s="3" t="str">
        <x:f>IF(초입!C97="","",초입!C97)</x:f>
        <x:v>특수학급</x:v>
      </x:c>
      <x:c r="G97" s="3">
        <x:f>IF(초입!D97="","",초입!D97)</x:f>
        <x:v>3</x:v>
      </x:c>
      <x:c r="H97" s="3" t="str">
        <x:f>IF(초입!E97="","",초입!E97)</x:f>
        <x:v>장루하</x:v>
      </x:c>
      <x:c r="I97" s="3" t="str">
        <x:f>IF(초입!F97="","",초입!F97)</x:f>
        <x:v>남</x:v>
      </x:c>
      <x:c r="J97" s="3" t="str">
        <x:f>IF(초입!G97="","",초입!G97)</x:f>
        <x:v>2020.03.08.</x:v>
      </x:c>
      <x:c r="K97" s="3" t="str">
        <x:f>IF(초입!J97="","",초입!J97)</x:f>
        <x:v>지적장애
(현 발달지체)</x:v>
      </x:c>
      <x:c r="L97" s="3" t="str">
        <x:f>IF(초입!K97="","",초입!K97)</x:f>
        <x:v>지적장애</x:v>
      </x:c>
      <x:c r="M97" s="3" t="str">
        <x:f>IF(초입!L97="","",초입!L97)</x:f>
        <x:v>심한</x:v>
      </x:c>
      <x:c r="N97" s="3" t="str">
        <x:f>IF(초입!AF97="","","1. "&amp;초입!AF97&amp;IF(초입!AI97&lt;&gt;"",CHAR(10)&amp;"2. "&amp;초입!AI97,"")&amp;IF(초입!AL97&lt;&gt;"",CHAR(10)&amp;"3. "&amp;초입!AL97,""))</x:f>
        <x:v/>
      </x:c>
      <x:c r="O97" s="3" t="str">
        <x:f>IF(초입!AG97="","",초입!AG97&amp;IF(초입!AJ97&lt;&gt;"",CHAR(10)&amp;초입!AJ97,"")&amp;IF(초입!AM97&lt;&gt;"",CHAR(10)&amp;초입!AM97,""))</x:f>
        <x:v/>
      </x:c>
      <x:c r="P97" s="3" t="str">
        <x:f>IF(초입!AH97="","",초입!AH97&amp;IF(초입!AK97&lt;&gt;"",CHAR(10)&amp;초입!AK97,"")&amp;IF(초입!AN97&lt;&gt;"",CHAR(10)&amp;초입!AN97,""))</x:f>
        <x:v/>
      </x:c>
      <x:c r="Q97" s="3" t="str">
        <x:f>IF(초입!AO97="","",초입!AO97)</x:f>
        <x:v>□ 복지카드: 지적장애 중증(~2031.11.27.)</x:v>
      </x:c>
      <x:c r="R97" s="3" t="str">
        <x:f>IF(초입!AP97="","",초입!AP97)</x:f>
        <x:v>*장애유형변경(발달&gt;지적)</x:v>
      </x:c>
      <x:c r="S97" s="3" t="str">
        <x:f>IF(초입!AD97="","",초입!AD97)</x:f>
        <x:v>010-8473-8584</x:v>
      </x:c>
      <x:c r="T97" s="3" t="str">
        <x:f>IF(초입!AE97="","",초입!AE97)</x:f>
        <x:v>장하영</x:v>
      </x:c>
      <x:c r="U97" s="3" t="str">
        <x:f>IF(초입!M97="","",초입!M97)</x:f>
        <x:v>경기도 남양주시 진접읍 해밀예당1로 51, 1303동 1403호 (자연&amp;어울림아파트)</x:v>
      </x:c>
      <x:c r="V97" s="7"/>
      <x:c r="W97" s="7"/>
      <x:c r="X97" s="7"/>
    </x:row>
    <x:row r="98" spans="1:24" customFormat="1" ht="26.35000000000000142109" hidden="1">
      <x:c r="A98" s="3"/>
      <x:c r="B98" s="3" t="s">
        <x:v>194</x:v>
      </x:c>
      <x:c r="C98" s="3" t="str">
        <x:f>IF(초입!H98&lt;&gt;"","O","")</x:f>
        <x:v/>
      </x:c>
      <x:c r="D98" s="3" t="str">
        <x:f>IF(초입!I98&lt;&gt;"","O","")</x:f>
        <x:v>O</x:v>
      </x:c>
      <x:c r="E98" s="3" t="str">
        <x:f>초입!B98</x:f>
        <x:v>다산별빛초등학교병설유치원</x:v>
      </x:c>
      <x:c r="F98" s="3" t="str">
        <x:f>IF(초입!C98="","",초입!C98)</x:f>
        <x:v/>
      </x:c>
      <x:c r="G98" s="3">
        <x:f>IF(초입!D98="","",초입!D98)</x:f>
        <x:v>3</x:v>
      </x:c>
      <x:c r="H98" s="3" t="str">
        <x:f>IF(초입!E98="","",초입!E98)</x:f>
        <x:v>정인아</x:v>
      </x:c>
      <x:c r="I98" s="3" t="str">
        <x:f>IF(초입!F98="","",초입!F98)</x:f>
        <x:v>여</x:v>
      </x:c>
      <x:c r="J98" s="3" t="str">
        <x:f>IF(초입!G98="","",초입!G98)</x:f>
        <x:v>2020.02.06.</x:v>
      </x:c>
      <x:c r="K98" s="3" t="str">
        <x:f>IF(초입!J98="","",초입!J98)</x:f>
        <x:v>청각장애</x:v>
      </x:c>
      <x:c r="L98" s="3" t="str">
        <x:f>IF(초입!K98="","",초입!K98)</x:f>
        <x:v>청각장애</x:v>
      </x:c>
      <x:c r="M98" s="3" t="str">
        <x:f>IF(초입!L98="","",초입!L98)</x:f>
        <x:v>경증</x:v>
      </x:c>
      <x:c r="N98" s="3" t="str">
        <x:f>IF(초입!AF98="","","1. "&amp;초입!AF98&amp;IF(초입!AI98&lt;&gt;"",CHAR(10)&amp;"2. "&amp;초입!AI98,"")&amp;IF(초입!AL98&lt;&gt;"",CHAR(10)&amp;"3. "&amp;초입!AL98,""))</x:f>
        <x:v/>
      </x:c>
      <x:c r="O98" s="3" t="str">
        <x:f>IF(초입!AG98="","",초입!AG98&amp;IF(초입!AJ98&lt;&gt;"",CHAR(10)&amp;초입!AJ98,"")&amp;IF(초입!AM98&lt;&gt;"",CHAR(10)&amp;초입!AM98,""))</x:f>
        <x:v/>
      </x:c>
      <x:c r="P98" s="3" t="str">
        <x:f>IF(초입!AH98="","",초입!AH98&amp;IF(초입!AK98&lt;&gt;"",CHAR(10)&amp;초입!AK98,"")&amp;IF(초입!AN98&lt;&gt;"",CHAR(10)&amp;초입!AN98,""))</x:f>
        <x:v/>
      </x:c>
      <x:c r="Q98" s="3" t="str">
        <x:f>IF(초입!AO98="","",초입!AO98)</x:f>
        <x:v>장애인증명서: 청각장애 심하지않은장애(2026.03.25.등록)</x:v>
      </x:c>
      <x:c r="R98" s="3" t="str">
        <x:f>IF(초입!AP98="","",초입!AP98)</x:f>
        <x:v/>
      </x:c>
      <x:c r="S98" s="3" t="str">
        <x:f>IF(초입!AD98="","",초입!AD98)</x:f>
        <x:v/>
      </x:c>
      <x:c r="T98" s="3" t="str">
        <x:f>IF(초입!AE98="","",초입!AE98)</x:f>
        <x:v/>
      </x:c>
      <x:c r="U98" s="3" t="str">
        <x:f>IF(초입!M98="","",초입!M98)</x:f>
        <x:v>경기도 남양주시 다산중앙로82번안길 74, 6503동 2705호</x:v>
      </x:c>
      <x:c r="V98" s="7"/>
      <x:c r="W98" s="7"/>
      <x:c r="X98" s="7"/>
    </x:row>
    <x:row r="99" spans="1:24" customFormat="1" ht="39.54999999999999715783" hidden="1">
      <x:c r="A99" s="3"/>
      <x:c r="B99" s="3" t="s">
        <x:v>194</x:v>
      </x:c>
      <x:c r="C99" s="3" t="str">
        <x:f>IF(초입!H99&lt;&gt;"","O","")</x:f>
        <x:v>O</x:v>
      </x:c>
      <x:c r="D99" s="3" t="str">
        <x:f>IF(초입!I99&lt;&gt;"","O","")</x:f>
        <x:v/>
      </x:c>
      <x:c r="E99" s="3" t="str">
        <x:f>초입!B99</x:f>
        <x:v>호평유치원</x:v>
      </x:c>
      <x:c r="F99" s="3" t="str">
        <x:f>IF(초입!C99="","",초입!C99)</x:f>
        <x:v>특수학급</x:v>
      </x:c>
      <x:c r="G99" s="3">
        <x:f>IF(초입!D99="","",초입!D99)</x:f>
        <x:v>3</x:v>
      </x:c>
      <x:c r="H99" s="3" t="str">
        <x:f>IF(초입!E99="","",초입!E99)</x:f>
        <x:v>임유진</x:v>
      </x:c>
      <x:c r="I99" s="3" t="str">
        <x:f>IF(초입!F99="","",초입!F99)</x:f>
        <x:v>남</x:v>
      </x:c>
      <x:c r="J99" s="3" t="str">
        <x:f>IF(초입!G99="","",초입!G99)</x:f>
        <x:v>2020.04.06.</x:v>
      </x:c>
      <x:c r="K99" s="3" t="str">
        <x:f>IF(초입!J99="","",초입!J99)</x:f>
        <x:v>발달지체</x:v>
      </x:c>
      <x:c r="L99" s="3" t="str">
        <x:f>IF(초입!K99="","",초입!K99)</x:f>
        <x:v/>
      </x:c>
      <x:c r="M99" s="3" t="str">
        <x:f>IF(초입!L99="","",초입!L99)</x:f>
        <x:v/>
      </x:c>
      <x:c r="N99" s="3" t="str">
        <x:f>IF(초입!AF99="","","1. "&amp;초입!AF99&amp;IF(초입!AI99&lt;&gt;"",CHAR(10)&amp;"2. "&amp;초입!AI99,"")&amp;IF(초입!AL99&lt;&gt;"",CHAR(10)&amp;"3. "&amp;초입!AL99,""))</x:f>
        <x:v/>
      </x:c>
      <x:c r="O99" s="3" t="str">
        <x:f>IF(초입!AG99="","",초입!AG99&amp;IF(초입!AJ99&lt;&gt;"",CHAR(10)&amp;초입!AJ99,"")&amp;IF(초입!AM99&lt;&gt;"",CHAR(10)&amp;초입!AM99,""))</x:f>
        <x:v/>
      </x:c>
      <x:c r="P99" s="3" t="str">
        <x:f>IF(초입!AH99="","",초입!AH99&amp;IF(초입!AK99&lt;&gt;"",CHAR(10)&amp;초입!AK99,"")&amp;IF(초입!AN99&lt;&gt;"",CHAR(10)&amp;초입!AN99,""))</x:f>
        <x:v/>
      </x:c>
      <x:c r="Q99" s="3" t="str">
        <x:f>IF(초입!AO99="","",초입!AO99)</x:f>
        <x:v/>
      </x:c>
      <x:c r="R99" s="3" t="str">
        <x:f>IF(초입!AP99="","",초입!AP99)</x:f>
        <x:v>*서식1과 서식2 장애유형 달라. 발달지체/자폐성장애... 확인, 수정필
*구룡초, 판곡초 공동학구임</x:v>
      </x:c>
      <x:c r="S99" s="3" t="str">
        <x:f>IF(초입!AD99="","",초입!AD99)</x:f>
        <x:v>010-7282-6399</x:v>
      </x:c>
      <x:c r="T99" s="3" t="str">
        <x:f>IF(초입!AE99="","",초입!AE99)</x:f>
        <x:v>김슬아</x:v>
      </x:c>
      <x:c r="U99" s="3" t="str">
        <x:f>IF(초입!M99="","",초입!M99)</x:f>
        <x:v>경기도 남양주시 늘을3로 71, 1506동 404호</x:v>
      </x:c>
      <x:c r="V99" s="7"/>
      <x:c r="W99" s="7"/>
      <x:c r="X99" s="7"/>
    </x:row>
    <x:row r="100" spans="1:24" customFormat="1" ht="39.54999999999999715783">
      <x:c r="A100" s="3">
        <x:f>SUBTOTAL(103,$N$6:N100)</x:f>
        <x:v>28</x:v>
      </x:c>
      <x:c r="B100" s="3" t="s">
        <x:v>194</x:v>
      </x:c>
      <x:c r="C100" s="3" t="str">
        <x:f>IF(초입!H100&lt;&gt;"","O","")</x:f>
        <x:v>O</x:v>
      </x:c>
      <x:c r="D100" s="3" t="str">
        <x:f>IF(초입!I100&lt;&gt;"","O","")</x:f>
        <x:v/>
      </x:c>
      <x:c r="E100" s="3" t="str">
        <x:f>초입!B100</x:f>
        <x:v>부평초등학교병설유치원</x:v>
      </x:c>
      <x:c r="F100" s="3" t="str">
        <x:f>IF(초입!C100="","",초입!C100)</x:f>
        <x:v>특수학급</x:v>
      </x:c>
      <x:c r="G100" s="3">
        <x:f>IF(초입!D100="","",초입!D100)</x:f>
        <x:v>3</x:v>
      </x:c>
      <x:c r="H100" s="3" t="str">
        <x:f>IF(초입!E100="","",초입!E100)</x:f>
        <x:v>오세준</x:v>
      </x:c>
      <x:c r="I100" s="3" t="str">
        <x:f>IF(초입!F100="","",초입!F100)</x:f>
        <x:v>남</x:v>
      </x:c>
      <x:c r="J100" s="3" t="str">
        <x:f>IF(초입!G100="","",초입!G100)</x:f>
        <x:v>2020.02.10.</x:v>
      </x:c>
      <x:c r="K100" s="3" t="str">
        <x:f>IF(초입!J100="","",초입!J100)</x:f>
        <x:v>자폐성장애
(현 발달지체)</x:v>
      </x:c>
      <x:c r="L100" s="3" t="str">
        <x:f>IF(초입!K100="","",초입!K100)</x:f>
        <x:v>자폐성장애</x:v>
      </x:c>
      <x:c r="M100" s="3" t="str">
        <x:f>IF(초입!L100="","",초입!L100)</x:f>
        <x:v>중증</x:v>
      </x:c>
      <x:c r="N100" s="3" t="str">
        <x:f>IF(초입!AG100="","","1. "&amp;초입!AG100&amp;IF(초입!AJ100&lt;&gt;"",CHAR(10)&amp;"2. "&amp;초입!AJ100,"")&amp;IF(초입!AM100&lt;&gt;"",CHAR(10)&amp;"3. "&amp;초입!AM100,""))</x:f>
        <x:v>1. 경은학교
2. 복합특수학급신설</x:v>
      </x:c>
      <x:c r="O100" s="3" t="str">
        <x:f>IF(초입!AF100="","",초입!AF100&amp;IF(초입!AI100&lt;&gt;"",CHAR(10)&amp;초입!AI100,"")&amp;IF(초입!AL100&lt;&gt;"",CHAR(10)&amp;초입!AL100,""))</x:f>
        <x:v>구리남양주
구리남양주</x:v>
      </x:c>
      <x:c r="P100" s="3" t="str">
        <x:f>IF(초입!AH100="","",초입!AH100&amp;IF(초입!AK100&lt;&gt;"",CHAR(10)&amp;초입!AK100,"")&amp;IF(초입!AN100&lt;&gt;"",CHAR(10)&amp;초입!AN100,""))</x:f>
        <x:v>특수학교
특수학급</x:v>
      </x:c>
      <x:c r="Q100" s="3" t="str">
        <x:f>IF(초입!AO100="","",초입!AO100)</x:f>
        <x:v>□ 복지카드: 자폐성장애 중증(~2031.7.1.)</x:v>
      </x:c>
      <x:c r="R100" s="3" t="str">
        <x:f>IF(초입!AP100="","",초입!AP100)</x:f>
        <x:v>*2근거리 장승초, 3근거리 광릉초 안내</x:v>
      </x:c>
      <x:c r="S100" s="3" t="str">
        <x:f>IF(초입!AD100="","",초입!AD100)</x:f>
        <x:v>010-5481-4321</x:v>
      </x:c>
      <x:c r="T100" s="3" t="str">
        <x:f>IF(초입!AE100="","",초입!AE100)</x:f>
        <x:v>김영미</x:v>
      </x:c>
      <x:c r="U100" s="3" t="str">
        <x:f>IF(초입!M100="","",초입!M100)</x:f>
        <x:v>경기도 남양주시 진접읍 부평로 48번길 110, 104동1801호 (진접서희스타힐스)</x:v>
      </x:c>
      <x:c r="V100" s="7"/>
      <x:c r="W100" s="7"/>
      <x:c r="X100" s="7"/>
    </x:row>
    <x:row r="101" spans="1:24" ht="26.35000000000000142109" hidden="1">
      <x:c r="A101" s="3"/>
      <x:c r="B101" s="3" t="s">
        <x:v>194</x:v>
      </x:c>
      <x:c r="C101" s="3" t="str">
        <x:f>IF(초입!H101&lt;&gt;"","O","")</x:f>
        <x:v>O</x:v>
      </x:c>
      <x:c r="D101" s="3" t="str">
        <x:f>IF(초입!I101&lt;&gt;"","O","")</x:f>
        <x:v/>
      </x:c>
      <x:c r="E101" s="3" t="str">
        <x:f>초입!B101</x:f>
        <x:v>부평초등학교병설유치원</x:v>
      </x:c>
      <x:c r="F101" s="3" t="str">
        <x:f>IF(초입!C101="","",초입!C101)</x:f>
        <x:v>특수학급</x:v>
      </x:c>
      <x:c r="G101" s="3">
        <x:f>IF(초입!D101="","",초입!D101)</x:f>
        <x:v>3</x:v>
      </x:c>
      <x:c r="H101" s="3" t="str">
        <x:f>IF(초입!E101="","",초입!E101)</x:f>
        <x:v>오하린</x:v>
      </x:c>
      <x:c r="I101" s="3" t="str">
        <x:f>IF(초입!F101="","",초입!F101)</x:f>
        <x:v>여</x:v>
      </x:c>
      <x:c r="J101" s="3" t="str">
        <x:f>IF(초입!G101="","",초입!G101)</x:f>
        <x:v>2020.09.09.</x:v>
      </x:c>
      <x:c r="K101" s="3" t="str">
        <x:f>IF(초입!J101="","",초입!J101)</x:f>
        <x:v>발달지체</x:v>
      </x:c>
      <x:c r="L101" s="3" t="str">
        <x:f>IF(초입!K101="","",초입!K101)</x:f>
        <x:v/>
      </x:c>
      <x:c r="M101" s="3" t="str">
        <x:f>IF(초입!L101="","",초입!L101)</x:f>
        <x:v/>
      </x:c>
      <x:c r="N101" s="3" t="str">
        <x:f>IF(초입!AF101="","","1. "&amp;초입!AF101&amp;IF(초입!AI101&lt;&gt;"",CHAR(10)&amp;"2. "&amp;초입!AI101,"")&amp;IF(초입!AL101&lt;&gt;"",CHAR(10)&amp;"3. "&amp;초입!AL101,""))</x:f>
        <x:v/>
      </x:c>
      <x:c r="O101" s="3" t="str">
        <x:f>IF(초입!AG101="","",초입!AG101&amp;IF(초입!AJ101&lt;&gt;"",CHAR(10)&amp;초입!AJ101,"")&amp;IF(초입!AM101&lt;&gt;"",CHAR(10)&amp;초입!AM101,""))</x:f>
        <x:v/>
      </x:c>
      <x:c r="P101" s="3" t="str">
        <x:f>IF(초입!AH101="","",초입!AH101&amp;IF(초입!AK101&lt;&gt;"",CHAR(10)&amp;초입!AK101,"")&amp;IF(초입!AN101&lt;&gt;"",CHAR(10)&amp;초입!AN101,""))</x:f>
        <x:v/>
      </x:c>
      <x:c r="Q101" s="3" t="str">
        <x:f>IF(초입!AO101="","",초입!AO101)</x:f>
        <x:v/>
      </x:c>
      <x:c r="R101" s="3" t="str">
        <x:f>IF(초입!AP101="","",초입!AP101)</x:f>
        <x:v/>
      </x:c>
      <x:c r="S101" s="3" t="str">
        <x:f>IF(초입!AD101="","",초입!AD101)</x:f>
        <x:v>010-4787-9057</x:v>
      </x:c>
      <x:c r="T101" s="3" t="str">
        <x:f>IF(초입!AE101="","",초입!AE101)</x:f>
        <x:v>김영미</x:v>
      </x:c>
      <x:c r="U101" s="3" t="str">
        <x:f>IF(초입!M101="","",초입!M101)</x:f>
        <x:v>경기도 남양주시 진접읍 부평로48번길 140, 105동 1501호(더샵퍼스트시티)</x:v>
      </x:c>
      <x:c r="V101" s="5"/>
      <x:c r="W101" s="5"/>
      <x:c r="X101" s="5"/>
    </x:row>
    <x:row r="102" spans="1:24" ht="13.19999999999999928946" hidden="1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</x:row>
    <x:row r="103" spans="1:24" ht="13.19999999999999928946" hidden="1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</x:row>
    <x:row r="104" spans="1:24" ht="13.19999999999999928946" hidden="1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</x:row>
    <x:row r="105" spans="1:24" ht="13.19999999999999928946" hidden="1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</x:row>
    <x:row r="106" spans="1:24" ht="13.19999999999999928946" hidden="1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</x:row>
    <x:row r="107" spans="1:24" ht="13.19999999999999928946" hidden="1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</x:row>
    <x:row r="108" spans="1:24" ht="13.19999999999999928946" hidden="1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</x:row>
    <x:row r="109" spans="1:24" ht="13.19999999999999928946" hidden="1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</x:row>
    <x:row r="110" spans="1:24" ht="13.19999999999999928946" hidden="1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</x:row>
    <x:row r="111" spans="1:24" ht="13.19999999999999928946" hidden="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</x:row>
    <x:row r="112" spans="1:24" ht="13.19999999999999928946" hidden="1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</x:row>
    <x:row r="113" spans="1:24" ht="13.19999999999999928946" hidden="1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</x:row>
    <x:row r="114" spans="1:24" ht="13.19999999999999928946" hidden="1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</x:row>
    <x:row r="115" spans="1:24" ht="13.19999999999999928946" hidden="1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</x:row>
    <x:row r="116" spans="1:24" ht="13.19999999999999928946" hidden="1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</x:row>
    <x:row r="117" spans="1:24" ht="13.19999999999999928946" hidden="1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</x:row>
    <x:row r="118" spans="1:24" ht="13.19999999999999928946" hidden="1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</x:row>
    <x:row r="119" spans="1:24" ht="13.19999999999999928946" hidden="1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</x:row>
    <x:row r="120" spans="1:24" ht="13.19999999999999928946" hidden="1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</x:row>
    <x:row r="121" spans="1:24" ht="13.19999999999999928946" hidden="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</x:row>
    <x:row r="122" spans="1:24" ht="13.19999999999999928946" hidden="1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</x:row>
    <x:row r="123" spans="1:24" ht="13.19999999999999928946" hidden="1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</x:row>
    <x:row r="124" spans="1:24" ht="13.19999999999999928946" hidden="1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</x:row>
    <x:row r="125" spans="1:24" ht="13.19999999999999928946" hidden="1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</x:row>
    <x:row r="126" spans="1:24" ht="13.19999999999999928946" hidden="1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</x:row>
    <x:row r="127" spans="1:24" ht="13.19999999999999928946" hidden="1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</x:row>
    <x:row r="128" spans="1:24" ht="13.19999999999999928946" hidden="1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</x:row>
    <x:row r="129" spans="1:24" ht="13.19999999999999928946" hidden="1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</x:row>
    <x:row r="130" spans="1:24" ht="13.19999999999999928946" hidden="1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</x:row>
    <x:row r="131" spans="1:24" ht="13.19999999999999928946" hidden="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</x:row>
    <x:row r="132" spans="1:24" ht="13.19999999999999928946" hidden="1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</x:row>
    <x:row r="133" spans="1:24" ht="13.19999999999999928946" hidden="1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</x:row>
    <x:row r="134" spans="1:24" ht="13.19999999999999928946" hidden="1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</x:row>
    <x:row r="135" spans="1:24" ht="13.19999999999999928946" hidden="1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</x:row>
    <x:row r="136" spans="1:24" ht="13.19999999999999928946" hidden="1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</x:row>
    <x:row r="137" spans="1:24" ht="13.19999999999999928946" hidden="1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</x:row>
    <x:row r="138" spans="1:24" ht="13.19999999999999928946" hidden="1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</x:row>
    <x:row r="139" spans="1:24" ht="13.19999999999999928946" hidden="1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</x:row>
    <x:row r="140" spans="1:24" ht="13.19999999999999928946" hidden="1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</x:row>
    <x:row r="141" spans="1:24" ht="13.19999999999999928946" hidden="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</x:row>
    <x:row r="142" spans="1:24" ht="13.19999999999999928946" hidden="1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</x:row>
    <x:row r="143" spans="1:24" ht="13.19999999999999928946" hidden="1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</x:row>
    <x:row r="144" spans="1:24" ht="13.19999999999999928946" hidden="1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</x:row>
    <x:row r="145" spans="1:24" ht="13.19999999999999928946" hidden="1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</x:row>
    <x:row r="146" spans="1:24" ht="13.19999999999999928946" hidden="1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</x:row>
    <x:row r="147" spans="1:24" ht="13.19999999999999928946" hidden="1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</x:row>
    <x:row r="148" spans="1:24" ht="13.19999999999999928946" hidden="1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</x:row>
    <x:row r="149" spans="1:24" ht="13.19999999999999928946" hidden="1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</x:row>
    <x:row r="150" spans="1:24" ht="13.19999999999999928946" hidden="1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</x:row>
    <x:row r="151" spans="1:24" ht="13.19999999999999928946" hidden="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</x:row>
    <x:row r="152" spans="1:24" ht="13.19999999999999928946" hidden="1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</x:row>
    <x:row r="153" spans="1:24" ht="13.19999999999999928946" hidden="1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</x:row>
    <x:row r="154" spans="1:24" ht="13.19999999999999928946" hidden="1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</x:row>
    <x:row r="155" spans="1:24" ht="13.19999999999999928946" hidden="1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</x:row>
    <x:row r="156" spans="1:24" ht="13.19999999999999928946" hidden="1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</x:row>
    <x:row r="157" spans="1:24" ht="13.19999999999999928946" hidden="1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</x:row>
    <x:row r="158" spans="1:24" ht="13.19999999999999928946" hidden="1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</x:row>
    <x:row r="159" spans="1:24" ht="13.19999999999999928946" hidden="1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</x:row>
    <x:row r="160" spans="1:24" ht="13.19999999999999928946" hidden="1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</x:row>
    <x:row r="161" spans="1:24" ht="13.19999999999999928946" hidden="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</x:row>
    <x:row r="162" spans="1:24" ht="13.19999999999999928946" hidden="1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</x:row>
    <x:row r="163" spans="1:24" ht="13.19999999999999928946" hidden="1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</x:row>
    <x:row r="164" spans="1:24" ht="13.19999999999999928946" hidden="1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</x:row>
    <x:row r="165" spans="1:24" ht="13.19999999999999928946" hidden="1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</x:row>
    <x:row r="166" spans="1:24" ht="13.19999999999999928946" hidden="1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</x:row>
    <x:row r="167" spans="1:24" ht="13.19999999999999928946" hidden="1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</x:row>
    <x:row r="168" spans="1:24" ht="13.19999999999999928946" hidden="1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</x:row>
    <x:row r="169" spans="1:24" ht="13.19999999999999928946" hidden="1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</x:row>
    <x:row r="170" spans="1:24" ht="13.19999999999999928946" hidden="1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</x:row>
    <x:row r="171" spans="1:24" ht="13.19999999999999928946" hidden="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</x:row>
    <x:row r="172" spans="17:18" ht="13.19999999999999928946" hidden="1">
      <x:c r="Q172" s="49"/>
      <x:c r="R172" s="50"/>
    </x:row>
    <x:row r="173" spans="17:18" ht="13.19999999999999928946" hidden="1">
      <x:c r="Q173" s="49"/>
      <x:c r="R173" s="50"/>
    </x:row>
    <x:row r="174" spans="17:18" ht="13.19999999999999928946" hidden="1">
      <x:c r="Q174" s="49"/>
      <x:c r="R174" s="50"/>
    </x:row>
    <x:row r="175" spans="17:18" ht="13.19999999999999928946" hidden="1">
      <x:c r="Q175" s="49"/>
      <x:c r="R175" s="50"/>
    </x:row>
    <x:row r="176" spans="17:18" ht="13.19999999999999928946" hidden="1">
      <x:c r="Q176" s="49"/>
      <x:c r="R176" s="50"/>
    </x:row>
    <x:row r="177" spans="17:18" ht="13.19999999999999928946" hidden="1">
      <x:c r="Q177" s="49"/>
      <x:c r="R177" s="50"/>
    </x:row>
    <x:row r="178" spans="17:18" ht="13.19999999999999928946" hidden="1">
      <x:c r="Q178" s="49"/>
      <x:c r="R178" s="50"/>
    </x:row>
    <x:row r="179" spans="17:18" ht="13.19999999999999928946" hidden="1">
      <x:c r="Q179" s="49"/>
      <x:c r="R179" s="50"/>
    </x:row>
    <x:row r="180" spans="17:18" ht="13.19999999999999928946" hidden="1">
      <x:c r="Q180" s="49"/>
      <x:c r="R180" s="50"/>
    </x:row>
    <x:row r="181" spans="17:18" ht="13.19999999999999928946" hidden="1">
      <x:c r="Q181" s="49"/>
      <x:c r="R181" s="50"/>
    </x:row>
    <x:row r="182" spans="17:18" ht="13.19999999999999928946" hidden="1">
      <x:c r="Q182" s="49"/>
      <x:c r="R182" s="50"/>
    </x:row>
    <x:row r="183" spans="17:18" ht="13.19999999999999928946" hidden="1">
      <x:c r="Q183" s="49"/>
      <x:c r="R183" s="50"/>
    </x:row>
    <x:row r="184" spans="17:18" ht="13.19999999999999928946" hidden="1">
      <x:c r="Q184" s="49"/>
      <x:c r="R184" s="50"/>
    </x:row>
    <x:row r="185" spans="17:18" ht="13.19999999999999928946" hidden="1">
      <x:c r="Q185" s="49"/>
      <x:c r="R185" s="50"/>
    </x:row>
    <x:row r="186" spans="17:18" ht="13.19999999999999928946" hidden="1">
      <x:c r="Q186" s="49"/>
      <x:c r="R186" s="50"/>
    </x:row>
    <x:row r="187" spans="17:18" ht="13.19999999999999928946" hidden="1">
      <x:c r="Q187" s="49"/>
      <x:c r="R187" s="50"/>
    </x:row>
    <x:row r="188" spans="17:18" ht="13.19999999999999928946" hidden="1">
      <x:c r="Q188" s="49"/>
      <x:c r="R188" s="50"/>
    </x:row>
    <x:row r="189" spans="17:18" ht="13.19999999999999928946" hidden="1">
      <x:c r="Q189" s="49"/>
      <x:c r="R189" s="50"/>
    </x:row>
    <x:row r="190" spans="17:18" ht="13.19999999999999928946" hidden="1">
      <x:c r="Q190" s="49"/>
      <x:c r="R190" s="50"/>
    </x:row>
    <x:row r="191" spans="17:18" ht="13.19999999999999928946" hidden="1">
      <x:c r="Q191" s="49"/>
      <x:c r="R191" s="50"/>
    </x:row>
    <x:row r="192" spans="17:18" ht="13.19999999999999928946" hidden="1">
      <x:c r="Q192" s="49"/>
      <x:c r="R192" s="50"/>
    </x:row>
    <x:row r="193" spans="17:18" ht="13.19999999999999928946" hidden="1">
      <x:c r="Q193" s="49"/>
      <x:c r="R193" s="50"/>
    </x:row>
    <x:row r="194" spans="17:18" ht="13.19999999999999928946" hidden="1">
      <x:c r="Q194" s="49"/>
      <x:c r="R194" s="50"/>
    </x:row>
    <x:row r="195" spans="17:18" ht="13.19999999999999928946" hidden="1">
      <x:c r="Q195" s="49"/>
      <x:c r="R195" s="50"/>
    </x:row>
    <x:row r="196" spans="17:18" ht="13.19999999999999928946" hidden="1">
      <x:c r="Q196" s="49"/>
      <x:c r="R196" s="50"/>
    </x:row>
    <x:row r="197" spans="17:18" ht="13.19999999999999928946" hidden="1">
      <x:c r="Q197" s="49"/>
      <x:c r="R197" s="50"/>
    </x:row>
    <x:row r="198" spans="17:18" ht="13.19999999999999928946" hidden="1">
      <x:c r="Q198" s="49"/>
      <x:c r="R198" s="50"/>
    </x:row>
    <x:row r="199" spans="17:18" ht="13.19999999999999928946" hidden="1">
      <x:c r="Q199" s="49"/>
      <x:c r="R199" s="50"/>
    </x:row>
    <x:row r="200" spans="17:18" ht="13.19999999999999928946" hidden="1">
      <x:c r="Q200" s="49"/>
      <x:c r="R200" s="50"/>
    </x:row>
    <x:row r="201" spans="17:18" ht="13.19999999999999928946" hidden="1">
      <x:c r="Q201" s="49"/>
      <x:c r="R201" s="50"/>
    </x:row>
    <x:row r="202" spans="17:18" ht="13.19999999999999928946" hidden="1">
      <x:c r="Q202" s="49"/>
      <x:c r="R202" s="50"/>
    </x:row>
    <x:row r="203" spans="17:18" ht="13.19999999999999928946" hidden="1">
      <x:c r="Q203" s="49"/>
      <x:c r="R203" s="50"/>
    </x:row>
    <x:row r="204" spans="17:18" ht="13.19999999999999928946" hidden="1">
      <x:c r="Q204" s="49"/>
      <x:c r="R204" s="50"/>
    </x:row>
    <x:row r="205" spans="17:18" ht="13.19999999999999928946" hidden="1">
      <x:c r="Q205" s="49"/>
      <x:c r="R205" s="50"/>
    </x:row>
    <x:row r="206" spans="17:18" ht="13.19999999999999928946" hidden="1">
      <x:c r="Q206" s="49"/>
      <x:c r="R206" s="50"/>
    </x:row>
    <x:row r="207" spans="17:18" ht="13.19999999999999928946" hidden="1">
      <x:c r="Q207" s="49"/>
      <x:c r="R207" s="50"/>
    </x:row>
    <x:row r="208" spans="17:18" ht="13.19999999999999928946" hidden="1">
      <x:c r="Q208" s="49"/>
      <x:c r="R208" s="50"/>
    </x:row>
    <x:row r="209" spans="17:18" ht="13.19999999999999928946" hidden="1">
      <x:c r="Q209" s="49"/>
      <x:c r="R209" s="50"/>
    </x:row>
    <x:row r="210" spans="17:18" ht="13.19999999999999928946" hidden="1">
      <x:c r="Q210" s="49"/>
      <x:c r="R210" s="50"/>
    </x:row>
    <x:row r="211" spans="17:18" ht="13.19999999999999928946" hidden="1">
      <x:c r="Q211" s="49"/>
      <x:c r="R211" s="50"/>
    </x:row>
    <x:row r="212" spans="17:18" ht="13.19999999999999928946" hidden="1">
      <x:c r="Q212" s="49"/>
      <x:c r="R212" s="50"/>
    </x:row>
    <x:row r="213" spans="17:18" ht="13.19999999999999928946" hidden="1">
      <x:c r="Q213" s="49"/>
      <x:c r="R213" s="50"/>
    </x:row>
    <x:row r="214" spans="17:18" ht="13.19999999999999928946" hidden="1">
      <x:c r="Q214" s="49"/>
      <x:c r="R214" s="50"/>
    </x:row>
    <x:row r="215" spans="17:18" ht="13.19999999999999928946" hidden="1">
      <x:c r="Q215" s="49"/>
      <x:c r="R215" s="50"/>
    </x:row>
    <x:row r="216" spans="17:18" ht="13.19999999999999928946" hidden="1">
      <x:c r="Q216" s="49"/>
      <x:c r="R216" s="50"/>
    </x:row>
    <x:row r="217" spans="17:18" ht="13.19999999999999928946" hidden="1">
      <x:c r="Q217" s="49"/>
      <x:c r="R217" s="50"/>
    </x:row>
    <x:row r="218" spans="17:18" ht="13.19999999999999928946" hidden="1">
      <x:c r="Q218" s="49"/>
      <x:c r="R218" s="50"/>
    </x:row>
    <x:row r="219" spans="17:18" ht="13.19999999999999928946" hidden="1">
      <x:c r="Q219" s="49"/>
      <x:c r="R219" s="50"/>
    </x:row>
    <x:row r="220" spans="17:18" ht="13.19999999999999928946" hidden="1">
      <x:c r="Q220" s="49"/>
      <x:c r="R220" s="50"/>
    </x:row>
    <x:row r="221" spans="17:18" ht="13.19999999999999928946" hidden="1">
      <x:c r="Q221" s="49"/>
      <x:c r="R221" s="50"/>
    </x:row>
    <x:row r="222" spans="17:18" ht="13.19999999999999928946" hidden="1">
      <x:c r="Q222" s="49"/>
      <x:c r="R222" s="50"/>
    </x:row>
    <x:row r="223" spans="17:18" ht="13.19999999999999928946" hidden="1">
      <x:c r="Q223" s="49"/>
      <x:c r="R223" s="50"/>
    </x:row>
    <x:row r="224" spans="17:18" ht="13.19999999999999928946" hidden="1">
      <x:c r="Q224" s="49"/>
      <x:c r="R224" s="50"/>
    </x:row>
    <x:row r="225" spans="17:18" ht="13.19999999999999928946" hidden="1">
      <x:c r="Q225" s="49"/>
      <x:c r="R225" s="50"/>
    </x:row>
    <x:row r="226" spans="17:18" ht="13.19999999999999928946" hidden="1">
      <x:c r="Q226" s="49"/>
      <x:c r="R226" s="50"/>
    </x:row>
    <x:row r="227" spans="17:18" ht="13.19999999999999928946" hidden="1">
      <x:c r="Q227" s="49"/>
      <x:c r="R227" s="50"/>
    </x:row>
    <x:row r="228" spans="17:18" ht="13.19999999999999928946" hidden="1">
      <x:c r="Q228" s="49"/>
      <x:c r="R228" s="50"/>
    </x:row>
    <x:row r="229" spans="17:18" ht="13.19999999999999928946" hidden="1">
      <x:c r="Q229" s="49"/>
      <x:c r="R229" s="50"/>
    </x:row>
    <x:row r="230" spans="17:18" ht="13.19999999999999928946" hidden="1">
      <x:c r="Q230" s="49"/>
      <x:c r="R230" s="50"/>
    </x:row>
    <x:row r="231" spans="17:18" ht="13.19999999999999928946" hidden="1">
      <x:c r="Q231" s="49"/>
      <x:c r="R231" s="50"/>
    </x:row>
    <x:row r="232" spans="17:18" ht="13.19999999999999928946" hidden="1">
      <x:c r="Q232" s="49"/>
      <x:c r="R232" s="50"/>
    </x:row>
    <x:row r="233" spans="17:18" ht="13.19999999999999928946" hidden="1">
      <x:c r="Q233" s="49"/>
      <x:c r="R233" s="50"/>
    </x:row>
    <x:row r="234" spans="17:18" ht="13.19999999999999928946" hidden="1">
      <x:c r="Q234" s="49"/>
      <x:c r="R234" s="50"/>
    </x:row>
    <x:row r="235" spans="17:18" ht="13.19999999999999928946" hidden="1">
      <x:c r="Q235" s="49"/>
      <x:c r="R235" s="50"/>
    </x:row>
    <x:row r="236" spans="17:18" ht="13.19999999999999928946" hidden="1">
      <x:c r="Q236" s="49"/>
      <x:c r="R236" s="50"/>
    </x:row>
    <x:row r="237" spans="17:18" ht="13.19999999999999928946" hidden="1">
      <x:c r="Q237" s="49"/>
      <x:c r="R237" s="50"/>
    </x:row>
    <x:row r="238" spans="17:18" ht="13.19999999999999928946" hidden="1">
      <x:c r="Q238" s="49"/>
      <x:c r="R238" s="50"/>
    </x:row>
    <x:row r="239" spans="17:18" ht="13.19999999999999928946" hidden="1">
      <x:c r="Q239" s="49"/>
      <x:c r="R239" s="50"/>
    </x:row>
    <x:row r="240" spans="17:18" ht="13.19999999999999928946" hidden="1">
      <x:c r="Q240" s="49"/>
      <x:c r="R240" s="50"/>
    </x:row>
    <x:row r="241" spans="17:18" ht="13.19999999999999928946" hidden="1">
      <x:c r="Q241" s="49"/>
      <x:c r="R241" s="50"/>
    </x:row>
    <x:row r="242" spans="17:18" ht="13.19999999999999928946" hidden="1">
      <x:c r="Q242" s="49"/>
      <x:c r="R242" s="50"/>
    </x:row>
    <x:row r="243" spans="17:18" ht="13.19999999999999928946" hidden="1">
      <x:c r="Q243" s="49"/>
      <x:c r="R243" s="50"/>
    </x:row>
    <x:row r="244" spans="17:18" ht="13.19999999999999928946" hidden="1">
      <x:c r="Q244" s="49"/>
      <x:c r="R244" s="50"/>
    </x:row>
    <x:row r="245" spans="17:18" ht="13.19999999999999928946" hidden="1">
      <x:c r="Q245" s="49"/>
      <x:c r="R245" s="50"/>
    </x:row>
    <x:row r="246" spans="17:18" ht="13.19999999999999928946" hidden="1">
      <x:c r="Q246" s="49"/>
      <x:c r="R246" s="50"/>
    </x:row>
    <x:row r="247" spans="17:18" ht="13.19999999999999928946" hidden="1">
      <x:c r="Q247" s="49"/>
      <x:c r="R247" s="50"/>
    </x:row>
    <x:row r="248" spans="17:18" ht="13.19999999999999928946" hidden="1">
      <x:c r="Q248" s="49"/>
      <x:c r="R248" s="50"/>
    </x:row>
    <x:row r="249" spans="17:18" ht="13.19999999999999928946" hidden="1">
      <x:c r="Q249" s="49"/>
      <x:c r="R249" s="50"/>
    </x:row>
    <x:row r="250" spans="17:18" ht="13.19999999999999928946" hidden="1">
      <x:c r="Q250" s="49"/>
      <x:c r="R250" s="50"/>
    </x:row>
    <x:row r="251" spans="17:18" ht="13.19999999999999928946" hidden="1">
      <x:c r="Q251" s="49"/>
      <x:c r="R251" s="50"/>
    </x:row>
    <x:row r="252" spans="17:18" ht="13.19999999999999928946" hidden="1">
      <x:c r="Q252" s="49"/>
      <x:c r="R252" s="50"/>
    </x:row>
    <x:row r="253" spans="17:18" ht="13.19999999999999928946" hidden="1">
      <x:c r="Q253" s="49"/>
      <x:c r="R253" s="50"/>
    </x:row>
    <x:row r="254" spans="17:18" ht="13.19999999999999928946" hidden="1">
      <x:c r="Q254" s="49"/>
      <x:c r="R254" s="50"/>
    </x:row>
    <x:row r="255" spans="17:18" ht="13.19999999999999928946" hidden="1">
      <x:c r="Q255" s="49"/>
      <x:c r="R255" s="50"/>
    </x:row>
    <x:row r="256" spans="17:18" ht="13.19999999999999928946" hidden="1">
      <x:c r="Q256" s="49"/>
      <x:c r="R256" s="50"/>
    </x:row>
    <x:row r="257" spans="17:18" ht="13.19999999999999928946" hidden="1">
      <x:c r="Q257" s="49"/>
      <x:c r="R257" s="50"/>
    </x:row>
    <x:row r="258" spans="17:18" ht="13.19999999999999928946" hidden="1">
      <x:c r="Q258" s="49"/>
      <x:c r="R258" s="50"/>
    </x:row>
    <x:row r="259" spans="17:18" ht="13.19999999999999928946" hidden="1">
      <x:c r="Q259" s="49"/>
      <x:c r="R259" s="50"/>
    </x:row>
    <x:row r="260" spans="17:18" ht="13.19999999999999928946" hidden="1">
      <x:c r="Q260" s="49"/>
      <x:c r="R260" s="50"/>
    </x:row>
    <x:row r="261" spans="17:18" ht="13.19999999999999928946" hidden="1">
      <x:c r="Q261" s="49"/>
      <x:c r="R261" s="50"/>
    </x:row>
    <x:row r="262" spans="17:18" ht="13.19999999999999928946" hidden="1">
      <x:c r="Q262" s="49"/>
      <x:c r="R262" s="50"/>
    </x:row>
    <x:row r="263" spans="17:18" ht="13.19999999999999928946" hidden="1">
      <x:c r="Q263" s="49"/>
      <x:c r="R263" s="50"/>
    </x:row>
    <x:row r="264" spans="17:18" ht="13.19999999999999928946" hidden="1">
      <x:c r="Q264" s="49"/>
      <x:c r="R264" s="50"/>
    </x:row>
    <x:row r="265" spans="17:18" ht="13.19999999999999928946" hidden="1">
      <x:c r="Q265" s="49"/>
      <x:c r="R265" s="50"/>
    </x:row>
    <x:row r="266" spans="17:18" ht="13.19999999999999928946" hidden="1">
      <x:c r="Q266" s="49"/>
      <x:c r="R266" s="50"/>
    </x:row>
    <x:row r="267" spans="17:18" ht="13.19999999999999928946" hidden="1">
      <x:c r="Q267" s="49"/>
      <x:c r="R267" s="50"/>
    </x:row>
    <x:row r="268" spans="17:18" ht="13.19999999999999928946" hidden="1">
      <x:c r="Q268" s="49"/>
      <x:c r="R268" s="50"/>
    </x:row>
    <x:row r="269" spans="17:18" ht="13.19999999999999928946" hidden="1">
      <x:c r="Q269" s="49"/>
      <x:c r="R269" s="50"/>
    </x:row>
    <x:row r="270" spans="17:18" ht="13.19999999999999928946" hidden="1">
      <x:c r="Q270" s="49"/>
      <x:c r="R270" s="50"/>
    </x:row>
    <x:row r="271" spans="17:18" ht="13.19999999999999928946" hidden="1">
      <x:c r="Q271" s="49"/>
      <x:c r="R271" s="50"/>
    </x:row>
    <x:row r="272" spans="17:18" ht="13.19999999999999928946" hidden="1">
      <x:c r="Q272" s="49"/>
      <x:c r="R272" s="50"/>
    </x:row>
    <x:row r="273" spans="17:18" ht="13.19999999999999928946" hidden="1">
      <x:c r="Q273" s="49"/>
      <x:c r="R273" s="50"/>
    </x:row>
    <x:row r="274" spans="17:18" ht="13.19999999999999928946" hidden="1">
      <x:c r="Q274" s="49"/>
      <x:c r="R274" s="50"/>
    </x:row>
    <x:row r="275" spans="17:18" ht="13.19999999999999928946" hidden="1">
      <x:c r="Q275" s="49"/>
      <x:c r="R275" s="50"/>
    </x:row>
    <x:row r="276" spans="17:18" ht="13.19999999999999928946" hidden="1">
      <x:c r="Q276" s="49"/>
      <x:c r="R276" s="50"/>
    </x:row>
    <x:row r="277" spans="17:18" ht="13.19999999999999928946" hidden="1">
      <x:c r="Q277" s="49"/>
      <x:c r="R277" s="50"/>
    </x:row>
    <x:row r="278" spans="17:18" ht="13.19999999999999928946" hidden="1">
      <x:c r="Q278" s="49"/>
      <x:c r="R278" s="50"/>
    </x:row>
    <x:row r="279" spans="17:18" ht="13.19999999999999928946" hidden="1">
      <x:c r="Q279" s="49"/>
      <x:c r="R279" s="50"/>
    </x:row>
    <x:row r="280" spans="17:18" ht="13.19999999999999928946" hidden="1">
      <x:c r="Q280" s="49"/>
      <x:c r="R280" s="50"/>
    </x:row>
    <x:row r="281" spans="17:18" ht="13.19999999999999928946" hidden="1">
      <x:c r="Q281" s="49"/>
      <x:c r="R281" s="50"/>
    </x:row>
    <x:row r="282" spans="17:18" ht="13.19999999999999928946" hidden="1">
      <x:c r="Q282" s="49"/>
      <x:c r="R282" s="50"/>
    </x:row>
    <x:row r="283" spans="17:18" ht="13.19999999999999928946" hidden="1">
      <x:c r="Q283" s="49"/>
      <x:c r="R283" s="50"/>
    </x:row>
    <x:row r="284" spans="17:18" ht="13.19999999999999928946" hidden="1">
      <x:c r="Q284" s="49"/>
      <x:c r="R284" s="50"/>
    </x:row>
    <x:row r="285" spans="17:18" ht="13.19999999999999928946" hidden="1">
      <x:c r="Q285" s="49"/>
      <x:c r="R285" s="50"/>
    </x:row>
    <x:row r="286" spans="17:18" ht="13.19999999999999928946" hidden="1">
      <x:c r="Q286" s="49"/>
      <x:c r="R286" s="50"/>
    </x:row>
    <x:row r="287" spans="17:18" ht="13.19999999999999928946" hidden="1">
      <x:c r="Q287" s="49"/>
      <x:c r="R287" s="50"/>
    </x:row>
    <x:row r="288" spans="17:18" ht="13.19999999999999928946" hidden="1">
      <x:c r="Q288" s="49"/>
      <x:c r="R288" s="50"/>
    </x:row>
    <x:row r="289" spans="17:18" ht="13.19999999999999928946" hidden="1">
      <x:c r="Q289" s="49"/>
      <x:c r="R289" s="50"/>
    </x:row>
    <x:row r="290" spans="17:18" ht="13.19999999999999928946" hidden="1">
      <x:c r="Q290" s="49"/>
      <x:c r="R290" s="50"/>
    </x:row>
    <x:row r="291" spans="17:18" ht="13.19999999999999928946" hidden="1">
      <x:c r="Q291" s="49"/>
      <x:c r="R291" s="50"/>
    </x:row>
    <x:row r="292" spans="17:18" ht="13.19999999999999928946" hidden="1">
      <x:c r="Q292" s="49"/>
      <x:c r="R292" s="50"/>
    </x:row>
    <x:row r="293" spans="17:18" ht="13.19999999999999928946" hidden="1">
      <x:c r="Q293" s="49"/>
      <x:c r="R293" s="50"/>
    </x:row>
    <x:row r="294" spans="17:18" ht="13.19999999999999928946" hidden="1">
      <x:c r="Q294" s="49"/>
      <x:c r="R294" s="50"/>
    </x:row>
    <x:row r="295" spans="17:18" ht="13.19999999999999928946" hidden="1">
      <x:c r="Q295" s="49"/>
      <x:c r="R295" s="50"/>
    </x:row>
    <x:row r="296" spans="17:18" ht="13.19999999999999928946" hidden="1">
      <x:c r="Q296" s="49"/>
      <x:c r="R296" s="50"/>
    </x:row>
    <x:row r="297" spans="17:18" ht="13.19999999999999928946" hidden="1">
      <x:c r="Q297" s="49"/>
      <x:c r="R297" s="50"/>
    </x:row>
    <x:row r="298" spans="17:18" ht="13.19999999999999928946" hidden="1">
      <x:c r="Q298" s="49"/>
      <x:c r="R298" s="50"/>
    </x:row>
    <x:row r="299" spans="17:18" ht="13.19999999999999928946" hidden="1">
      <x:c r="Q299" s="49"/>
      <x:c r="R299" s="50"/>
    </x:row>
    <x:row r="300" spans="17:18" ht="13.19999999999999928946" hidden="1">
      <x:c r="Q300" s="49"/>
      <x:c r="R300" s="50"/>
    </x:row>
    <x:row r="301" spans="17:18" ht="13.19999999999999928946" hidden="1">
      <x:c r="Q301" s="49"/>
      <x:c r="R301" s="50"/>
    </x:row>
    <x:row r="302" spans="17:18" ht="13.19999999999999928946" hidden="1">
      <x:c r="Q302" s="49"/>
      <x:c r="R302" s="50"/>
    </x:row>
    <x:row r="303" spans="17:18" ht="13.19999999999999928946" hidden="1">
      <x:c r="Q303" s="49"/>
      <x:c r="R303" s="50"/>
    </x:row>
    <x:row r="304" spans="17:18" ht="13.19999999999999928946" hidden="1">
      <x:c r="Q304" s="49"/>
      <x:c r="R304" s="50"/>
    </x:row>
    <x:row r="305" spans="17:18" ht="13.19999999999999928946" hidden="1">
      <x:c r="Q305" s="49"/>
      <x:c r="R305" s="50"/>
    </x:row>
    <x:row r="306" spans="17:18" ht="13.19999999999999928946" hidden="1">
      <x:c r="Q306" s="49"/>
      <x:c r="R306" s="50"/>
    </x:row>
    <x:row r="307" spans="17:18" ht="13.19999999999999928946" hidden="1">
      <x:c r="Q307" s="49"/>
      <x:c r="R307" s="50"/>
    </x:row>
    <x:row r="308" spans="17:18" ht="13.19999999999999928946" hidden="1">
      <x:c r="Q308" s="49"/>
      <x:c r="R308" s="50"/>
    </x:row>
    <x:row r="309" spans="17:18" ht="13.19999999999999928946" hidden="1">
      <x:c r="Q309" s="49"/>
      <x:c r="R309" s="50"/>
    </x:row>
    <x:row r="310" spans="17:18" ht="13.19999999999999928946" hidden="1">
      <x:c r="Q310" s="49"/>
      <x:c r="R310" s="50"/>
    </x:row>
    <x:row r="311" spans="17:18" ht="13.19999999999999928946" hidden="1">
      <x:c r="Q311" s="49"/>
      <x:c r="R311" s="50"/>
    </x:row>
    <x:row r="312" spans="17:18" ht="13.19999999999999928946" hidden="1">
      <x:c r="Q312" s="49"/>
      <x:c r="R312" s="50"/>
    </x:row>
    <x:row r="313" spans="17:18" ht="13.19999999999999928946" hidden="1">
      <x:c r="Q313" s="49"/>
      <x:c r="R313" s="50"/>
    </x:row>
    <x:row r="314" spans="17:18" ht="13.19999999999999928946" hidden="1">
      <x:c r="Q314" s="49"/>
      <x:c r="R314" s="50"/>
    </x:row>
    <x:row r="315" spans="17:18" ht="13.19999999999999928946" hidden="1">
      <x:c r="Q315" s="49"/>
      <x:c r="R315" s="50"/>
    </x:row>
    <x:row r="316" spans="17:18" ht="13.19999999999999928946" hidden="1">
      <x:c r="Q316" s="49"/>
      <x:c r="R316" s="50"/>
    </x:row>
    <x:row r="317" spans="17:18" ht="13.19999999999999928946" hidden="1">
      <x:c r="Q317" s="49"/>
      <x:c r="R317" s="50"/>
    </x:row>
    <x:row r="318" spans="17:18" ht="13.19999999999999928946" hidden="1">
      <x:c r="Q318" s="49"/>
      <x:c r="R318" s="50"/>
    </x:row>
    <x:row r="319" spans="17:18" ht="13.19999999999999928946" hidden="1">
      <x:c r="Q319" s="49"/>
      <x:c r="R319" s="50"/>
    </x:row>
    <x:row r="320" spans="17:18" ht="13.19999999999999928946" hidden="1">
      <x:c r="Q320" s="49"/>
      <x:c r="R320" s="50"/>
    </x:row>
    <x:row r="321" spans="17:18" ht="13.19999999999999928946" hidden="1">
      <x:c r="Q321" s="49"/>
      <x:c r="R321" s="50"/>
    </x:row>
    <x:row r="322" spans="17:18" ht="13.19999999999999928946" hidden="1">
      <x:c r="Q322" s="49"/>
      <x:c r="R322" s="50"/>
    </x:row>
    <x:row r="323" spans="17:18" ht="13.19999999999999928946" hidden="1">
      <x:c r="Q323" s="49"/>
      <x:c r="R323" s="50"/>
    </x:row>
    <x:row r="324" spans="17:18" ht="13.19999999999999928946" hidden="1">
      <x:c r="Q324" s="49"/>
      <x:c r="R324" s="50"/>
    </x:row>
    <x:row r="325" spans="17:18" ht="13.19999999999999928946" hidden="1">
      <x:c r="Q325" s="49"/>
      <x:c r="R325" s="50"/>
    </x:row>
    <x:row r="326" spans="17:18" ht="13.19999999999999928946" hidden="1">
      <x:c r="Q326" s="49"/>
      <x:c r="R326" s="50"/>
    </x:row>
    <x:row r="327" spans="17:18" ht="13.19999999999999928946" hidden="1">
      <x:c r="Q327" s="49"/>
      <x:c r="R327" s="50"/>
    </x:row>
    <x:row r="328" spans="17:18" ht="13.19999999999999928946" hidden="1">
      <x:c r="Q328" s="49"/>
      <x:c r="R328" s="50"/>
    </x:row>
    <x:row r="329" spans="17:18" ht="13.19999999999999928946" hidden="1">
      <x:c r="Q329" s="49"/>
      <x:c r="R329" s="50"/>
    </x:row>
    <x:row r="330" spans="17:18" ht="13.19999999999999928946" hidden="1">
      <x:c r="Q330" s="49"/>
      <x:c r="R330" s="50"/>
    </x:row>
    <x:row r="331" spans="17:18" ht="13.19999999999999928946" hidden="1">
      <x:c r="Q331" s="49"/>
      <x:c r="R331" s="50"/>
    </x:row>
    <x:row r="332" spans="17:18" ht="13.19999999999999928946" hidden="1">
      <x:c r="Q332" s="49"/>
      <x:c r="R332" s="50"/>
    </x:row>
    <x:row r="333" spans="17:18" ht="13.19999999999999928946" hidden="1">
      <x:c r="Q333" s="49"/>
      <x:c r="R333" s="50"/>
    </x:row>
    <x:row r="334" spans="17:18" ht="13.19999999999999928946" hidden="1">
      <x:c r="Q334" s="49"/>
      <x:c r="R334" s="50"/>
    </x:row>
    <x:row r="335" spans="17:18" ht="13.19999999999999928946" hidden="1">
      <x:c r="Q335" s="49"/>
      <x:c r="R335" s="50"/>
    </x:row>
    <x:row r="336" spans="17:18" ht="13.19999999999999928946" hidden="1">
      <x:c r="Q336" s="49"/>
      <x:c r="R336" s="50"/>
    </x:row>
    <x:row r="337" spans="17:18" ht="13.19999999999999928946" hidden="1">
      <x:c r="Q337" s="49"/>
      <x:c r="R337" s="50"/>
    </x:row>
    <x:row r="338" spans="17:18" ht="13.19999999999999928946" hidden="1">
      <x:c r="Q338" s="49"/>
      <x:c r="R338" s="50"/>
    </x:row>
    <x:row r="339" spans="17:18" ht="13.19999999999999928946" hidden="1">
      <x:c r="Q339" s="49"/>
      <x:c r="R339" s="50"/>
    </x:row>
    <x:row r="340" spans="17:18" ht="13.19999999999999928946" hidden="1">
      <x:c r="Q340" s="49"/>
      <x:c r="R340" s="50"/>
    </x:row>
    <x:row r="341" spans="17:18" ht="13.19999999999999928946" hidden="1">
      <x:c r="Q341" s="49"/>
      <x:c r="R341" s="50"/>
    </x:row>
    <x:row r="342" spans="17:18" ht="13.19999999999999928946" hidden="1">
      <x:c r="Q342" s="49"/>
      <x:c r="R342" s="50"/>
    </x:row>
    <x:row r="343" spans="17:18" ht="13.19999999999999928946" hidden="1">
      <x:c r="Q343" s="49"/>
      <x:c r="R343" s="50"/>
    </x:row>
    <x:row r="344" spans="17:18" ht="13.19999999999999928946" hidden="1">
      <x:c r="Q344" s="49"/>
      <x:c r="R344" s="50"/>
    </x:row>
    <x:row r="345" spans="17:18" ht="13.19999999999999928946" hidden="1">
      <x:c r="Q345" s="49"/>
      <x:c r="R345" s="50"/>
    </x:row>
    <x:row r="346" spans="17:18" ht="13.19999999999999928946" hidden="1">
      <x:c r="Q346" s="49"/>
      <x:c r="R346" s="50"/>
    </x:row>
    <x:row r="347" spans="17:18" ht="13.19999999999999928946" hidden="1">
      <x:c r="Q347" s="49"/>
      <x:c r="R347" s="50"/>
    </x:row>
    <x:row r="348" spans="17:18" ht="13.19999999999999928946" hidden="1">
      <x:c r="Q348" s="49"/>
      <x:c r="R348" s="50"/>
    </x:row>
    <x:row r="349" spans="17:18" ht="13.19999999999999928946" hidden="1">
      <x:c r="Q349" s="49"/>
      <x:c r="R349" s="50"/>
    </x:row>
    <x:row r="350" spans="17:18" ht="13.19999999999999928946" hidden="1">
      <x:c r="Q350" s="49"/>
      <x:c r="R350" s="50"/>
    </x:row>
    <x:row r="351" spans="17:18" ht="13.19999999999999928946" hidden="1">
      <x:c r="Q351" s="49"/>
      <x:c r="R351" s="50"/>
    </x:row>
    <x:row r="352" spans="17:18" ht="13.19999999999999928946" hidden="1">
      <x:c r="Q352" s="49"/>
      <x:c r="R352" s="50"/>
    </x:row>
    <x:row r="353" spans="17:18" ht="13.19999999999999928946" hidden="1">
      <x:c r="Q353" s="49"/>
      <x:c r="R353" s="50"/>
    </x:row>
    <x:row r="354" spans="17:18" ht="13.19999999999999928946" hidden="1">
      <x:c r="Q354" s="49"/>
      <x:c r="R354" s="50"/>
    </x:row>
    <x:row r="355" spans="17:18" ht="13.19999999999999928946" hidden="1">
      <x:c r="Q355" s="49"/>
      <x:c r="R355" s="50"/>
    </x:row>
    <x:row r="356" spans="17:18" ht="13.19999999999999928946" hidden="1">
      <x:c r="Q356" s="49"/>
      <x:c r="R356" s="50"/>
    </x:row>
    <x:row r="357" spans="17:18" ht="13.19999999999999928946" hidden="1">
      <x:c r="Q357" s="49"/>
      <x:c r="R357" s="50"/>
    </x:row>
    <x:row r="358" spans="17:18" ht="13.19999999999999928946" hidden="1">
      <x:c r="Q358" s="49"/>
      <x:c r="R358" s="50"/>
    </x:row>
    <x:row r="359" spans="17:18" ht="13.19999999999999928946" hidden="1">
      <x:c r="Q359" s="49"/>
      <x:c r="R359" s="50"/>
    </x:row>
    <x:row r="360" spans="17:18" ht="13.19999999999999928946" hidden="1">
      <x:c r="Q360" s="49"/>
      <x:c r="R360" s="50"/>
    </x:row>
    <x:row r="361" spans="17:18" ht="13.19999999999999928946" hidden="1">
      <x:c r="Q361" s="49"/>
      <x:c r="R361" s="50"/>
    </x:row>
    <x:row r="362" spans="17:18" ht="13.19999999999999928946" hidden="1">
      <x:c r="Q362" s="49"/>
      <x:c r="R362" s="50"/>
    </x:row>
    <x:row r="363" spans="17:18" ht="13.19999999999999928946" hidden="1">
      <x:c r="Q363" s="49"/>
      <x:c r="R363" s="50"/>
    </x:row>
    <x:row r="364" spans="17:18" ht="13.19999999999999928946" hidden="1">
      <x:c r="Q364" s="49"/>
      <x:c r="R364" s="50"/>
    </x:row>
    <x:row r="365" spans="17:18" ht="13.19999999999999928946" hidden="1">
      <x:c r="Q365" s="49"/>
      <x:c r="R365" s="50"/>
    </x:row>
    <x:row r="366" spans="17:18" ht="13.19999999999999928946" hidden="1">
      <x:c r="Q366" s="49"/>
      <x:c r="R366" s="50"/>
    </x:row>
    <x:row r="367" spans="17:18" ht="13.19999999999999928946" hidden="1">
      <x:c r="Q367" s="49"/>
      <x:c r="R367" s="50"/>
    </x:row>
    <x:row r="368" spans="17:18" ht="13.19999999999999928946" hidden="1">
      <x:c r="Q368" s="49"/>
      <x:c r="R368" s="50"/>
    </x:row>
    <x:row r="369" spans="17:18" ht="13.19999999999999928946" hidden="1">
      <x:c r="Q369" s="49"/>
      <x:c r="R369" s="50"/>
    </x:row>
    <x:row r="370" spans="17:18" ht="13.19999999999999928946" hidden="1">
      <x:c r="Q370" s="49"/>
      <x:c r="R370" s="50"/>
    </x:row>
    <x:row r="371" spans="17:18" ht="13.19999999999999928946" hidden="1">
      <x:c r="Q371" s="49"/>
      <x:c r="R371" s="50"/>
    </x:row>
    <x:row r="372" spans="17:18" ht="13.19999999999999928946" hidden="1">
      <x:c r="Q372" s="49"/>
      <x:c r="R372" s="50"/>
    </x:row>
    <x:row r="373" spans="17:18" ht="13.19999999999999928946" hidden="1">
      <x:c r="Q373" s="49"/>
      <x:c r="R373" s="50"/>
    </x:row>
    <x:row r="374" spans="17:18" ht="13.19999999999999928946" hidden="1">
      <x:c r="Q374" s="49"/>
      <x:c r="R374" s="50"/>
    </x:row>
    <x:row r="375" spans="17:18" ht="13.19999999999999928946" hidden="1">
      <x:c r="Q375" s="49"/>
      <x:c r="R375" s="50"/>
    </x:row>
    <x:row r="376" spans="17:18" ht="13.19999999999999928946" hidden="1">
      <x:c r="Q376" s="49"/>
      <x:c r="R376" s="50"/>
    </x:row>
    <x:row r="377" spans="17:18" ht="13.19999999999999928946" hidden="1">
      <x:c r="Q377" s="49"/>
      <x:c r="R377" s="50"/>
    </x:row>
    <x:row r="378" spans="17:18" ht="13.19999999999999928946" hidden="1">
      <x:c r="Q378" s="49"/>
      <x:c r="R378" s="50"/>
    </x:row>
    <x:row r="379" spans="17:18" ht="13.19999999999999928946" hidden="1">
      <x:c r="Q379" s="49"/>
      <x:c r="R379" s="50"/>
    </x:row>
    <x:row r="380" spans="17:18" ht="13.19999999999999928946" hidden="1">
      <x:c r="Q380" s="49"/>
      <x:c r="R380" s="50"/>
    </x:row>
    <x:row r="381" spans="17:18" ht="13.19999999999999928946" hidden="1">
      <x:c r="Q381" s="49"/>
      <x:c r="R381" s="50"/>
    </x:row>
    <x:row r="382" spans="17:18" ht="13.19999999999999928946" hidden="1">
      <x:c r="Q382" s="49"/>
      <x:c r="R382" s="50"/>
    </x:row>
    <x:row r="383" spans="17:18" ht="13.19999999999999928946" hidden="1">
      <x:c r="Q383" s="49"/>
      <x:c r="R383" s="50"/>
    </x:row>
    <x:row r="384" spans="17:18" ht="13.19999999999999928946" hidden="1">
      <x:c r="Q384" s="49"/>
      <x:c r="R384" s="50"/>
    </x:row>
    <x:row r="385" spans="17:18" ht="13.19999999999999928946" hidden="1">
      <x:c r="Q385" s="49"/>
      <x:c r="R385" s="50"/>
    </x:row>
    <x:row r="386" spans="17:18" ht="13.19999999999999928946" hidden="1">
      <x:c r="Q386" s="49"/>
      <x:c r="R386" s="50"/>
    </x:row>
    <x:row r="387" spans="17:18" ht="13.19999999999999928946" hidden="1">
      <x:c r="Q387" s="49"/>
      <x:c r="R387" s="50"/>
    </x:row>
    <x:row r="388" spans="17:18" ht="13.19999999999999928946" hidden="1">
      <x:c r="Q388" s="49"/>
      <x:c r="R388" s="50"/>
    </x:row>
    <x:row r="389" spans="17:18" ht="13.19999999999999928946" hidden="1">
      <x:c r="Q389" s="49"/>
      <x:c r="R389" s="50"/>
    </x:row>
    <x:row r="390" spans="17:18" ht="13.19999999999999928946" hidden="1">
      <x:c r="Q390" s="49"/>
      <x:c r="R390" s="50"/>
    </x:row>
    <x:row r="391" spans="17:18" ht="13.19999999999999928946" hidden="1">
      <x:c r="Q391" s="49"/>
      <x:c r="R391" s="50"/>
    </x:row>
    <x:row r="392" spans="17:18" ht="13.19999999999999928946" hidden="1">
      <x:c r="Q392" s="49"/>
      <x:c r="R392" s="50"/>
    </x:row>
    <x:row r="393" spans="17:18" ht="13.19999999999999928946" hidden="1">
      <x:c r="Q393" s="49"/>
      <x:c r="R393" s="50"/>
    </x:row>
    <x:row r="394" spans="17:18" ht="13.19999999999999928946" hidden="1">
      <x:c r="Q394" s="49"/>
      <x:c r="R394" s="50"/>
    </x:row>
    <x:row r="395" spans="17:18" ht="13.19999999999999928946" hidden="1">
      <x:c r="Q395" s="49"/>
      <x:c r="R395" s="50"/>
    </x:row>
    <x:row r="396" spans="17:18" ht="13.19999999999999928946" hidden="1">
      <x:c r="Q396" s="49"/>
      <x:c r="R396" s="50"/>
    </x:row>
    <x:row r="397" spans="17:18" ht="13.19999999999999928946" hidden="1">
      <x:c r="Q397" s="49"/>
      <x:c r="R397" s="50"/>
    </x:row>
    <x:row r="398" spans="17:18" ht="13.19999999999999928946" hidden="1">
      <x:c r="Q398" s="49"/>
      <x:c r="R398" s="50"/>
    </x:row>
    <x:row r="399" spans="17:18" ht="13.19999999999999928946" hidden="1">
      <x:c r="Q399" s="49"/>
      <x:c r="R399" s="50"/>
    </x:row>
    <x:row r="400" spans="17:18" ht="13.19999999999999928946" hidden="1">
      <x:c r="Q400" s="49"/>
      <x:c r="R400" s="50"/>
    </x:row>
    <x:row r="401" spans="17:18" ht="13.19999999999999928946" hidden="1">
      <x:c r="Q401" s="49"/>
      <x:c r="R401" s="50"/>
    </x:row>
    <x:row r="402" spans="17:18" ht="13.19999999999999928946" hidden="1">
      <x:c r="Q402" s="49"/>
      <x:c r="R402" s="50"/>
    </x:row>
    <x:row r="403" spans="17:18" ht="13.19999999999999928946" hidden="1">
      <x:c r="Q403" s="49"/>
      <x:c r="R403" s="50"/>
    </x:row>
    <x:row r="404" spans="17:18" ht="13.19999999999999928946" hidden="1">
      <x:c r="Q404" s="49"/>
      <x:c r="R404" s="50"/>
    </x:row>
    <x:row r="405" spans="17:18" ht="13.19999999999999928946" hidden="1">
      <x:c r="Q405" s="49"/>
      <x:c r="R405" s="50"/>
    </x:row>
    <x:row r="406" spans="17:18" ht="13.19999999999999928946" hidden="1">
      <x:c r="Q406" s="49"/>
      <x:c r="R406" s="50"/>
    </x:row>
    <x:row r="407" spans="17:18" ht="13.19999999999999928946" hidden="1">
      <x:c r="Q407" s="49"/>
      <x:c r="R407" s="50"/>
    </x:row>
    <x:row r="408" spans="17:18" ht="13.19999999999999928946" hidden="1">
      <x:c r="Q408" s="49"/>
      <x:c r="R408" s="50"/>
    </x:row>
    <x:row r="409" spans="17:18" ht="13.19999999999999928946" hidden="1">
      <x:c r="Q409" s="49"/>
      <x:c r="R409" s="50"/>
    </x:row>
    <x:row r="410" spans="17:18" ht="13.19999999999999928946" hidden="1">
      <x:c r="Q410" s="49"/>
      <x:c r="R410" s="50"/>
    </x:row>
    <x:row r="411" spans="17:18" ht="13.19999999999999928946" hidden="1">
      <x:c r="Q411" s="49"/>
      <x:c r="R411" s="50"/>
    </x:row>
    <x:row r="412" spans="17:18" ht="13.19999999999999928946" hidden="1">
      <x:c r="Q412" s="49"/>
      <x:c r="R412" s="50"/>
    </x:row>
    <x:row r="413" spans="17:18" ht="13.19999999999999928946" hidden="1">
      <x:c r="Q413" s="49"/>
      <x:c r="R413" s="50"/>
    </x:row>
    <x:row r="414" spans="17:18" ht="13.19999999999999928946" hidden="1">
      <x:c r="Q414" s="49"/>
      <x:c r="R414" s="50"/>
    </x:row>
    <x:row r="415" spans="17:18" ht="13.19999999999999928946" hidden="1">
      <x:c r="Q415" s="49"/>
      <x:c r="R415" s="50"/>
    </x:row>
    <x:row r="416" spans="17:18" ht="13.19999999999999928946" hidden="1">
      <x:c r="Q416" s="49"/>
      <x:c r="R416" s="50"/>
    </x:row>
    <x:row r="417" spans="17:18" ht="13.19999999999999928946" hidden="1">
      <x:c r="Q417" s="49"/>
      <x:c r="R417" s="50"/>
    </x:row>
    <x:row r="418" spans="17:18" ht="13.19999999999999928946" hidden="1">
      <x:c r="Q418" s="49"/>
      <x:c r="R418" s="50"/>
    </x:row>
    <x:row r="419" spans="17:18" ht="13.19999999999999928946" hidden="1">
      <x:c r="Q419" s="49"/>
      <x:c r="R419" s="50"/>
    </x:row>
    <x:row r="420" spans="17:18" ht="13.19999999999999928946" hidden="1">
      <x:c r="Q420" s="49"/>
      <x:c r="R420" s="50"/>
    </x:row>
    <x:row r="421" spans="17:18" ht="13.19999999999999928946" hidden="1">
      <x:c r="Q421" s="49"/>
      <x:c r="R421" s="50"/>
    </x:row>
    <x:row r="422" spans="17:18" ht="13.19999999999999928946" hidden="1">
      <x:c r="Q422" s="49"/>
      <x:c r="R422" s="50"/>
    </x:row>
    <x:row r="423" spans="17:18" ht="13.19999999999999928946" hidden="1">
      <x:c r="Q423" s="49"/>
      <x:c r="R423" s="50"/>
    </x:row>
    <x:row r="424" spans="17:18" ht="13.19999999999999928946" hidden="1">
      <x:c r="Q424" s="49"/>
      <x:c r="R424" s="50"/>
    </x:row>
    <x:row r="425" spans="17:18" ht="13.19999999999999928946" hidden="1">
      <x:c r="Q425" s="49"/>
      <x:c r="R425" s="50"/>
    </x:row>
    <x:row r="426" spans="17:18" ht="13.19999999999999928946" hidden="1">
      <x:c r="Q426" s="49"/>
      <x:c r="R426" s="50"/>
    </x:row>
    <x:row r="427" spans="17:18" ht="13.19999999999999928946" hidden="1">
      <x:c r="Q427" s="49"/>
      <x:c r="R427" s="50"/>
    </x:row>
    <x:row r="428" spans="17:18" ht="13.19999999999999928946" hidden="1">
      <x:c r="Q428" s="49"/>
      <x:c r="R428" s="50"/>
    </x:row>
    <x:row r="429" spans="17:18" ht="13.19999999999999928946" hidden="1">
      <x:c r="Q429" s="49"/>
      <x:c r="R429" s="50"/>
    </x:row>
    <x:row r="430" spans="17:18" ht="13.19999999999999928946" hidden="1">
      <x:c r="Q430" s="49"/>
      <x:c r="R430" s="50"/>
    </x:row>
    <x:row r="431" spans="17:18" ht="13.19999999999999928946" hidden="1">
      <x:c r="Q431" s="49"/>
      <x:c r="R431" s="50"/>
    </x:row>
    <x:row r="432" spans="17:18" ht="13.19999999999999928946" hidden="1">
      <x:c r="Q432" s="49"/>
      <x:c r="R432" s="50"/>
    </x:row>
    <x:row r="433" spans="17:18" ht="13.19999999999999928946" hidden="1">
      <x:c r="Q433" s="49"/>
      <x:c r="R433" s="50"/>
    </x:row>
    <x:row r="434" spans="17:18" ht="13.19999999999999928946" hidden="1">
      <x:c r="Q434" s="49"/>
      <x:c r="R434" s="50"/>
    </x:row>
    <x:row r="435" spans="17:18" ht="13.19999999999999928946" hidden="1">
      <x:c r="Q435" s="49"/>
      <x:c r="R435" s="50"/>
    </x:row>
    <x:row r="436" spans="17:18" ht="13.19999999999999928946" hidden="1">
      <x:c r="Q436" s="49"/>
      <x:c r="R436" s="50"/>
    </x:row>
    <x:row r="437" spans="17:18" ht="13.19999999999999928946" hidden="1">
      <x:c r="Q437" s="49"/>
      <x:c r="R437" s="50"/>
    </x:row>
    <x:row r="438" spans="17:18" ht="13.19999999999999928946" hidden="1">
      <x:c r="Q438" s="49"/>
      <x:c r="R438" s="50"/>
    </x:row>
    <x:row r="439" spans="17:18" ht="13.19999999999999928946" hidden="1">
      <x:c r="Q439" s="49"/>
      <x:c r="R439" s="50"/>
    </x:row>
    <x:row r="440" spans="17:18" ht="13.19999999999999928946" hidden="1">
      <x:c r="Q440" s="49"/>
      <x:c r="R440" s="50"/>
    </x:row>
    <x:row r="441" spans="17:18" ht="13.19999999999999928946" hidden="1">
      <x:c r="Q441" s="49"/>
      <x:c r="R441" s="50"/>
    </x:row>
    <x:row r="442" spans="17:18" ht="13.19999999999999928946" hidden="1">
      <x:c r="Q442" s="49"/>
      <x:c r="R442" s="50"/>
    </x:row>
    <x:row r="443" spans="17:18" ht="13.19999999999999928946" hidden="1">
      <x:c r="Q443" s="49"/>
      <x:c r="R443" s="50"/>
    </x:row>
    <x:row r="444" spans="17:18" ht="13.19999999999999928946" hidden="1">
      <x:c r="Q444" s="49"/>
      <x:c r="R444" s="50"/>
    </x:row>
    <x:row r="445" spans="17:18" ht="13.19999999999999928946" hidden="1">
      <x:c r="Q445" s="49"/>
      <x:c r="R445" s="50"/>
    </x:row>
    <x:row r="446" spans="17:18" ht="13.19999999999999928946" hidden="1">
      <x:c r="Q446" s="49"/>
      <x:c r="R446" s="50"/>
    </x:row>
    <x:row r="447" spans="17:18" ht="13.19999999999999928946" hidden="1">
      <x:c r="Q447" s="49"/>
      <x:c r="R447" s="50"/>
    </x:row>
    <x:row r="448" spans="17:18" ht="13.19999999999999928946" hidden="1">
      <x:c r="Q448" s="49"/>
      <x:c r="R448" s="50"/>
    </x:row>
    <x:row r="449" spans="17:18" ht="13.19999999999999928946" hidden="1">
      <x:c r="Q449" s="49"/>
      <x:c r="R449" s="50"/>
    </x:row>
    <x:row r="450" spans="17:18" ht="13.19999999999999928946" hidden="1">
      <x:c r="Q450" s="49"/>
      <x:c r="R450" s="50"/>
    </x:row>
    <x:row r="451" spans="17:18" ht="13.19999999999999928946" hidden="1">
      <x:c r="Q451" s="49"/>
      <x:c r="R451" s="50"/>
    </x:row>
    <x:row r="452" spans="17:18" ht="13.19999999999999928946" hidden="1">
      <x:c r="Q452" s="49"/>
      <x:c r="R452" s="50"/>
    </x:row>
    <x:row r="453" spans="17:18" ht="13.19999999999999928946" hidden="1">
      <x:c r="Q453" s="49"/>
      <x:c r="R453" s="50"/>
    </x:row>
    <x:row r="454" spans="17:18" ht="13.19999999999999928946" hidden="1">
      <x:c r="Q454" s="49"/>
      <x:c r="R454" s="50"/>
    </x:row>
    <x:row r="455" spans="17:18" ht="13.19999999999999928946" hidden="1">
      <x:c r="Q455" s="49"/>
      <x:c r="R455" s="50"/>
    </x:row>
    <x:row r="456" spans="17:18" ht="13.19999999999999928946" hidden="1">
      <x:c r="Q456" s="49"/>
      <x:c r="R456" s="50"/>
    </x:row>
    <x:row r="457" spans="17:18" ht="13.19999999999999928946" hidden="1">
      <x:c r="Q457" s="49"/>
      <x:c r="R457" s="50"/>
    </x:row>
    <x:row r="458" spans="17:18" ht="13.19999999999999928946" hidden="1">
      <x:c r="Q458" s="49"/>
      <x:c r="R458" s="50"/>
    </x:row>
    <x:row r="459" spans="17:18" ht="13.19999999999999928946" hidden="1">
      <x:c r="Q459" s="49"/>
      <x:c r="R459" s="50"/>
    </x:row>
    <x:row r="460" spans="17:18" ht="13.19999999999999928946" hidden="1">
      <x:c r="Q460" s="49"/>
      <x:c r="R460" s="50"/>
    </x:row>
    <x:row r="461" spans="17:18" ht="13.19999999999999928946" hidden="1">
      <x:c r="Q461" s="49"/>
      <x:c r="R461" s="50"/>
    </x:row>
    <x:row r="462" spans="17:18" ht="13.19999999999999928946" hidden="1">
      <x:c r="Q462" s="49"/>
      <x:c r="R462" s="50"/>
    </x:row>
    <x:row r="463" spans="17:18" ht="13.19999999999999928946" hidden="1">
      <x:c r="Q463" s="49"/>
      <x:c r="R463" s="50"/>
    </x:row>
    <x:row r="464" spans="17:18" ht="13.19999999999999928946" hidden="1">
      <x:c r="Q464" s="49"/>
      <x:c r="R464" s="50"/>
    </x:row>
    <x:row r="465" spans="17:18" ht="13.19999999999999928946" hidden="1">
      <x:c r="Q465" s="49"/>
      <x:c r="R465" s="50"/>
    </x:row>
    <x:row r="466" spans="17:18" ht="13.19999999999999928946" hidden="1">
      <x:c r="Q466" s="49"/>
      <x:c r="R466" s="50"/>
    </x:row>
    <x:row r="467" spans="17:18" ht="13.19999999999999928946" hidden="1">
      <x:c r="Q467" s="49"/>
      <x:c r="R467" s="50"/>
    </x:row>
    <x:row r="468" spans="17:18" ht="13.19999999999999928946" hidden="1">
      <x:c r="Q468" s="49"/>
      <x:c r="R468" s="50"/>
    </x:row>
    <x:row r="469" spans="17:18" ht="13.19999999999999928946" hidden="1">
      <x:c r="Q469" s="49"/>
      <x:c r="R469" s="50"/>
    </x:row>
    <x:row r="470" spans="17:18" ht="13.19999999999999928946" hidden="1">
      <x:c r="Q470" s="49"/>
      <x:c r="R470" s="50"/>
    </x:row>
    <x:row r="471" spans="17:18" ht="13.19999999999999928946" hidden="1">
      <x:c r="Q471" s="49"/>
      <x:c r="R471" s="50"/>
    </x:row>
    <x:row r="472" spans="17:18" ht="13.19999999999999928946" hidden="1">
      <x:c r="Q472" s="49"/>
      <x:c r="R472" s="50"/>
    </x:row>
    <x:row r="473" spans="17:18" ht="13.19999999999999928946" hidden="1">
      <x:c r="Q473" s="49"/>
      <x:c r="R473" s="50"/>
    </x:row>
    <x:row r="474" spans="17:18" ht="13.19999999999999928946" hidden="1">
      <x:c r="Q474" s="49"/>
      <x:c r="R474" s="50"/>
    </x:row>
    <x:row r="475" spans="17:18" ht="13.19999999999999928946" hidden="1">
      <x:c r="Q475" s="49"/>
      <x:c r="R475" s="50"/>
    </x:row>
    <x:row r="476" spans="17:18" ht="13.19999999999999928946" hidden="1">
      <x:c r="Q476" s="49"/>
      <x:c r="R476" s="50"/>
    </x:row>
    <x:row r="477" spans="17:18" ht="13.19999999999999928946" hidden="1">
      <x:c r="Q477" s="49"/>
      <x:c r="R477" s="50"/>
    </x:row>
    <x:row r="478" spans="17:18" ht="13.19999999999999928946" hidden="1">
      <x:c r="Q478" s="49"/>
      <x:c r="R478" s="50"/>
    </x:row>
    <x:row r="479" spans="17:18" ht="13.19999999999999928946" hidden="1">
      <x:c r="Q479" s="49"/>
      <x:c r="R479" s="50"/>
    </x:row>
    <x:row r="480" spans="17:18" ht="13.19999999999999928946" hidden="1">
      <x:c r="Q480" s="49"/>
      <x:c r="R480" s="50"/>
    </x:row>
    <x:row r="481" spans="17:18" ht="13.19999999999999928946" hidden="1">
      <x:c r="Q481" s="49"/>
      <x:c r="R481" s="50"/>
    </x:row>
    <x:row r="482" spans="17:18" ht="13.19999999999999928946" hidden="1">
      <x:c r="Q482" s="49"/>
      <x:c r="R482" s="50"/>
    </x:row>
    <x:row r="483" spans="17:18" ht="13.19999999999999928946" hidden="1">
      <x:c r="Q483" s="49"/>
      <x:c r="R483" s="50"/>
    </x:row>
    <x:row r="484" spans="17:18" ht="13.19999999999999928946" hidden="1">
      <x:c r="Q484" s="49"/>
      <x:c r="R484" s="50"/>
    </x:row>
    <x:row r="485" spans="17:18" ht="13.19999999999999928946" hidden="1">
      <x:c r="Q485" s="49"/>
      <x:c r="R485" s="50"/>
    </x:row>
    <x:row r="486" spans="17:18" ht="13.19999999999999928946" hidden="1">
      <x:c r="Q486" s="49"/>
      <x:c r="R486" s="50"/>
    </x:row>
    <x:row r="487" spans="17:18" ht="13.19999999999999928946" hidden="1">
      <x:c r="Q487" s="49"/>
      <x:c r="R487" s="50"/>
    </x:row>
    <x:row r="488" spans="17:18" ht="13.19999999999999928946" hidden="1">
      <x:c r="Q488" s="49"/>
      <x:c r="R488" s="50"/>
    </x:row>
    <x:row r="489" spans="17:18" ht="13.19999999999999928946" hidden="1">
      <x:c r="Q489" s="49"/>
      <x:c r="R489" s="50"/>
    </x:row>
    <x:row r="490" spans="17:18" ht="13.19999999999999928946" hidden="1">
      <x:c r="Q490" s="49"/>
      <x:c r="R490" s="50"/>
    </x:row>
    <x:row r="491" spans="17:18" ht="13.19999999999999928946" hidden="1">
      <x:c r="Q491" s="49"/>
      <x:c r="R491" s="50"/>
    </x:row>
    <x:row r="492" spans="17:18" ht="13.19999999999999928946" hidden="1">
      <x:c r="Q492" s="49"/>
      <x:c r="R492" s="50"/>
    </x:row>
    <x:row r="493" spans="17:18" ht="13.19999999999999928946" hidden="1">
      <x:c r="Q493" s="49"/>
      <x:c r="R493" s="50"/>
    </x:row>
    <x:row r="494" spans="17:18" ht="13.19999999999999928946" hidden="1">
      <x:c r="Q494" s="49"/>
      <x:c r="R494" s="50"/>
    </x:row>
    <x:row r="495" spans="17:18" ht="13.19999999999999928946" hidden="1">
      <x:c r="Q495" s="49"/>
      <x:c r="R495" s="50"/>
    </x:row>
    <x:row r="496" spans="17:18" ht="13.19999999999999928946" hidden="1">
      <x:c r="Q496" s="49"/>
      <x:c r="R496" s="50"/>
    </x:row>
    <x:row r="497" spans="17:18" ht="13.19999999999999928946" hidden="1">
      <x:c r="Q497" s="49"/>
      <x:c r="R497" s="50"/>
    </x:row>
    <x:row r="498" spans="17:18" ht="13.19999999999999928946" hidden="1">
      <x:c r="Q498" s="49"/>
      <x:c r="R498" s="50"/>
    </x:row>
    <x:row r="499" spans="17:18" ht="13.19999999999999928946" hidden="1">
      <x:c r="Q499" s="49"/>
      <x:c r="R499" s="50"/>
    </x:row>
    <x:row r="500" spans="17:18" ht="13.19999999999999928946" hidden="1">
      <x:c r="Q500" s="49"/>
      <x:c r="R500" s="50"/>
    </x:row>
    <x:row r="501" spans="17:18" ht="13.19999999999999928946" hidden="1">
      <x:c r="Q501" s="49"/>
      <x:c r="R501" s="50"/>
    </x:row>
    <x:row r="502" spans="17:18" ht="13.19999999999999928946" hidden="1">
      <x:c r="Q502" s="49"/>
      <x:c r="R502" s="50"/>
    </x:row>
    <x:row r="503" spans="17:18" ht="13.19999999999999928946" hidden="1">
      <x:c r="Q503" s="49"/>
      <x:c r="R503" s="50"/>
    </x:row>
    <x:row r="504" spans="17:18" ht="13.19999999999999928946" hidden="1">
      <x:c r="Q504" s="49"/>
      <x:c r="R504" s="50"/>
    </x:row>
    <x:row r="505" spans="17:18" ht="13.19999999999999928946" hidden="1">
      <x:c r="Q505" s="49"/>
      <x:c r="R505" s="50"/>
    </x:row>
    <x:row r="506" spans="17:18" ht="13.19999999999999928946" hidden="1">
      <x:c r="Q506" s="49"/>
      <x:c r="R506" s="50"/>
    </x:row>
    <x:row r="507" spans="17:18" ht="13.19999999999999928946" hidden="1">
      <x:c r="Q507" s="49"/>
      <x:c r="R507" s="50"/>
    </x:row>
    <x:row r="508" spans="17:18" ht="13.19999999999999928946" hidden="1">
      <x:c r="Q508" s="49"/>
      <x:c r="R508" s="50"/>
    </x:row>
    <x:row r="509" spans="17:18" ht="13.19999999999999928946" hidden="1">
      <x:c r="Q509" s="49"/>
      <x:c r="R509" s="50"/>
    </x:row>
    <x:row r="510" spans="17:18" ht="13.19999999999999928946" hidden="1">
      <x:c r="Q510" s="49"/>
      <x:c r="R510" s="50"/>
    </x:row>
    <x:row r="511" spans="17:18" ht="13.19999999999999928946" hidden="1">
      <x:c r="Q511" s="49"/>
      <x:c r="R511" s="50"/>
    </x:row>
    <x:row r="512" spans="17:18" ht="13.19999999999999928946" hidden="1">
      <x:c r="Q512" s="49"/>
      <x:c r="R512" s="50"/>
    </x:row>
    <x:row r="513" spans="17:18" ht="13.19999999999999928946" hidden="1">
      <x:c r="Q513" s="49"/>
      <x:c r="R513" s="50"/>
    </x:row>
    <x:row r="514" spans="17:18" ht="13.19999999999999928946" hidden="1">
      <x:c r="Q514" s="49"/>
      <x:c r="R514" s="50"/>
    </x:row>
    <x:row r="515" spans="17:18" ht="13.19999999999999928946" hidden="1">
      <x:c r="Q515" s="49"/>
      <x:c r="R515" s="50"/>
    </x:row>
    <x:row r="516" spans="17:18" ht="13.19999999999999928946" hidden="1">
      <x:c r="Q516" s="49"/>
      <x:c r="R516" s="50"/>
    </x:row>
    <x:row r="517" spans="17:18" ht="13.19999999999999928946" hidden="1">
      <x:c r="Q517" s="49"/>
      <x:c r="R517" s="50"/>
    </x:row>
    <x:row r="518" spans="17:18" ht="13.19999999999999928946" hidden="1">
      <x:c r="Q518" s="49"/>
      <x:c r="R518" s="50"/>
    </x:row>
    <x:row r="519" spans="17:18" ht="13.19999999999999928946" hidden="1">
      <x:c r="Q519" s="49"/>
      <x:c r="R519" s="50"/>
    </x:row>
    <x:row r="520" spans="17:18" ht="13.19999999999999928946" hidden="1">
      <x:c r="Q520" s="49"/>
      <x:c r="R520" s="50"/>
    </x:row>
    <x:row r="521" spans="17:18" ht="13.19999999999999928946" hidden="1">
      <x:c r="Q521" s="49"/>
      <x:c r="R521" s="50"/>
    </x:row>
    <x:row r="522" spans="17:18" ht="13.19999999999999928946" hidden="1">
      <x:c r="Q522" s="49"/>
      <x:c r="R522" s="50"/>
    </x:row>
    <x:row r="523" spans="17:18" ht="13.19999999999999928946" hidden="1">
      <x:c r="Q523" s="49"/>
      <x:c r="R523" s="50"/>
    </x:row>
    <x:row r="524" spans="17:18" ht="13.19999999999999928946" hidden="1">
      <x:c r="Q524" s="49"/>
      <x:c r="R524" s="50"/>
    </x:row>
    <x:row r="525" spans="17:18" ht="13.19999999999999928946" hidden="1">
      <x:c r="Q525" s="49"/>
      <x:c r="R525" s="50"/>
    </x:row>
    <x:row r="526" spans="17:18" ht="13.19999999999999928946" hidden="1">
      <x:c r="Q526" s="49"/>
      <x:c r="R526" s="50"/>
    </x:row>
    <x:row r="527" spans="17:18" ht="13.19999999999999928946" hidden="1">
      <x:c r="Q527" s="49"/>
      <x:c r="R527" s="50"/>
    </x:row>
    <x:row r="528" spans="17:18" ht="13.19999999999999928946" hidden="1">
      <x:c r="Q528" s="49"/>
      <x:c r="R528" s="50"/>
    </x:row>
    <x:row r="529" spans="17:18" ht="13.19999999999999928946" hidden="1">
      <x:c r="Q529" s="49"/>
      <x:c r="R529" s="50"/>
    </x:row>
    <x:row r="530" spans="17:18" ht="13.19999999999999928946" hidden="1">
      <x:c r="Q530" s="49"/>
      <x:c r="R530" s="50"/>
    </x:row>
    <x:row r="531" spans="17:18" ht="13.19999999999999928946" hidden="1">
      <x:c r="Q531" s="49"/>
      <x:c r="R531" s="50"/>
    </x:row>
    <x:row r="532" spans="17:18" ht="13.19999999999999928946" hidden="1">
      <x:c r="Q532" s="49"/>
      <x:c r="R532" s="50"/>
    </x:row>
    <x:row r="533" spans="17:18" ht="13.19999999999999928946" hidden="1">
      <x:c r="Q533" s="49"/>
      <x:c r="R533" s="50"/>
    </x:row>
    <x:row r="534" spans="17:18" ht="13.19999999999999928946" hidden="1">
      <x:c r="Q534" s="49"/>
      <x:c r="R534" s="50"/>
    </x:row>
    <x:row r="535" spans="17:18" ht="13.19999999999999928946" hidden="1">
      <x:c r="Q535" s="49"/>
      <x:c r="R535" s="50"/>
    </x:row>
    <x:row r="536" spans="17:18" ht="13.19999999999999928946" hidden="1">
      <x:c r="Q536" s="49"/>
      <x:c r="R536" s="50"/>
    </x:row>
    <x:row r="537" spans="17:18" ht="13.19999999999999928946" hidden="1">
      <x:c r="Q537" s="49"/>
      <x:c r="R537" s="50"/>
    </x:row>
    <x:row r="538" spans="17:18" ht="13.19999999999999928946" hidden="1">
      <x:c r="Q538" s="49"/>
      <x:c r="R538" s="50"/>
    </x:row>
    <x:row r="539" spans="17:18" ht="13.19999999999999928946" hidden="1">
      <x:c r="Q539" s="49"/>
      <x:c r="R539" s="50"/>
    </x:row>
    <x:row r="540" spans="17:18" ht="13.19999999999999928946" hidden="1">
      <x:c r="Q540" s="49"/>
      <x:c r="R540" s="50"/>
    </x:row>
    <x:row r="541" spans="17:18" ht="13.19999999999999928946" hidden="1">
      <x:c r="Q541" s="49"/>
      <x:c r="R541" s="50"/>
    </x:row>
    <x:row r="542" spans="17:18" ht="13.19999999999999928946" hidden="1">
      <x:c r="Q542" s="49"/>
      <x:c r="R542" s="50"/>
    </x:row>
    <x:row r="543" spans="17:18" ht="13.19999999999999928946" hidden="1">
      <x:c r="Q543" s="49"/>
      <x:c r="R543" s="50"/>
    </x:row>
    <x:row r="544" spans="17:18" ht="13.19999999999999928946" hidden="1">
      <x:c r="Q544" s="49"/>
      <x:c r="R544" s="50"/>
    </x:row>
    <x:row r="545" spans="17:18" ht="13.19999999999999928946" hidden="1">
      <x:c r="Q545" s="49"/>
      <x:c r="R545" s="50"/>
    </x:row>
    <x:row r="546" spans="17:18" ht="13.19999999999999928946" hidden="1">
      <x:c r="Q546" s="49"/>
      <x:c r="R546" s="50"/>
    </x:row>
    <x:row r="547" spans="17:18" ht="13.19999999999999928946" hidden="1">
      <x:c r="Q547" s="49"/>
      <x:c r="R547" s="50"/>
    </x:row>
    <x:row r="548" spans="17:18" ht="13.19999999999999928946" hidden="1">
      <x:c r="Q548" s="49"/>
      <x:c r="R548" s="50"/>
    </x:row>
    <x:row r="549" spans="17:18" ht="13.19999999999999928946" hidden="1">
      <x:c r="Q549" s="49"/>
      <x:c r="R549" s="50"/>
    </x:row>
    <x:row r="550" spans="17:18" ht="13.19999999999999928946" hidden="1">
      <x:c r="Q550" s="49"/>
      <x:c r="R550" s="50"/>
    </x:row>
    <x:row r="551" spans="17:18" ht="13.19999999999999928946" hidden="1">
      <x:c r="Q551" s="49"/>
      <x:c r="R551" s="50"/>
    </x:row>
    <x:row r="552" spans="17:18" ht="13.19999999999999928946" hidden="1">
      <x:c r="Q552" s="49"/>
      <x:c r="R552" s="50"/>
    </x:row>
    <x:row r="553" spans="17:18" ht="13.19999999999999928946" hidden="1">
      <x:c r="Q553" s="49"/>
      <x:c r="R553" s="50"/>
    </x:row>
    <x:row r="554" spans="17:18" ht="13.19999999999999928946" hidden="1">
      <x:c r="Q554" s="49"/>
      <x:c r="R554" s="50"/>
    </x:row>
    <x:row r="555" spans="17:18" ht="13.19999999999999928946" hidden="1">
      <x:c r="Q555" s="49"/>
      <x:c r="R555" s="50"/>
    </x:row>
    <x:row r="556" spans="17:18" ht="13.19999999999999928946" hidden="1">
      <x:c r="Q556" s="49"/>
      <x:c r="R556" s="50"/>
    </x:row>
    <x:row r="557" spans="17:18" ht="13.19999999999999928946" hidden="1">
      <x:c r="Q557" s="49"/>
      <x:c r="R557" s="50"/>
    </x:row>
    <x:row r="558" spans="17:18" ht="13.19999999999999928946" hidden="1">
      <x:c r="Q558" s="49"/>
      <x:c r="R558" s="50"/>
    </x:row>
    <x:row r="559" spans="17:18" ht="13.19999999999999928946" hidden="1">
      <x:c r="Q559" s="49"/>
      <x:c r="R559" s="50"/>
    </x:row>
    <x:row r="560" spans="17:18" ht="13.19999999999999928946" hidden="1">
      <x:c r="Q560" s="49"/>
      <x:c r="R560" s="50"/>
    </x:row>
    <x:row r="561" spans="17:18" ht="13.19999999999999928946" hidden="1">
      <x:c r="Q561" s="49"/>
      <x:c r="R561" s="50"/>
    </x:row>
    <x:row r="562" spans="17:18" ht="13.19999999999999928946" hidden="1">
      <x:c r="Q562" s="49"/>
      <x:c r="R562" s="50"/>
    </x:row>
    <x:row r="563" spans="17:18" ht="13.19999999999999928946" hidden="1">
      <x:c r="Q563" s="49"/>
      <x:c r="R563" s="50"/>
    </x:row>
    <x:row r="564" spans="17:18" ht="13.19999999999999928946" hidden="1">
      <x:c r="Q564" s="49"/>
      <x:c r="R564" s="50"/>
    </x:row>
    <x:row r="565" spans="17:18" ht="13.19999999999999928946" hidden="1">
      <x:c r="Q565" s="49"/>
      <x:c r="R565" s="50"/>
    </x:row>
    <x:row r="566" spans="17:18" ht="13.19999999999999928946" hidden="1">
      <x:c r="Q566" s="49"/>
      <x:c r="R566" s="50"/>
    </x:row>
    <x:row r="567" spans="17:18" ht="13.19999999999999928946" hidden="1">
      <x:c r="Q567" s="49"/>
      <x:c r="R567" s="50"/>
    </x:row>
    <x:row r="568" spans="17:18" ht="13.19999999999999928946" hidden="1">
      <x:c r="Q568" s="49"/>
      <x:c r="R568" s="50"/>
    </x:row>
    <x:row r="569" spans="17:18" ht="13.19999999999999928946" hidden="1">
      <x:c r="Q569" s="49"/>
      <x:c r="R569" s="50"/>
    </x:row>
    <x:row r="570" spans="17:18" ht="13.19999999999999928946" hidden="1">
      <x:c r="Q570" s="49"/>
      <x:c r="R570" s="50"/>
    </x:row>
    <x:row r="571" spans="17:18" ht="13.19999999999999928946" hidden="1">
      <x:c r="Q571" s="49"/>
      <x:c r="R571" s="50"/>
    </x:row>
    <x:row r="572" spans="17:18" ht="13.19999999999999928946" hidden="1">
      <x:c r="Q572" s="49"/>
      <x:c r="R572" s="50"/>
    </x:row>
    <x:row r="573" spans="17:18" ht="13.19999999999999928946" hidden="1">
      <x:c r="Q573" s="49"/>
      <x:c r="R573" s="50"/>
    </x:row>
    <x:row r="574" spans="17:18" ht="13.19999999999999928946" hidden="1">
      <x:c r="Q574" s="49"/>
      <x:c r="R574" s="50"/>
    </x:row>
    <x:row r="575" spans="17:18" ht="13.19999999999999928946" hidden="1">
      <x:c r="Q575" s="49"/>
      <x:c r="R575" s="50"/>
    </x:row>
    <x:row r="576" spans="17:18" ht="13.19999999999999928946" hidden="1">
      <x:c r="Q576" s="49"/>
      <x:c r="R576" s="50"/>
    </x:row>
    <x:row r="577" spans="17:18" ht="13.19999999999999928946" hidden="1">
      <x:c r="Q577" s="49"/>
      <x:c r="R577" s="50"/>
    </x:row>
    <x:row r="578" spans="17:18" ht="13.19999999999999928946" hidden="1">
      <x:c r="Q578" s="49"/>
      <x:c r="R578" s="50"/>
    </x:row>
    <x:row r="579" spans="17:18" ht="13.19999999999999928946" hidden="1">
      <x:c r="Q579" s="49"/>
      <x:c r="R579" s="50"/>
    </x:row>
    <x:row r="580" spans="17:18" ht="13.19999999999999928946" hidden="1">
      <x:c r="Q580" s="49"/>
      <x:c r="R580" s="50"/>
    </x:row>
    <x:row r="581" spans="17:18" ht="13.19999999999999928946" hidden="1">
      <x:c r="Q581" s="49"/>
      <x:c r="R581" s="50"/>
    </x:row>
    <x:row r="582" spans="17:18" ht="13.19999999999999928946" hidden="1">
      <x:c r="Q582" s="49"/>
      <x:c r="R582" s="50"/>
    </x:row>
    <x:row r="583" spans="17:18" ht="13.19999999999999928946" hidden="1">
      <x:c r="Q583" s="49"/>
      <x:c r="R583" s="50"/>
    </x:row>
    <x:row r="584" spans="17:18" ht="13.19999999999999928946" hidden="1">
      <x:c r="Q584" s="49"/>
      <x:c r="R584" s="50"/>
    </x:row>
    <x:row r="585" spans="17:18" ht="13.19999999999999928946" hidden="1">
      <x:c r="Q585" s="49"/>
      <x:c r="R585" s="50"/>
    </x:row>
    <x:row r="586" spans="17:18" ht="13.19999999999999928946" hidden="1">
      <x:c r="Q586" s="49"/>
      <x:c r="R586" s="50"/>
    </x:row>
    <x:row r="587" spans="17:18" ht="13.19999999999999928946" hidden="1">
      <x:c r="Q587" s="49"/>
      <x:c r="R587" s="50"/>
    </x:row>
    <x:row r="588" spans="17:18" ht="13.19999999999999928946" hidden="1">
      <x:c r="Q588" s="49"/>
      <x:c r="R588" s="50"/>
    </x:row>
    <x:row r="589" spans="17:18" ht="13.19999999999999928946" hidden="1">
      <x:c r="Q589" s="49"/>
      <x:c r="R589" s="50"/>
    </x:row>
    <x:row r="590" spans="17:18" ht="13.19999999999999928946" hidden="1">
      <x:c r="Q590" s="49"/>
      <x:c r="R590" s="50"/>
    </x:row>
    <x:row r="591" spans="17:18" ht="13.19999999999999928946" hidden="1">
      <x:c r="Q591" s="49"/>
      <x:c r="R591" s="50"/>
    </x:row>
    <x:row r="592" spans="17:18" ht="13.19999999999999928946" hidden="1">
      <x:c r="Q592" s="49"/>
      <x:c r="R592" s="50"/>
    </x:row>
    <x:row r="593" spans="17:18" ht="13.19999999999999928946" hidden="1">
      <x:c r="Q593" s="49"/>
      <x:c r="R593" s="50"/>
    </x:row>
    <x:row r="594" spans="17:18" ht="13.19999999999999928946" hidden="1">
      <x:c r="Q594" s="49"/>
      <x:c r="R594" s="50"/>
    </x:row>
    <x:row r="595" spans="17:18" ht="13.19999999999999928946" hidden="1">
      <x:c r="Q595" s="49"/>
      <x:c r="R595" s="50"/>
    </x:row>
    <x:row r="596" spans="17:18" ht="13.19999999999999928946" hidden="1">
      <x:c r="Q596" s="49"/>
      <x:c r="R596" s="50"/>
    </x:row>
    <x:row r="597" spans="17:18" ht="13.19999999999999928946" hidden="1">
      <x:c r="Q597" s="49"/>
      <x:c r="R597" s="50"/>
    </x:row>
    <x:row r="598" spans="17:18" ht="13.19999999999999928946" hidden="1">
      <x:c r="Q598" s="49"/>
      <x:c r="R598" s="50"/>
    </x:row>
    <x:row r="599" spans="17:18" ht="13.19999999999999928946" hidden="1">
      <x:c r="Q599" s="49"/>
      <x:c r="R599" s="50"/>
    </x:row>
    <x:row r="600" spans="17:18" ht="13.19999999999999928946" hidden="1">
      <x:c r="Q600" s="49"/>
      <x:c r="R600" s="50"/>
    </x:row>
    <x:row r="601" spans="17:18" ht="13.19999999999999928946" hidden="1">
      <x:c r="Q601" s="49"/>
      <x:c r="R601" s="50"/>
    </x:row>
    <x:row r="602" spans="17:18" ht="13.19999999999999928946" hidden="1">
      <x:c r="Q602" s="49"/>
      <x:c r="R602" s="50"/>
    </x:row>
    <x:row r="603" spans="17:18" ht="13.19999999999999928946" hidden="1">
      <x:c r="Q603" s="49"/>
      <x:c r="R603" s="50"/>
    </x:row>
    <x:row r="604" spans="17:18" ht="13.19999999999999928946" hidden="1">
      <x:c r="Q604" s="49"/>
      <x:c r="R604" s="50"/>
    </x:row>
    <x:row r="605" spans="17:18" ht="13.19999999999999928946" hidden="1">
      <x:c r="Q605" s="49"/>
      <x:c r="R605" s="50"/>
    </x:row>
    <x:row r="606" spans="17:18" ht="13.19999999999999928946" hidden="1">
      <x:c r="Q606" s="49"/>
      <x:c r="R606" s="50"/>
    </x:row>
    <x:row r="607" spans="17:18" ht="13.19999999999999928946" hidden="1">
      <x:c r="Q607" s="49"/>
      <x:c r="R607" s="50"/>
    </x:row>
    <x:row r="608" spans="17:18" ht="13.19999999999999928946" hidden="1">
      <x:c r="Q608" s="49"/>
      <x:c r="R608" s="50"/>
    </x:row>
    <x:row r="609" spans="17:18" ht="13.19999999999999928946" hidden="1">
      <x:c r="Q609" s="49"/>
      <x:c r="R609" s="50"/>
    </x:row>
    <x:row r="610" spans="17:18" ht="13.19999999999999928946" hidden="1">
      <x:c r="Q610" s="49"/>
      <x:c r="R610" s="50"/>
    </x:row>
    <x:row r="611" spans="17:18" ht="13.19999999999999928946" hidden="1">
      <x:c r="Q611" s="49"/>
      <x:c r="R611" s="50"/>
    </x:row>
    <x:row r="612" spans="17:18" ht="13.19999999999999928946" hidden="1">
      <x:c r="Q612" s="49"/>
      <x:c r="R612" s="50"/>
    </x:row>
    <x:row r="613" spans="17:18" ht="13.19999999999999928946" hidden="1">
      <x:c r="Q613" s="49"/>
      <x:c r="R613" s="50"/>
    </x:row>
    <x:row r="614" spans="17:18" ht="13.19999999999999928946" hidden="1">
      <x:c r="Q614" s="49"/>
      <x:c r="R614" s="50"/>
    </x:row>
    <x:row r="615" spans="17:18" ht="13.19999999999999928946" hidden="1">
      <x:c r="Q615" s="49"/>
      <x:c r="R615" s="50"/>
    </x:row>
    <x:row r="616" spans="17:18" ht="13.19999999999999928946" hidden="1">
      <x:c r="Q616" s="49"/>
      <x:c r="R616" s="50"/>
    </x:row>
    <x:row r="617" spans="17:18" ht="13.19999999999999928946" hidden="1">
      <x:c r="Q617" s="49"/>
      <x:c r="R617" s="50"/>
    </x:row>
    <x:row r="618" spans="17:18" ht="13.19999999999999928946" hidden="1">
      <x:c r="Q618" s="49"/>
      <x:c r="R618" s="50"/>
    </x:row>
    <x:row r="619" spans="17:18" ht="13.19999999999999928946" hidden="1">
      <x:c r="Q619" s="49"/>
      <x:c r="R619" s="50"/>
    </x:row>
    <x:row r="620" spans="17:18" ht="13.19999999999999928946" hidden="1">
      <x:c r="Q620" s="49"/>
      <x:c r="R620" s="50"/>
    </x:row>
    <x:row r="621" spans="17:18" ht="13.19999999999999928946" hidden="1">
      <x:c r="Q621" s="49"/>
      <x:c r="R621" s="50"/>
    </x:row>
    <x:row r="622" spans="17:18" ht="13.19999999999999928946" hidden="1">
      <x:c r="Q622" s="49"/>
      <x:c r="R622" s="50"/>
    </x:row>
    <x:row r="623" spans="17:18" ht="13.19999999999999928946" hidden="1">
      <x:c r="Q623" s="49"/>
      <x:c r="R623" s="50"/>
    </x:row>
    <x:row r="624" spans="17:18" ht="13.19999999999999928946" hidden="1">
      <x:c r="Q624" s="49"/>
      <x:c r="R624" s="50"/>
    </x:row>
    <x:row r="625" spans="17:18" ht="13.19999999999999928946" hidden="1">
      <x:c r="Q625" s="49"/>
      <x:c r="R625" s="50"/>
    </x:row>
    <x:row r="626" spans="17:18" ht="13.19999999999999928946" hidden="1">
      <x:c r="Q626" s="49"/>
      <x:c r="R626" s="50"/>
    </x:row>
    <x:row r="627" spans="17:18" ht="13.19999999999999928946" hidden="1">
      <x:c r="Q627" s="49"/>
      <x:c r="R627" s="50"/>
    </x:row>
    <x:row r="628" spans="17:18" ht="13.19999999999999928946" hidden="1">
      <x:c r="Q628" s="49"/>
      <x:c r="R628" s="50"/>
    </x:row>
    <x:row r="629" spans="17:18" ht="13.19999999999999928946" hidden="1">
      <x:c r="Q629" s="49"/>
      <x:c r="R629" s="50"/>
    </x:row>
    <x:row r="630" spans="17:18" ht="13.19999999999999928946" hidden="1">
      <x:c r="Q630" s="49"/>
      <x:c r="R630" s="50"/>
    </x:row>
    <x:row r="631" spans="17:18" ht="13.19999999999999928946" hidden="1">
      <x:c r="Q631" s="49"/>
      <x:c r="R631" s="50"/>
    </x:row>
    <x:row r="632" spans="17:18" ht="13.19999999999999928946" hidden="1">
      <x:c r="Q632" s="49"/>
      <x:c r="R632" s="50"/>
    </x:row>
    <x:row r="633" spans="17:18" ht="13.19999999999999928946" hidden="1">
      <x:c r="Q633" s="49"/>
      <x:c r="R633" s="50"/>
    </x:row>
    <x:row r="634" spans="17:18" ht="13.19999999999999928946" hidden="1">
      <x:c r="Q634" s="49"/>
      <x:c r="R634" s="50"/>
    </x:row>
    <x:row r="635" spans="17:18" ht="13.19999999999999928946" hidden="1">
      <x:c r="Q635" s="49"/>
      <x:c r="R635" s="50"/>
    </x:row>
    <x:row r="636" spans="17:18" ht="13.19999999999999928946" hidden="1">
      <x:c r="Q636" s="49"/>
      <x:c r="R636" s="50"/>
    </x:row>
    <x:row r="637" spans="17:18" ht="13.19999999999999928946" hidden="1">
      <x:c r="Q637" s="49"/>
      <x:c r="R637" s="50"/>
    </x:row>
    <x:row r="638" spans="17:18" ht="13.19999999999999928946" hidden="1">
      <x:c r="Q638" s="49"/>
      <x:c r="R638" s="50"/>
    </x:row>
    <x:row r="639" spans="17:18" ht="13.19999999999999928946" hidden="1">
      <x:c r="Q639" s="49"/>
      <x:c r="R639" s="50"/>
    </x:row>
    <x:row r="640" spans="17:18" ht="13.19999999999999928946" hidden="1">
      <x:c r="Q640" s="49"/>
      <x:c r="R640" s="50"/>
    </x:row>
    <x:row r="641" spans="17:18" ht="13.19999999999999928946" hidden="1">
      <x:c r="Q641" s="49"/>
      <x:c r="R641" s="50"/>
    </x:row>
    <x:row r="642" spans="17:18" ht="13.19999999999999928946" hidden="1">
      <x:c r="Q642" s="49"/>
      <x:c r="R642" s="50"/>
    </x:row>
    <x:row r="643" spans="17:18" ht="13.19999999999999928946" hidden="1">
      <x:c r="Q643" s="49"/>
      <x:c r="R643" s="50"/>
    </x:row>
    <x:row r="644" spans="17:18" ht="13.19999999999999928946" hidden="1">
      <x:c r="Q644" s="49"/>
      <x:c r="R644" s="50"/>
    </x:row>
    <x:row r="645" spans="17:18" ht="13.19999999999999928946" hidden="1">
      <x:c r="Q645" s="49"/>
      <x:c r="R645" s="50"/>
    </x:row>
    <x:row r="646" spans="17:18" ht="13.19999999999999928946" hidden="1">
      <x:c r="Q646" s="49"/>
      <x:c r="R646" s="50"/>
    </x:row>
    <x:row r="647" spans="17:18" ht="13.19999999999999928946" hidden="1">
      <x:c r="Q647" s="49"/>
      <x:c r="R647" s="50"/>
    </x:row>
    <x:row r="648" spans="17:18" ht="13.19999999999999928946" hidden="1">
      <x:c r="Q648" s="49"/>
      <x:c r="R648" s="50"/>
    </x:row>
    <x:row r="649" spans="17:18" ht="13.19999999999999928946" hidden="1">
      <x:c r="Q649" s="49"/>
      <x:c r="R649" s="50"/>
    </x:row>
    <x:row r="650" spans="17:18" ht="13.19999999999999928946" hidden="1">
      <x:c r="Q650" s="49"/>
      <x:c r="R650" s="50"/>
    </x:row>
    <x:row r="651" spans="17:18" ht="13.19999999999999928946" hidden="1">
      <x:c r="Q651" s="49"/>
      <x:c r="R651" s="50"/>
    </x:row>
    <x:row r="652" spans="17:18" ht="13.19999999999999928946" hidden="1">
      <x:c r="Q652" s="49"/>
      <x:c r="R652" s="50"/>
    </x:row>
    <x:row r="653" spans="17:18" ht="13.19999999999999928946" hidden="1">
      <x:c r="Q653" s="49"/>
      <x:c r="R653" s="50"/>
    </x:row>
    <x:row r="654" spans="17:18" ht="13.19999999999999928946" hidden="1">
      <x:c r="Q654" s="49"/>
      <x:c r="R654" s="50"/>
    </x:row>
    <x:row r="655" spans="17:18" ht="13.19999999999999928946" hidden="1">
      <x:c r="Q655" s="49"/>
      <x:c r="R655" s="50"/>
    </x:row>
    <x:row r="656" spans="17:18" ht="13.19999999999999928946" hidden="1">
      <x:c r="Q656" s="49"/>
      <x:c r="R656" s="50"/>
    </x:row>
    <x:row r="657" spans="17:18" ht="13.19999999999999928946" hidden="1">
      <x:c r="Q657" s="49"/>
      <x:c r="R657" s="50"/>
    </x:row>
    <x:row r="658" spans="17:18" ht="13.19999999999999928946" hidden="1">
      <x:c r="Q658" s="49"/>
      <x:c r="R658" s="50"/>
    </x:row>
    <x:row r="659" spans="17:18" ht="13.19999999999999928946" hidden="1">
      <x:c r="Q659" s="49"/>
      <x:c r="R659" s="50"/>
    </x:row>
    <x:row r="660" spans="17:18" ht="13.19999999999999928946" hidden="1">
      <x:c r="Q660" s="49"/>
      <x:c r="R660" s="50"/>
    </x:row>
    <x:row r="661" spans="17:18" ht="13.19999999999999928946" hidden="1">
      <x:c r="Q661" s="49"/>
      <x:c r="R661" s="50"/>
    </x:row>
    <x:row r="662" spans="17:18" ht="13.19999999999999928946" hidden="1">
      <x:c r="Q662" s="49"/>
      <x:c r="R662" s="50"/>
    </x:row>
    <x:row r="663" spans="17:18" ht="13.19999999999999928946" hidden="1">
      <x:c r="Q663" s="49"/>
      <x:c r="R663" s="50"/>
    </x:row>
    <x:row r="664" spans="17:18" ht="13.19999999999999928946" hidden="1">
      <x:c r="Q664" s="49"/>
      <x:c r="R664" s="50"/>
    </x:row>
    <x:row r="665" spans="17:18" ht="13.19999999999999928946" hidden="1">
      <x:c r="Q665" s="49"/>
      <x:c r="R665" s="50"/>
    </x:row>
    <x:row r="666" spans="17:18" ht="13.19999999999999928946" hidden="1">
      <x:c r="Q666" s="49"/>
      <x:c r="R666" s="50"/>
    </x:row>
    <x:row r="667" spans="17:18" ht="13.19999999999999928946" hidden="1">
      <x:c r="Q667" s="49"/>
      <x:c r="R667" s="50"/>
    </x:row>
    <x:row r="668" spans="17:18" ht="13.19999999999999928946" hidden="1">
      <x:c r="Q668" s="49"/>
      <x:c r="R668" s="50"/>
    </x:row>
    <x:row r="669" spans="17:18" ht="13.19999999999999928946" hidden="1">
      <x:c r="Q669" s="49"/>
      <x:c r="R669" s="50"/>
    </x:row>
    <x:row r="670" spans="17:18" ht="13.19999999999999928946" hidden="1">
      <x:c r="Q670" s="49"/>
      <x:c r="R670" s="50"/>
    </x:row>
    <x:row r="671" spans="17:18" ht="13.19999999999999928946" hidden="1">
      <x:c r="Q671" s="49"/>
      <x:c r="R671" s="50"/>
    </x:row>
    <x:row r="672" spans="17:18" ht="13.19999999999999928946" hidden="1">
      <x:c r="Q672" s="49"/>
      <x:c r="R672" s="50"/>
    </x:row>
    <x:row r="673" spans="17:18" ht="13.19999999999999928946" hidden="1">
      <x:c r="Q673" s="49"/>
      <x:c r="R673" s="50"/>
    </x:row>
    <x:row r="674" spans="17:18" ht="13.19999999999999928946" hidden="1">
      <x:c r="Q674" s="49"/>
      <x:c r="R674" s="50"/>
    </x:row>
    <x:row r="675" spans="17:18" ht="13.19999999999999928946" hidden="1">
      <x:c r="Q675" s="49"/>
      <x:c r="R675" s="50"/>
    </x:row>
    <x:row r="676" spans="17:18" ht="13.19999999999999928946" hidden="1">
      <x:c r="Q676" s="49"/>
      <x:c r="R676" s="50"/>
    </x:row>
    <x:row r="677" spans="17:18" ht="13.19999999999999928946" hidden="1">
      <x:c r="Q677" s="49"/>
      <x:c r="R677" s="50"/>
    </x:row>
    <x:row r="678" spans="17:18" ht="13.19999999999999928946" hidden="1">
      <x:c r="Q678" s="49"/>
      <x:c r="R678" s="50"/>
    </x:row>
    <x:row r="679" spans="17:18" ht="13.19999999999999928946" hidden="1">
      <x:c r="Q679" s="49"/>
      <x:c r="R679" s="50"/>
    </x:row>
    <x:row r="680" spans="17:18" ht="13.19999999999999928946" hidden="1">
      <x:c r="Q680" s="49"/>
      <x:c r="R680" s="50"/>
    </x:row>
    <x:row r="681" spans="17:18" ht="13.19999999999999928946" hidden="1">
      <x:c r="Q681" s="49"/>
      <x:c r="R681" s="50"/>
    </x:row>
    <x:row r="682" spans="17:18" ht="13.19999999999999928946" hidden="1">
      <x:c r="Q682" s="49"/>
      <x:c r="R682" s="50"/>
    </x:row>
    <x:row r="683" spans="17:18" ht="13.19999999999999928946" hidden="1">
      <x:c r="Q683" s="49"/>
      <x:c r="R683" s="50"/>
    </x:row>
    <x:row r="684" spans="17:18" ht="13.19999999999999928946" hidden="1">
      <x:c r="Q684" s="49"/>
      <x:c r="R684" s="50"/>
    </x:row>
    <x:row r="685" spans="17:18" ht="13.19999999999999928946" hidden="1">
      <x:c r="Q685" s="49"/>
      <x:c r="R685" s="50"/>
    </x:row>
    <x:row r="686" spans="17:18" ht="13.19999999999999928946" hidden="1">
      <x:c r="Q686" s="49"/>
      <x:c r="R686" s="50"/>
    </x:row>
    <x:row r="687" spans="17:18" ht="13.19999999999999928946" hidden="1">
      <x:c r="Q687" s="49"/>
      <x:c r="R687" s="50"/>
    </x:row>
    <x:row r="688" spans="17:18" ht="13.19999999999999928946" hidden="1">
      <x:c r="Q688" s="49"/>
      <x:c r="R688" s="50"/>
    </x:row>
    <x:row r="689" spans="17:18" ht="13.19999999999999928946" hidden="1">
      <x:c r="Q689" s="49"/>
      <x:c r="R689" s="50"/>
    </x:row>
    <x:row r="690" spans="17:18" ht="13.19999999999999928946" hidden="1">
      <x:c r="Q690" s="49"/>
      <x:c r="R690" s="50"/>
    </x:row>
    <x:row r="691" spans="17:18" ht="13.19999999999999928946" hidden="1">
      <x:c r="Q691" s="49"/>
      <x:c r="R691" s="50"/>
    </x:row>
    <x:row r="692" spans="17:18" ht="13.19999999999999928946" hidden="1">
      <x:c r="Q692" s="49"/>
      <x:c r="R692" s="50"/>
    </x:row>
    <x:row r="693" spans="17:18" ht="13.19999999999999928946" hidden="1">
      <x:c r="Q693" s="49"/>
      <x:c r="R693" s="50"/>
    </x:row>
    <x:row r="694" spans="17:18" ht="13.19999999999999928946" hidden="1">
      <x:c r="Q694" s="49"/>
      <x:c r="R694" s="50"/>
    </x:row>
    <x:row r="695" spans="17:18" ht="13.19999999999999928946" hidden="1">
      <x:c r="Q695" s="49"/>
      <x:c r="R695" s="50"/>
    </x:row>
    <x:row r="696" spans="17:18" ht="13.19999999999999928946" hidden="1">
      <x:c r="Q696" s="49"/>
      <x:c r="R696" s="50"/>
    </x:row>
    <x:row r="697" spans="17:18" ht="13.19999999999999928946" hidden="1">
      <x:c r="Q697" s="49"/>
      <x:c r="R697" s="50"/>
    </x:row>
    <x:row r="698" spans="17:18" ht="13.19999999999999928946" hidden="1">
      <x:c r="Q698" s="49"/>
      <x:c r="R698" s="50"/>
    </x:row>
    <x:row r="699" spans="17:18" ht="13.19999999999999928946" hidden="1">
      <x:c r="Q699" s="49"/>
      <x:c r="R699" s="50"/>
    </x:row>
    <x:row r="700" spans="17:18" ht="13.19999999999999928946" hidden="1">
      <x:c r="Q700" s="49"/>
      <x:c r="R700" s="50"/>
    </x:row>
    <x:row r="701" spans="17:18" ht="13.19999999999999928946" hidden="1">
      <x:c r="Q701" s="49"/>
      <x:c r="R701" s="50"/>
    </x:row>
    <x:row r="702" spans="17:18" ht="13.19999999999999928946" hidden="1">
      <x:c r="Q702" s="49"/>
      <x:c r="R702" s="50"/>
    </x:row>
    <x:row r="703" spans="17:18" ht="13.19999999999999928946" hidden="1">
      <x:c r="Q703" s="49"/>
      <x:c r="R703" s="50"/>
    </x:row>
    <x:row r="704" spans="17:18" ht="13.19999999999999928946" hidden="1">
      <x:c r="Q704" s="49"/>
      <x:c r="R704" s="50"/>
    </x:row>
    <x:row r="705" spans="17:18" ht="13.19999999999999928946" hidden="1">
      <x:c r="Q705" s="49"/>
      <x:c r="R705" s="50"/>
    </x:row>
    <x:row r="706" spans="17:18" ht="13.19999999999999928946" hidden="1">
      <x:c r="Q706" s="49"/>
      <x:c r="R706" s="50"/>
    </x:row>
    <x:row r="707" spans="17:18" ht="13.19999999999999928946" hidden="1">
      <x:c r="Q707" s="49"/>
      <x:c r="R707" s="50"/>
    </x:row>
    <x:row r="708" spans="17:18" ht="13.19999999999999928946" hidden="1">
      <x:c r="Q708" s="49"/>
      <x:c r="R708" s="50"/>
    </x:row>
    <x:row r="709" spans="17:18" ht="13.19999999999999928946" hidden="1">
      <x:c r="Q709" s="49"/>
      <x:c r="R709" s="50"/>
    </x:row>
    <x:row r="710" spans="17:18" ht="13.19999999999999928946" hidden="1">
      <x:c r="Q710" s="49"/>
      <x:c r="R710" s="50"/>
    </x:row>
    <x:row r="711" spans="17:18" ht="13.19999999999999928946" hidden="1">
      <x:c r="Q711" s="49"/>
      <x:c r="R711" s="50"/>
    </x:row>
    <x:row r="712" spans="17:18" ht="13.19999999999999928946" hidden="1">
      <x:c r="Q712" s="49"/>
      <x:c r="R712" s="50"/>
    </x:row>
    <x:row r="713" spans="17:18" ht="13.19999999999999928946" hidden="1">
      <x:c r="Q713" s="49"/>
      <x:c r="R713" s="50"/>
    </x:row>
    <x:row r="714" spans="17:18" ht="13.19999999999999928946" hidden="1">
      <x:c r="Q714" s="49"/>
      <x:c r="R714" s="50"/>
    </x:row>
    <x:row r="715" spans="17:18" ht="13.19999999999999928946" hidden="1">
      <x:c r="Q715" s="49"/>
      <x:c r="R715" s="50"/>
    </x:row>
    <x:row r="716" spans="17:18" ht="13.19999999999999928946" hidden="1">
      <x:c r="Q716" s="49"/>
      <x:c r="R716" s="50"/>
    </x:row>
    <x:row r="717" spans="17:18" ht="13.19999999999999928946" hidden="1">
      <x:c r="Q717" s="49"/>
      <x:c r="R717" s="50"/>
    </x:row>
    <x:row r="718" spans="17:18" ht="13.19999999999999928946" hidden="1">
      <x:c r="Q718" s="49"/>
      <x:c r="R718" s="50"/>
    </x:row>
    <x:row r="719" spans="17:18" ht="13.19999999999999928946" hidden="1">
      <x:c r="Q719" s="49"/>
      <x:c r="R719" s="50"/>
    </x:row>
    <x:row r="720" spans="17:18" ht="13.19999999999999928946" hidden="1">
      <x:c r="Q720" s="49"/>
      <x:c r="R720" s="50"/>
    </x:row>
    <x:row r="721" spans="17:18" ht="13.19999999999999928946" hidden="1">
      <x:c r="Q721" s="49"/>
      <x:c r="R721" s="50"/>
    </x:row>
    <x:row r="722" spans="17:18" ht="13.19999999999999928946" hidden="1">
      <x:c r="Q722" s="49"/>
      <x:c r="R722" s="50"/>
    </x:row>
    <x:row r="723" spans="17:18" ht="13.19999999999999928946" hidden="1">
      <x:c r="Q723" s="49"/>
      <x:c r="R723" s="50"/>
    </x:row>
    <x:row r="724" spans="17:18" ht="13.19999999999999928946" hidden="1">
      <x:c r="Q724" s="49"/>
      <x:c r="R724" s="50"/>
    </x:row>
    <x:row r="725" spans="17:18" ht="13.19999999999999928946" hidden="1">
      <x:c r="Q725" s="49"/>
      <x:c r="R725" s="50"/>
    </x:row>
    <x:row r="726" spans="17:18" ht="13.19999999999999928946" hidden="1">
      <x:c r="Q726" s="49"/>
      <x:c r="R726" s="50"/>
    </x:row>
    <x:row r="727" spans="17:18" ht="13.19999999999999928946" hidden="1">
      <x:c r="Q727" s="49"/>
      <x:c r="R727" s="50"/>
    </x:row>
    <x:row r="728" spans="17:18" ht="13.19999999999999928946" hidden="1">
      <x:c r="Q728" s="49"/>
      <x:c r="R728" s="50"/>
    </x:row>
    <x:row r="729" spans="17:18" ht="13.19999999999999928946" hidden="1">
      <x:c r="Q729" s="49"/>
      <x:c r="R729" s="50"/>
    </x:row>
    <x:row r="730" spans="17:18" ht="13.19999999999999928946" hidden="1">
      <x:c r="Q730" s="49"/>
      <x:c r="R730" s="50"/>
    </x:row>
    <x:row r="731" spans="17:18" ht="13.19999999999999928946" hidden="1">
      <x:c r="Q731" s="49"/>
      <x:c r="R731" s="50"/>
    </x:row>
    <x:row r="732" spans="17:18" ht="13.19999999999999928946" hidden="1">
      <x:c r="Q732" s="49"/>
      <x:c r="R732" s="50"/>
    </x:row>
    <x:row r="733" spans="17:18" ht="13.19999999999999928946" hidden="1">
      <x:c r="Q733" s="49"/>
      <x:c r="R733" s="50"/>
    </x:row>
    <x:row r="734" spans="17:18" ht="13.19999999999999928946" hidden="1">
      <x:c r="Q734" s="49"/>
      <x:c r="R734" s="50"/>
    </x:row>
    <x:row r="735" spans="17:18" ht="13.19999999999999928946" hidden="1">
      <x:c r="Q735" s="49"/>
      <x:c r="R735" s="50"/>
    </x:row>
    <x:row r="736" spans="17:18" ht="13.19999999999999928946" hidden="1">
      <x:c r="Q736" s="49"/>
      <x:c r="R736" s="50"/>
    </x:row>
    <x:row r="737" spans="17:18" ht="13.19999999999999928946" hidden="1">
      <x:c r="Q737" s="49"/>
      <x:c r="R737" s="50"/>
    </x:row>
    <x:row r="738" spans="17:18" ht="13.19999999999999928946" hidden="1">
      <x:c r="Q738" s="49"/>
      <x:c r="R738" s="50"/>
    </x:row>
    <x:row r="739" spans="17:18" ht="13.19999999999999928946" hidden="1">
      <x:c r="Q739" s="49"/>
      <x:c r="R739" s="50"/>
    </x:row>
    <x:row r="740" spans="17:18" ht="13.19999999999999928946" hidden="1">
      <x:c r="Q740" s="49"/>
      <x:c r="R740" s="50"/>
    </x:row>
    <x:row r="741" spans="17:18" ht="13.19999999999999928946" hidden="1">
      <x:c r="Q741" s="49"/>
      <x:c r="R741" s="50"/>
    </x:row>
    <x:row r="742" spans="17:18" ht="13.19999999999999928946" hidden="1">
      <x:c r="Q742" s="49"/>
      <x:c r="R742" s="50"/>
    </x:row>
    <x:row r="743" spans="17:18" ht="13.19999999999999928946" hidden="1">
      <x:c r="Q743" s="49"/>
      <x:c r="R743" s="50"/>
    </x:row>
    <x:row r="744" spans="17:18" ht="13.19999999999999928946" hidden="1">
      <x:c r="Q744" s="49"/>
      <x:c r="R744" s="50"/>
    </x:row>
    <x:row r="745" spans="17:18" ht="13.19999999999999928946" hidden="1">
      <x:c r="Q745" s="49"/>
      <x:c r="R745" s="50"/>
    </x:row>
    <x:row r="746" spans="17:18" ht="13.19999999999999928946" hidden="1">
      <x:c r="Q746" s="49"/>
      <x:c r="R746" s="50"/>
    </x:row>
    <x:row r="747" spans="17:18" ht="13.19999999999999928946" hidden="1">
      <x:c r="Q747" s="49"/>
      <x:c r="R747" s="50"/>
    </x:row>
    <x:row r="748" spans="17:18" ht="13.19999999999999928946" hidden="1">
      <x:c r="Q748" s="49"/>
      <x:c r="R748" s="50"/>
    </x:row>
    <x:row r="749" spans="17:18" ht="13.19999999999999928946" hidden="1">
      <x:c r="Q749" s="49"/>
      <x:c r="R749" s="50"/>
    </x:row>
    <x:row r="750" spans="17:18" ht="13.19999999999999928946" hidden="1">
      <x:c r="Q750" s="49"/>
      <x:c r="R750" s="50"/>
    </x:row>
    <x:row r="751" spans="17:18" ht="13.19999999999999928946" hidden="1">
      <x:c r="Q751" s="49"/>
      <x:c r="R751" s="50"/>
    </x:row>
    <x:row r="752" spans="17:18" ht="13.19999999999999928946" hidden="1">
      <x:c r="Q752" s="49"/>
      <x:c r="R752" s="50"/>
    </x:row>
    <x:row r="753" spans="17:18" ht="13.19999999999999928946" hidden="1">
      <x:c r="Q753" s="49"/>
      <x:c r="R753" s="50"/>
    </x:row>
    <x:row r="754" spans="17:18" ht="13.19999999999999928946" hidden="1">
      <x:c r="Q754" s="49"/>
      <x:c r="R754" s="50"/>
    </x:row>
    <x:row r="755" spans="17:18" ht="13.19999999999999928946" hidden="1">
      <x:c r="Q755" s="49"/>
      <x:c r="R755" s="50"/>
    </x:row>
    <x:row r="756" spans="17:18" ht="13.19999999999999928946" hidden="1">
      <x:c r="Q756" s="49"/>
      <x:c r="R756" s="50"/>
    </x:row>
    <x:row r="757" spans="17:18" ht="13.19999999999999928946" hidden="1">
      <x:c r="Q757" s="49"/>
      <x:c r="R757" s="50"/>
    </x:row>
    <x:row r="758" spans="17:18" ht="13.19999999999999928946" hidden="1">
      <x:c r="Q758" s="49"/>
      <x:c r="R758" s="50"/>
    </x:row>
    <x:row r="759" spans="17:18" ht="13.19999999999999928946" hidden="1">
      <x:c r="Q759" s="49"/>
      <x:c r="R759" s="50"/>
    </x:row>
    <x:row r="760" spans="17:18" ht="13.19999999999999928946" hidden="1">
      <x:c r="Q760" s="49"/>
      <x:c r="R760" s="50"/>
    </x:row>
    <x:row r="761" spans="17:18" ht="13.19999999999999928946" hidden="1">
      <x:c r="Q761" s="49"/>
      <x:c r="R761" s="50"/>
    </x:row>
    <x:row r="762" spans="17:18" ht="13.19999999999999928946" hidden="1">
      <x:c r="Q762" s="49"/>
      <x:c r="R762" s="50"/>
    </x:row>
    <x:row r="763" spans="17:18" ht="13.19999999999999928946" hidden="1">
      <x:c r="Q763" s="49"/>
      <x:c r="R763" s="50"/>
    </x:row>
    <x:row r="764" spans="17:18" ht="13.19999999999999928946" hidden="1">
      <x:c r="Q764" s="49"/>
      <x:c r="R764" s="50"/>
    </x:row>
    <x:row r="765" spans="17:18" ht="13.19999999999999928946" hidden="1">
      <x:c r="Q765" s="49"/>
      <x:c r="R765" s="50"/>
    </x:row>
    <x:row r="766" spans="17:18" ht="13.19999999999999928946" hidden="1">
      <x:c r="Q766" s="49"/>
      <x:c r="R766" s="50"/>
    </x:row>
    <x:row r="767" spans="17:18" ht="13.19999999999999928946" hidden="1">
      <x:c r="Q767" s="49"/>
      <x:c r="R767" s="50"/>
    </x:row>
    <x:row r="768" spans="17:18" ht="13.19999999999999928946" hidden="1">
      <x:c r="Q768" s="49"/>
      <x:c r="R768" s="50"/>
    </x:row>
    <x:row r="769" spans="17:18" ht="13.19999999999999928946" hidden="1">
      <x:c r="Q769" s="49"/>
      <x:c r="R769" s="50"/>
    </x:row>
    <x:row r="770" spans="17:18" ht="13.19999999999999928946" hidden="1">
      <x:c r="Q770" s="49"/>
      <x:c r="R770" s="50"/>
    </x:row>
    <x:row r="771" spans="17:18" ht="13.19999999999999928946" hidden="1">
      <x:c r="Q771" s="49"/>
      <x:c r="R771" s="50"/>
    </x:row>
    <x:row r="772" spans="17:18" ht="13.19999999999999928946" hidden="1">
      <x:c r="Q772" s="49"/>
      <x:c r="R772" s="50"/>
    </x:row>
    <x:row r="773" spans="17:18" ht="13.19999999999999928946" hidden="1">
      <x:c r="Q773" s="49"/>
      <x:c r="R773" s="50"/>
    </x:row>
    <x:row r="774" spans="17:18" ht="13.19999999999999928946" hidden="1">
      <x:c r="Q774" s="49"/>
      <x:c r="R774" s="50"/>
    </x:row>
    <x:row r="775" spans="17:18" ht="13.19999999999999928946" hidden="1">
      <x:c r="Q775" s="49"/>
      <x:c r="R775" s="50"/>
    </x:row>
    <x:row r="776" spans="17:18" ht="13.19999999999999928946" hidden="1">
      <x:c r="Q776" s="49"/>
      <x:c r="R776" s="50"/>
    </x:row>
    <x:row r="777" spans="17:18" ht="13.19999999999999928946" hidden="1">
      <x:c r="Q777" s="49"/>
      <x:c r="R777" s="50"/>
    </x:row>
    <x:row r="778" spans="17:18" ht="13.19999999999999928946" hidden="1">
      <x:c r="Q778" s="49"/>
      <x:c r="R778" s="50"/>
    </x:row>
    <x:row r="779" spans="17:18" ht="13.19999999999999928946" hidden="1">
      <x:c r="Q779" s="49"/>
      <x:c r="R779" s="50"/>
    </x:row>
    <x:row r="780" spans="17:18" ht="13.19999999999999928946" hidden="1">
      <x:c r="Q780" s="49"/>
      <x:c r="R780" s="50"/>
    </x:row>
    <x:row r="781" spans="17:18" ht="13.19999999999999928946" hidden="1">
      <x:c r="Q781" s="49"/>
      <x:c r="R781" s="50"/>
    </x:row>
    <x:row r="782" spans="17:18" ht="13.19999999999999928946" hidden="1">
      <x:c r="Q782" s="49"/>
      <x:c r="R782" s="50"/>
    </x:row>
    <x:row r="783" spans="17:18" ht="13.19999999999999928946" hidden="1">
      <x:c r="Q783" s="49"/>
      <x:c r="R783" s="50"/>
    </x:row>
    <x:row r="784" spans="17:18" ht="13.19999999999999928946" hidden="1">
      <x:c r="Q784" s="49"/>
      <x:c r="R784" s="50"/>
    </x:row>
    <x:row r="785" spans="17:18" ht="13.19999999999999928946" hidden="1">
      <x:c r="Q785" s="49"/>
      <x:c r="R785" s="50"/>
    </x:row>
    <x:row r="786" spans="17:18" ht="13.19999999999999928946" hidden="1">
      <x:c r="Q786" s="49"/>
      <x:c r="R786" s="50"/>
    </x:row>
    <x:row r="787" spans="17:18" ht="13.19999999999999928946" hidden="1">
      <x:c r="Q787" s="49"/>
      <x:c r="R787" s="50"/>
    </x:row>
    <x:row r="788" spans="17:18" ht="13.19999999999999928946" hidden="1">
      <x:c r="Q788" s="49"/>
      <x:c r="R788" s="50"/>
    </x:row>
    <x:row r="789" spans="17:18" ht="13.19999999999999928946" hidden="1">
      <x:c r="Q789" s="49"/>
      <x:c r="R789" s="50"/>
    </x:row>
    <x:row r="790" spans="17:18" ht="13.19999999999999928946" hidden="1">
      <x:c r="Q790" s="49"/>
      <x:c r="R790" s="50"/>
    </x:row>
    <x:row r="791" spans="17:18" ht="13.19999999999999928946" hidden="1">
      <x:c r="Q791" s="49"/>
      <x:c r="R791" s="50"/>
    </x:row>
    <x:row r="792" spans="17:18" ht="13.19999999999999928946" hidden="1">
      <x:c r="Q792" s="49"/>
      <x:c r="R792" s="50"/>
    </x:row>
    <x:row r="793" spans="17:18" ht="13.19999999999999928946" hidden="1">
      <x:c r="Q793" s="49"/>
      <x:c r="R793" s="50"/>
    </x:row>
    <x:row r="794" spans="17:18" ht="13.19999999999999928946" hidden="1">
      <x:c r="Q794" s="49"/>
      <x:c r="R794" s="50"/>
    </x:row>
    <x:row r="795" spans="17:18" ht="13.19999999999999928946" hidden="1">
      <x:c r="Q795" s="49"/>
      <x:c r="R795" s="50"/>
    </x:row>
    <x:row r="796" spans="17:18" ht="13.19999999999999928946" hidden="1">
      <x:c r="Q796" s="49"/>
      <x:c r="R796" s="50"/>
    </x:row>
    <x:row r="797" spans="17:18" ht="13.19999999999999928946" hidden="1">
      <x:c r="Q797" s="49"/>
      <x:c r="R797" s="50"/>
    </x:row>
    <x:row r="798" spans="17:18" ht="13.19999999999999928946" hidden="1">
      <x:c r="Q798" s="49"/>
      <x:c r="R798" s="50"/>
    </x:row>
    <x:row r="799" spans="17:18" ht="13.19999999999999928946" hidden="1">
      <x:c r="Q799" s="49"/>
      <x:c r="R799" s="50"/>
    </x:row>
    <x:row r="800" spans="17:18" ht="13.19999999999999928946" hidden="1">
      <x:c r="Q800" s="49"/>
      <x:c r="R800" s="50"/>
    </x:row>
    <x:row r="801" spans="17:18" ht="13.19999999999999928946" hidden="1">
      <x:c r="Q801" s="49"/>
      <x:c r="R801" s="50"/>
    </x:row>
    <x:row r="802" spans="17:18" ht="13.19999999999999928946" hidden="1">
      <x:c r="Q802" s="49"/>
      <x:c r="R802" s="50"/>
    </x:row>
    <x:row r="803" spans="17:18" ht="13.19999999999999928946" hidden="1">
      <x:c r="Q803" s="49"/>
      <x:c r="R803" s="50"/>
    </x:row>
    <x:row r="804" spans="17:18" ht="13.19999999999999928946" hidden="1">
      <x:c r="Q804" s="49"/>
      <x:c r="R804" s="50"/>
    </x:row>
    <x:row r="805" spans="17:18" ht="13.19999999999999928946" hidden="1">
      <x:c r="Q805" s="49"/>
      <x:c r="R805" s="50"/>
    </x:row>
    <x:row r="806" spans="17:18" ht="13.19999999999999928946" hidden="1">
      <x:c r="Q806" s="49"/>
      <x:c r="R806" s="50"/>
    </x:row>
    <x:row r="807" spans="17:18" ht="13.19999999999999928946" hidden="1">
      <x:c r="Q807" s="49"/>
      <x:c r="R807" s="50"/>
    </x:row>
    <x:row r="808" spans="17:18" ht="13.19999999999999928946" hidden="1">
      <x:c r="Q808" s="49"/>
      <x:c r="R808" s="50"/>
    </x:row>
    <x:row r="809" spans="17:18" ht="13.19999999999999928946" hidden="1">
      <x:c r="Q809" s="49"/>
      <x:c r="R809" s="50"/>
    </x:row>
    <x:row r="810" spans="17:18" ht="13.19999999999999928946" hidden="1">
      <x:c r="Q810" s="49"/>
      <x:c r="R810" s="50"/>
    </x:row>
    <x:row r="811" spans="17:18" ht="13.19999999999999928946" hidden="1">
      <x:c r="Q811" s="49"/>
      <x:c r="R811" s="50"/>
    </x:row>
    <x:row r="812" spans="17:18" ht="13.19999999999999928946" hidden="1">
      <x:c r="Q812" s="49"/>
      <x:c r="R812" s="50"/>
    </x:row>
    <x:row r="813" spans="17:18" ht="13.19999999999999928946" hidden="1">
      <x:c r="Q813" s="49"/>
      <x:c r="R813" s="50"/>
    </x:row>
    <x:row r="814" spans="17:18" ht="13.19999999999999928946" hidden="1">
      <x:c r="Q814" s="49"/>
      <x:c r="R814" s="50"/>
    </x:row>
    <x:row r="815" spans="17:18" ht="13.19999999999999928946" hidden="1">
      <x:c r="Q815" s="49"/>
      <x:c r="R815" s="50"/>
    </x:row>
    <x:row r="816" spans="17:18" ht="13.19999999999999928946" hidden="1">
      <x:c r="Q816" s="49"/>
      <x:c r="R816" s="50"/>
    </x:row>
    <x:row r="817" spans="17:18" ht="13.19999999999999928946" hidden="1">
      <x:c r="Q817" s="49"/>
      <x:c r="R817" s="50"/>
    </x:row>
    <x:row r="818" spans="17:18" ht="13.19999999999999928946" hidden="1">
      <x:c r="Q818" s="49"/>
      <x:c r="R818" s="50"/>
    </x:row>
    <x:row r="819" spans="17:18" ht="13.19999999999999928946" hidden="1">
      <x:c r="Q819" s="49"/>
      <x:c r="R819" s="50"/>
    </x:row>
    <x:row r="820" spans="17:18" ht="13.19999999999999928946" hidden="1">
      <x:c r="Q820" s="49"/>
      <x:c r="R820" s="50"/>
    </x:row>
    <x:row r="821" spans="17:18" ht="13.19999999999999928946" hidden="1">
      <x:c r="Q821" s="49"/>
      <x:c r="R821" s="50"/>
    </x:row>
    <x:row r="822" spans="17:18" ht="13.19999999999999928946" hidden="1">
      <x:c r="Q822" s="49"/>
      <x:c r="R822" s="50"/>
    </x:row>
    <x:row r="823" spans="17:18" ht="13.19999999999999928946" hidden="1">
      <x:c r="Q823" s="49"/>
      <x:c r="R823" s="50"/>
    </x:row>
    <x:row r="824" spans="17:18" ht="13.19999999999999928946" hidden="1">
      <x:c r="Q824" s="49"/>
      <x:c r="R824" s="50"/>
    </x:row>
    <x:row r="825" spans="17:18" ht="13.19999999999999928946" hidden="1">
      <x:c r="Q825" s="49"/>
      <x:c r="R825" s="50"/>
    </x:row>
    <x:row r="826" spans="17:18" ht="13.19999999999999928946" hidden="1">
      <x:c r="Q826" s="49"/>
      <x:c r="R826" s="50"/>
    </x:row>
    <x:row r="827" spans="17:18" ht="13.19999999999999928946" hidden="1">
      <x:c r="Q827" s="49"/>
      <x:c r="R827" s="50"/>
    </x:row>
    <x:row r="828" spans="17:18" ht="13.19999999999999928946" hidden="1">
      <x:c r="Q828" s="49"/>
      <x:c r="R828" s="50"/>
    </x:row>
    <x:row r="829" spans="17:18" ht="13.19999999999999928946" hidden="1">
      <x:c r="Q829" s="49"/>
      <x:c r="R829" s="50"/>
    </x:row>
    <x:row r="830" spans="17:18" ht="13.19999999999999928946" hidden="1">
      <x:c r="Q830" s="49"/>
      <x:c r="R830" s="50"/>
    </x:row>
    <x:row r="831" spans="17:18" ht="13.19999999999999928946" hidden="1">
      <x:c r="Q831" s="49"/>
      <x:c r="R831" s="50"/>
    </x:row>
    <x:row r="832" spans="17:18" ht="13.19999999999999928946" hidden="1">
      <x:c r="Q832" s="49"/>
      <x:c r="R832" s="50"/>
    </x:row>
    <x:row r="833" spans="17:18" ht="13.19999999999999928946" hidden="1">
      <x:c r="Q833" s="49"/>
      <x:c r="R833" s="50"/>
    </x:row>
    <x:row r="834" spans="17:18" ht="13.19999999999999928946" hidden="1">
      <x:c r="Q834" s="49"/>
      <x:c r="R834" s="50"/>
    </x:row>
    <x:row r="835" spans="17:18" ht="13.19999999999999928946" hidden="1">
      <x:c r="Q835" s="49"/>
      <x:c r="R835" s="50"/>
    </x:row>
    <x:row r="836" spans="17:18" ht="13.19999999999999928946" hidden="1">
      <x:c r="Q836" s="49"/>
      <x:c r="R836" s="50"/>
    </x:row>
    <x:row r="837" spans="17:18" ht="13.19999999999999928946" hidden="1">
      <x:c r="Q837" s="49"/>
      <x:c r="R837" s="50"/>
    </x:row>
    <x:row r="838" spans="17:18" ht="13.19999999999999928946" hidden="1">
      <x:c r="Q838" s="49"/>
      <x:c r="R838" s="50"/>
    </x:row>
    <x:row r="839" spans="17:18" ht="13.19999999999999928946" hidden="1">
      <x:c r="Q839" s="49"/>
      <x:c r="R839" s="50"/>
    </x:row>
    <x:row r="840" spans="17:18" ht="13.19999999999999928946" hidden="1">
      <x:c r="Q840" s="49"/>
      <x:c r="R840" s="50"/>
    </x:row>
    <x:row r="841" spans="17:18" ht="13.19999999999999928946" hidden="1">
      <x:c r="Q841" s="49"/>
      <x:c r="R841" s="50"/>
    </x:row>
    <x:row r="842" spans="17:18" ht="13.19999999999999928946" hidden="1">
      <x:c r="Q842" s="49"/>
      <x:c r="R842" s="50"/>
    </x:row>
    <x:row r="843" spans="17:18" ht="13.19999999999999928946" hidden="1">
      <x:c r="Q843" s="49"/>
      <x:c r="R843" s="50"/>
    </x:row>
    <x:row r="844" spans="17:18" ht="13.19999999999999928946" hidden="1">
      <x:c r="Q844" s="49"/>
      <x:c r="R844" s="50"/>
    </x:row>
    <x:row r="845" spans="17:18" ht="13.19999999999999928946" hidden="1">
      <x:c r="Q845" s="49"/>
      <x:c r="R845" s="50"/>
    </x:row>
    <x:row r="846" spans="17:18" ht="13.19999999999999928946" hidden="1">
      <x:c r="Q846" s="49"/>
      <x:c r="R846" s="50"/>
    </x:row>
    <x:row r="847" spans="17:18" ht="13.19999999999999928946" hidden="1">
      <x:c r="Q847" s="49"/>
      <x:c r="R847" s="50"/>
    </x:row>
    <x:row r="848" spans="17:18" ht="13.19999999999999928946" hidden="1">
      <x:c r="Q848" s="49"/>
      <x:c r="R848" s="50"/>
    </x:row>
    <x:row r="849" spans="17:18" ht="13.19999999999999928946" hidden="1">
      <x:c r="Q849" s="49"/>
      <x:c r="R849" s="50"/>
    </x:row>
    <x:row r="850" spans="17:18" ht="13.19999999999999928946" hidden="1">
      <x:c r="Q850" s="49"/>
      <x:c r="R850" s="50"/>
    </x:row>
    <x:row r="851" spans="17:18" ht="13.19999999999999928946" hidden="1">
      <x:c r="Q851" s="49"/>
      <x:c r="R851" s="50"/>
    </x:row>
    <x:row r="852" spans="17:18" ht="13.19999999999999928946" hidden="1">
      <x:c r="Q852" s="49"/>
      <x:c r="R852" s="50"/>
    </x:row>
    <x:row r="853" spans="17:18" ht="13.19999999999999928946" hidden="1">
      <x:c r="Q853" s="49"/>
      <x:c r="R853" s="50"/>
    </x:row>
    <x:row r="854" spans="17:18" ht="13.19999999999999928946" hidden="1">
      <x:c r="Q854" s="49"/>
      <x:c r="R854" s="50"/>
    </x:row>
    <x:row r="855" spans="17:18" ht="13.19999999999999928946" hidden="1">
      <x:c r="Q855" s="49"/>
      <x:c r="R855" s="50"/>
    </x:row>
    <x:row r="856" spans="17:18" ht="13.19999999999999928946" hidden="1">
      <x:c r="Q856" s="49"/>
      <x:c r="R856" s="50"/>
    </x:row>
    <x:row r="857" spans="17:18" ht="13.19999999999999928946" hidden="1">
      <x:c r="Q857" s="49"/>
      <x:c r="R857" s="50"/>
    </x:row>
    <x:row r="858" spans="17:18" ht="13.19999999999999928946" hidden="1">
      <x:c r="Q858" s="49"/>
      <x:c r="R858" s="50"/>
    </x:row>
    <x:row r="859" spans="17:18" ht="13.19999999999999928946" hidden="1">
      <x:c r="Q859" s="49"/>
      <x:c r="R859" s="50"/>
    </x:row>
    <x:row r="860" spans="17:18" ht="13.19999999999999928946" hidden="1">
      <x:c r="Q860" s="49"/>
      <x:c r="R860" s="50"/>
    </x:row>
    <x:row r="861" spans="17:18" ht="13.19999999999999928946" hidden="1">
      <x:c r="Q861" s="49"/>
      <x:c r="R861" s="50"/>
    </x:row>
    <x:row r="862" spans="17:18" ht="13.19999999999999928946" hidden="1">
      <x:c r="Q862" s="49"/>
      <x:c r="R862" s="50"/>
    </x:row>
    <x:row r="863" spans="17:18" ht="13.19999999999999928946" hidden="1">
      <x:c r="Q863" s="49"/>
      <x:c r="R863" s="50"/>
    </x:row>
    <x:row r="864" spans="17:18" ht="13.19999999999999928946" hidden="1">
      <x:c r="Q864" s="49"/>
      <x:c r="R864" s="50"/>
    </x:row>
    <x:row r="865" spans="17:18" ht="13.19999999999999928946" hidden="1">
      <x:c r="Q865" s="49"/>
      <x:c r="R865" s="50"/>
    </x:row>
    <x:row r="866" spans="17:18" ht="13.19999999999999928946" hidden="1">
      <x:c r="Q866" s="49"/>
      <x:c r="R866" s="50"/>
    </x:row>
    <x:row r="867" spans="17:18" ht="13.19999999999999928946" hidden="1">
      <x:c r="Q867" s="49"/>
      <x:c r="R867" s="50"/>
    </x:row>
    <x:row r="868" spans="17:18" ht="13.19999999999999928946" hidden="1">
      <x:c r="Q868" s="49"/>
      <x:c r="R868" s="50"/>
    </x:row>
    <x:row r="869" spans="17:18" ht="13.19999999999999928946" hidden="1">
      <x:c r="Q869" s="49"/>
      <x:c r="R869" s="50"/>
    </x:row>
    <x:row r="870" spans="17:18" ht="13.19999999999999928946" hidden="1">
      <x:c r="Q870" s="49"/>
      <x:c r="R870" s="50"/>
    </x:row>
    <x:row r="871" spans="17:18" ht="13.19999999999999928946" hidden="1">
      <x:c r="Q871" s="49"/>
      <x:c r="R871" s="50"/>
    </x:row>
    <x:row r="872" spans="17:18" ht="13.19999999999999928946" hidden="1">
      <x:c r="Q872" s="49"/>
      <x:c r="R872" s="50"/>
    </x:row>
    <x:row r="873" spans="17:18" ht="13.19999999999999928946" hidden="1">
      <x:c r="Q873" s="49"/>
      <x:c r="R873" s="50"/>
    </x:row>
    <x:row r="874" spans="17:18" ht="13.19999999999999928946" hidden="1">
      <x:c r="Q874" s="49"/>
      <x:c r="R874" s="50"/>
    </x:row>
    <x:row r="875" spans="17:18" ht="13.19999999999999928946" hidden="1">
      <x:c r="Q875" s="49"/>
      <x:c r="R875" s="50"/>
    </x:row>
    <x:row r="876" spans="17:18" ht="13.19999999999999928946" hidden="1">
      <x:c r="Q876" s="49"/>
      <x:c r="R876" s="50"/>
    </x:row>
    <x:row r="877" spans="17:18" ht="13.19999999999999928946" hidden="1">
      <x:c r="Q877" s="49"/>
      <x:c r="R877" s="50"/>
    </x:row>
    <x:row r="878" spans="17:18" ht="13.19999999999999928946" hidden="1">
      <x:c r="Q878" s="49"/>
      <x:c r="R878" s="50"/>
    </x:row>
    <x:row r="879" spans="17:18" ht="13.19999999999999928946" hidden="1">
      <x:c r="Q879" s="49"/>
      <x:c r="R879" s="50"/>
    </x:row>
    <x:row r="880" spans="17:18" ht="13.19999999999999928946" hidden="1">
      <x:c r="Q880" s="49"/>
      <x:c r="R880" s="50"/>
    </x:row>
    <x:row r="881" spans="17:18" ht="13.19999999999999928946" hidden="1">
      <x:c r="Q881" s="49"/>
      <x:c r="R881" s="50"/>
    </x:row>
    <x:row r="882" spans="17:18" ht="13.19999999999999928946" hidden="1">
      <x:c r="Q882" s="49"/>
      <x:c r="R882" s="50"/>
    </x:row>
    <x:row r="883" spans="17:18" ht="13.19999999999999928946" hidden="1">
      <x:c r="Q883" s="49"/>
      <x:c r="R883" s="50"/>
    </x:row>
    <x:row r="884" spans="17:18" ht="13.19999999999999928946" hidden="1">
      <x:c r="Q884" s="49"/>
      <x:c r="R884" s="50"/>
    </x:row>
    <x:row r="885" spans="17:18" ht="13.19999999999999928946" hidden="1">
      <x:c r="Q885" s="49"/>
      <x:c r="R885" s="50"/>
    </x:row>
    <x:row r="886" spans="17:18" ht="13.19999999999999928946" hidden="1">
      <x:c r="Q886" s="49"/>
      <x:c r="R886" s="50"/>
    </x:row>
    <x:row r="887" spans="17:18" ht="13.19999999999999928946" hidden="1">
      <x:c r="Q887" s="49"/>
      <x:c r="R887" s="50"/>
    </x:row>
    <x:row r="888" spans="17:18" ht="13.19999999999999928946" hidden="1">
      <x:c r="Q888" s="49"/>
      <x:c r="R888" s="50"/>
    </x:row>
    <x:row r="889" spans="17:18" ht="13.19999999999999928946" hidden="1">
      <x:c r="Q889" s="49"/>
      <x:c r="R889" s="50"/>
    </x:row>
    <x:row r="890" spans="17:18" ht="13.19999999999999928946" hidden="1">
      <x:c r="Q890" s="49"/>
      <x:c r="R890" s="50"/>
    </x:row>
    <x:row r="891" spans="17:18" ht="13.19999999999999928946" hidden="1">
      <x:c r="Q891" s="49"/>
      <x:c r="R891" s="50"/>
    </x:row>
    <x:row r="892" spans="17:18" ht="13.19999999999999928946" hidden="1">
      <x:c r="Q892" s="49"/>
      <x:c r="R892" s="50"/>
    </x:row>
    <x:row r="893" spans="17:18" ht="13.19999999999999928946" hidden="1">
      <x:c r="Q893" s="49"/>
      <x:c r="R893" s="50"/>
    </x:row>
    <x:row r="894" spans="17:18" ht="13.19999999999999928946" hidden="1">
      <x:c r="Q894" s="49"/>
      <x:c r="R894" s="50"/>
    </x:row>
    <x:row r="895" spans="17:18" ht="13.19999999999999928946" hidden="1">
      <x:c r="Q895" s="49"/>
      <x:c r="R895" s="50"/>
    </x:row>
    <x:row r="896" spans="17:18" ht="13.19999999999999928946" hidden="1">
      <x:c r="Q896" s="49"/>
      <x:c r="R896" s="50"/>
    </x:row>
    <x:row r="897" spans="17:18" ht="13.19999999999999928946" hidden="1">
      <x:c r="Q897" s="49"/>
      <x:c r="R897" s="50"/>
    </x:row>
    <x:row r="898" spans="17:18" ht="13.19999999999999928946" hidden="1">
      <x:c r="Q898" s="49"/>
      <x:c r="R898" s="50"/>
    </x:row>
    <x:row r="899" spans="17:18" ht="13.19999999999999928946" hidden="1">
      <x:c r="Q899" s="49"/>
      <x:c r="R899" s="50"/>
    </x:row>
    <x:row r="900" spans="17:18" ht="13.19999999999999928946" hidden="1">
      <x:c r="Q900" s="49"/>
      <x:c r="R900" s="50"/>
    </x:row>
    <x:row r="901" spans="17:18" ht="13.19999999999999928946" hidden="1">
      <x:c r="Q901" s="49"/>
      <x:c r="R901" s="50"/>
    </x:row>
    <x:row r="902" spans="17:18" ht="13.19999999999999928946" hidden="1">
      <x:c r="Q902" s="49"/>
      <x:c r="R902" s="50"/>
    </x:row>
    <x:row r="903" spans="17:18" ht="13.19999999999999928946" hidden="1">
      <x:c r="Q903" s="49"/>
      <x:c r="R903" s="50"/>
    </x:row>
    <x:row r="904" spans="17:18" ht="13.19999999999999928946" hidden="1">
      <x:c r="Q904" s="49"/>
      <x:c r="R904" s="50"/>
    </x:row>
    <x:row r="905" spans="17:18" ht="13.19999999999999928946" hidden="1">
      <x:c r="Q905" s="49"/>
      <x:c r="R905" s="50"/>
    </x:row>
    <x:row r="906" spans="17:18" ht="13.19999999999999928946" hidden="1">
      <x:c r="Q906" s="49"/>
      <x:c r="R906" s="50"/>
    </x:row>
    <x:row r="907" spans="17:18" ht="13.19999999999999928946" hidden="1">
      <x:c r="Q907" s="49"/>
      <x:c r="R907" s="50"/>
    </x:row>
    <x:row r="908" spans="17:18" ht="13.19999999999999928946" hidden="1">
      <x:c r="Q908" s="49"/>
      <x:c r="R908" s="50"/>
    </x:row>
    <x:row r="909" spans="17:18" ht="13.19999999999999928946" hidden="1">
      <x:c r="Q909" s="49"/>
      <x:c r="R909" s="50"/>
    </x:row>
    <x:row r="910" spans="17:18" ht="13.19999999999999928946" hidden="1">
      <x:c r="Q910" s="49"/>
      <x:c r="R910" s="50"/>
    </x:row>
    <x:row r="911" spans="17:18" ht="13.19999999999999928946" hidden="1">
      <x:c r="Q911" s="49"/>
      <x:c r="R911" s="50"/>
    </x:row>
    <x:row r="912" spans="17:18" ht="13.19999999999999928946" hidden="1">
      <x:c r="Q912" s="49"/>
      <x:c r="R912" s="50"/>
    </x:row>
    <x:row r="913" spans="17:18" ht="13.19999999999999928946" hidden="1">
      <x:c r="Q913" s="49"/>
      <x:c r="R913" s="50"/>
    </x:row>
    <x:row r="914" spans="17:18" ht="13.19999999999999928946" hidden="1">
      <x:c r="Q914" s="49"/>
      <x:c r="R914" s="50"/>
    </x:row>
    <x:row r="915" spans="17:18" ht="13.19999999999999928946" hidden="1">
      <x:c r="Q915" s="49"/>
      <x:c r="R915" s="50"/>
    </x:row>
    <x:row r="916" spans="17:18" ht="13.19999999999999928946" hidden="1">
      <x:c r="Q916" s="49"/>
      <x:c r="R916" s="50"/>
    </x:row>
    <x:row r="917" spans="17:18" ht="13.19999999999999928946" hidden="1">
      <x:c r="Q917" s="49"/>
      <x:c r="R917" s="50"/>
    </x:row>
    <x:row r="918" spans="17:18" ht="13.19999999999999928946" hidden="1">
      <x:c r="Q918" s="49"/>
      <x:c r="R918" s="50"/>
    </x:row>
    <x:row r="919" spans="17:18" ht="13.19999999999999928946" hidden="1">
      <x:c r="Q919" s="49"/>
      <x:c r="R919" s="50"/>
    </x:row>
    <x:row r="920" spans="17:18" ht="13.19999999999999928946" hidden="1">
      <x:c r="Q920" s="49"/>
      <x:c r="R920" s="50"/>
    </x:row>
    <x:row r="921" spans="17:18" ht="13.19999999999999928946" hidden="1">
      <x:c r="Q921" s="49"/>
      <x:c r="R921" s="50"/>
    </x:row>
    <x:row r="922" spans="17:18" ht="13.19999999999999928946" hidden="1">
      <x:c r="Q922" s="49"/>
      <x:c r="R922" s="50"/>
    </x:row>
    <x:row r="923" spans="17:18" ht="13.19999999999999928946" hidden="1">
      <x:c r="Q923" s="49"/>
      <x:c r="R923" s="50"/>
    </x:row>
    <x:row r="924" spans="17:18" ht="13.19999999999999928946" hidden="1">
      <x:c r="Q924" s="49"/>
      <x:c r="R924" s="50"/>
    </x:row>
    <x:row r="925" spans="17:18" ht="13.19999999999999928946" hidden="1">
      <x:c r="Q925" s="49"/>
      <x:c r="R925" s="50"/>
    </x:row>
    <x:row r="926" spans="17:18" ht="13.19999999999999928946" hidden="1">
      <x:c r="Q926" s="49"/>
      <x:c r="R926" s="50"/>
    </x:row>
    <x:row r="927" spans="17:18" ht="13.19999999999999928946" hidden="1">
      <x:c r="Q927" s="49"/>
      <x:c r="R927" s="50"/>
    </x:row>
    <x:row r="928" spans="17:18" ht="13.19999999999999928946" hidden="1">
      <x:c r="Q928" s="49"/>
      <x:c r="R928" s="50"/>
    </x:row>
    <x:row r="929" spans="17:18" ht="13.19999999999999928946" hidden="1">
      <x:c r="Q929" s="49"/>
      <x:c r="R929" s="50"/>
    </x:row>
    <x:row r="930" spans="17:18" ht="13.19999999999999928946" hidden="1">
      <x:c r="Q930" s="49"/>
      <x:c r="R930" s="50"/>
    </x:row>
    <x:row r="931" spans="17:18" ht="13.19999999999999928946" hidden="1">
      <x:c r="Q931" s="49"/>
      <x:c r="R931" s="50"/>
    </x:row>
    <x:row r="932" spans="17:18" ht="13.19999999999999928946" hidden="1">
      <x:c r="Q932" s="49"/>
      <x:c r="R932" s="50"/>
    </x:row>
    <x:row r="933" spans="17:18" ht="13.19999999999999928946" hidden="1">
      <x:c r="Q933" s="49"/>
      <x:c r="R933" s="50"/>
    </x:row>
    <x:row r="934" spans="17:18" ht="13.19999999999999928946" hidden="1">
      <x:c r="Q934" s="49"/>
      <x:c r="R934" s="50"/>
    </x:row>
    <x:row r="935" spans="17:18" ht="13.19999999999999928946" hidden="1">
      <x:c r="Q935" s="49"/>
      <x:c r="R935" s="50"/>
    </x:row>
    <x:row r="936" spans="17:18" ht="13.19999999999999928946" hidden="1">
      <x:c r="Q936" s="49"/>
      <x:c r="R936" s="50"/>
    </x:row>
    <x:row r="937" spans="17:18" ht="13.19999999999999928946" hidden="1">
      <x:c r="Q937" s="49"/>
      <x:c r="R937" s="50"/>
    </x:row>
    <x:row r="938" spans="17:18" ht="13.19999999999999928946" hidden="1">
      <x:c r="Q938" s="49"/>
      <x:c r="R938" s="50"/>
    </x:row>
    <x:row r="939" spans="17:18" ht="13.19999999999999928946" hidden="1">
      <x:c r="Q939" s="49"/>
      <x:c r="R939" s="50"/>
    </x:row>
    <x:row r="940" spans="17:18" ht="13.19999999999999928946" hidden="1">
      <x:c r="Q940" s="49"/>
      <x:c r="R940" s="50"/>
    </x:row>
    <x:row r="941" spans="17:18" ht="13.19999999999999928946" hidden="1">
      <x:c r="Q941" s="49"/>
      <x:c r="R941" s="50"/>
    </x:row>
    <x:row r="942" spans="17:18" ht="13.19999999999999928946" hidden="1">
      <x:c r="Q942" s="49"/>
      <x:c r="R942" s="50"/>
    </x:row>
    <x:row r="943" spans="17:18" ht="13.19999999999999928946" hidden="1">
      <x:c r="Q943" s="49"/>
      <x:c r="R943" s="50"/>
    </x:row>
    <x:row r="944" spans="17:18" ht="13.19999999999999928946" hidden="1">
      <x:c r="Q944" s="49"/>
      <x:c r="R944" s="50"/>
    </x:row>
    <x:row r="945" spans="17:18" ht="13.19999999999999928946" hidden="1">
      <x:c r="Q945" s="49"/>
      <x:c r="R945" s="50"/>
    </x:row>
    <x:row r="946" spans="17:18" ht="13.19999999999999928946" hidden="1">
      <x:c r="Q946" s="49"/>
      <x:c r="R946" s="50"/>
    </x:row>
    <x:row r="947" spans="17:18" ht="13.19999999999999928946" hidden="1">
      <x:c r="Q947" s="49"/>
      <x:c r="R947" s="50"/>
    </x:row>
    <x:row r="948" spans="17:18" ht="13.19999999999999928946" hidden="1">
      <x:c r="Q948" s="49"/>
      <x:c r="R948" s="50"/>
    </x:row>
    <x:row r="949" spans="17:18" ht="13.19999999999999928946" hidden="1">
      <x:c r="Q949" s="49"/>
      <x:c r="R949" s="50"/>
    </x:row>
    <x:row r="950" spans="17:18" ht="13.19999999999999928946" hidden="1">
      <x:c r="Q950" s="49"/>
      <x:c r="R950" s="50"/>
    </x:row>
    <x:row r="951" spans="17:18" ht="13.19999999999999928946" hidden="1">
      <x:c r="Q951" s="49"/>
      <x:c r="R951" s="50"/>
    </x:row>
    <x:row r="952" spans="17:18" ht="13.19999999999999928946" hidden="1">
      <x:c r="Q952" s="49"/>
      <x:c r="R952" s="50"/>
    </x:row>
    <x:row r="953" spans="17:18" ht="13.19999999999999928946" hidden="1">
      <x:c r="Q953" s="49"/>
      <x:c r="R953" s="50"/>
    </x:row>
    <x:row r="954" spans="17:18" ht="13.19999999999999928946" hidden="1">
      <x:c r="Q954" s="49"/>
      <x:c r="R954" s="50"/>
    </x:row>
    <x:row r="955" spans="17:18" ht="13.19999999999999928946" hidden="1">
      <x:c r="Q955" s="49"/>
      <x:c r="R955" s="50"/>
    </x:row>
    <x:row r="956" spans="17:18" ht="13.19999999999999928946" hidden="1">
      <x:c r="Q956" s="49"/>
      <x:c r="R956" s="50"/>
    </x:row>
    <x:row r="957" spans="17:18" ht="13.19999999999999928946" hidden="1">
      <x:c r="Q957" s="49"/>
      <x:c r="R957" s="50"/>
    </x:row>
    <x:row r="958" spans="17:18" ht="13.19999999999999928946" hidden="1">
      <x:c r="Q958" s="49"/>
      <x:c r="R958" s="50"/>
    </x:row>
    <x:row r="959" spans="17:18" ht="13.19999999999999928946" hidden="1">
      <x:c r="Q959" s="49"/>
      <x:c r="R959" s="50"/>
    </x:row>
    <x:row r="960" spans="17:18" ht="13.19999999999999928946" hidden="1">
      <x:c r="Q960" s="49"/>
      <x:c r="R960" s="50"/>
    </x:row>
    <x:row r="961" spans="17:18" ht="13.19999999999999928946" hidden="1">
      <x:c r="Q961" s="49"/>
      <x:c r="R961" s="50"/>
    </x:row>
    <x:row r="962" spans="17:18" ht="13.19999999999999928946" hidden="1">
      <x:c r="Q962" s="49"/>
      <x:c r="R962" s="50"/>
    </x:row>
    <x:row r="963" spans="17:18" ht="13.19999999999999928946" hidden="1">
      <x:c r="Q963" s="49"/>
      <x:c r="R963" s="50"/>
    </x:row>
    <x:row r="964" spans="17:18" ht="13.19999999999999928946" hidden="1">
      <x:c r="Q964" s="49"/>
      <x:c r="R964" s="50"/>
    </x:row>
    <x:row r="965" spans="17:18" ht="13.19999999999999928946" hidden="1">
      <x:c r="Q965" s="49"/>
      <x:c r="R965" s="50"/>
    </x:row>
    <x:row r="966" spans="17:18" ht="13.19999999999999928946" hidden="1">
      <x:c r="Q966" s="49"/>
      <x:c r="R966" s="50"/>
    </x:row>
    <x:row r="967" spans="17:18" ht="13.19999999999999928946" hidden="1">
      <x:c r="Q967" s="49"/>
      <x:c r="R967" s="50"/>
    </x:row>
    <x:row r="968" spans="17:18" ht="13.19999999999999928946" hidden="1">
      <x:c r="Q968" s="49"/>
      <x:c r="R968" s="50"/>
    </x:row>
    <x:row r="969" spans="17:18" ht="13.19999999999999928946" hidden="1">
      <x:c r="Q969" s="49"/>
      <x:c r="R969" s="50"/>
    </x:row>
    <x:row r="970" spans="17:18" ht="13.19999999999999928946" hidden="1">
      <x:c r="Q970" s="49"/>
      <x:c r="R970" s="50"/>
    </x:row>
    <x:row r="971" spans="17:18" ht="13.19999999999999928946" hidden="1">
      <x:c r="Q971" s="49"/>
      <x:c r="R971" s="50"/>
    </x:row>
    <x:row r="972" spans="17:18" ht="13.19999999999999928946" hidden="1">
      <x:c r="Q972" s="49"/>
      <x:c r="R972" s="50"/>
    </x:row>
    <x:row r="973" spans="17:18" ht="13.19999999999999928946" hidden="1">
      <x:c r="Q973" s="49"/>
      <x:c r="R973" s="50"/>
    </x:row>
    <x:row r="974" spans="17:18" ht="13.19999999999999928946" hidden="1">
      <x:c r="Q974" s="49"/>
      <x:c r="R974" s="50"/>
    </x:row>
    <x:row r="975" spans="17:18" ht="13.19999999999999928946" hidden="1">
      <x:c r="Q975" s="49"/>
      <x:c r="R975" s="50"/>
    </x:row>
    <x:row r="976" spans="17:18" ht="13.19999999999999928946" hidden="1">
      <x:c r="Q976" s="49"/>
      <x:c r="R976" s="50"/>
    </x:row>
    <x:row r="977" spans="17:18" ht="13.19999999999999928946" hidden="1">
      <x:c r="Q977" s="49"/>
      <x:c r="R977" s="50"/>
    </x:row>
    <x:row r="978" spans="17:18" ht="13.19999999999999928946" hidden="1">
      <x:c r="Q978" s="49"/>
      <x:c r="R978" s="50"/>
    </x:row>
    <x:row r="979" spans="17:18" ht="13.19999999999999928946" hidden="1">
      <x:c r="Q979" s="49"/>
      <x:c r="R979" s="50"/>
    </x:row>
    <x:row r="980" spans="17:18" ht="13.19999999999999928946" hidden="1">
      <x:c r="Q980" s="49"/>
      <x:c r="R980" s="50"/>
    </x:row>
    <x:row r="981" spans="17:18" ht="13.19999999999999928946" hidden="1">
      <x:c r="Q981" s="49"/>
      <x:c r="R981" s="50"/>
    </x:row>
    <x:row r="982" spans="17:18" ht="13.19999999999999928946" hidden="1">
      <x:c r="Q982" s="49"/>
      <x:c r="R982" s="50"/>
    </x:row>
    <x:row r="983" spans="17:18" ht="13.19999999999999928946" hidden="1">
      <x:c r="Q983" s="49"/>
      <x:c r="R983" s="50"/>
    </x:row>
    <x:row r="984" spans="17:18" ht="13.19999999999999928946" hidden="1">
      <x:c r="Q984" s="49"/>
      <x:c r="R984" s="50"/>
    </x:row>
    <x:row r="985" spans="17:18" ht="13.19999999999999928946" hidden="1">
      <x:c r="Q985" s="49"/>
      <x:c r="R985" s="50"/>
    </x:row>
    <x:row r="986" spans="17:18" ht="13.19999999999999928946" hidden="1">
      <x:c r="Q986" s="49"/>
      <x:c r="R986" s="50"/>
    </x:row>
    <x:row r="987" spans="17:18" ht="13.19999999999999928946" hidden="1">
      <x:c r="Q987" s="49"/>
      <x:c r="R987" s="50"/>
    </x:row>
    <x:row r="988" spans="17:18" ht="13.19999999999999928946" hidden="1">
      <x:c r="Q988" s="49"/>
      <x:c r="R988" s="50"/>
    </x:row>
    <x:row r="989" spans="17:18" ht="13.19999999999999928946" hidden="1">
      <x:c r="Q989" s="49"/>
      <x:c r="R989" s="50"/>
    </x:row>
    <x:row r="990" spans="17:18" ht="13.19999999999999928946" hidden="1">
      <x:c r="Q990" s="49"/>
      <x:c r="R990" s="50"/>
    </x:row>
    <x:row r="991" spans="17:18" ht="13.19999999999999928946" hidden="1">
      <x:c r="Q991" s="49"/>
      <x:c r="R991" s="50"/>
    </x:row>
    <x:row r="992" spans="17:18" ht="13.19999999999999928946" hidden="1">
      <x:c r="Q992" s="49"/>
      <x:c r="R992" s="50"/>
    </x:row>
    <x:row r="993" spans="17:18" ht="13.19999999999999928946" hidden="1">
      <x:c r="Q993" s="49"/>
      <x:c r="R993" s="50"/>
    </x:row>
    <x:row r="994" spans="17:18" ht="13.19999999999999928946" hidden="1">
      <x:c r="Q994" s="49"/>
      <x:c r="R994" s="50"/>
    </x:row>
    <x:row r="995" spans="17:18" ht="13.19999999999999928946" hidden="1">
      <x:c r="Q995" s="49"/>
      <x:c r="R995" s="50"/>
    </x:row>
    <x:row r="996" spans="17:18" ht="13.19999999999999928946" hidden="1">
      <x:c r="Q996" s="49"/>
      <x:c r="R996" s="50"/>
    </x:row>
    <x:row r="997" spans="17:18" ht="13.19999999999999928946" hidden="1">
      <x:c r="Q997" s="49"/>
      <x:c r="R997" s="50"/>
    </x:row>
    <x:row r="998" spans="17:18" ht="13.19999999999999928946" hidden="1">
      <x:c r="Q998" s="49"/>
      <x:c r="R998" s="50"/>
    </x:row>
    <x:row r="999" spans="17:18" ht="13.19999999999999928946" hidden="1">
      <x:c r="Q999" s="49"/>
      <x:c r="R999" s="50"/>
    </x:row>
    <x:row r="1000" spans="17:18" ht="13.19999999999999928946" hidden="1">
      <x:c r="Q1000" s="49"/>
      <x:c r="R1000" s="50"/>
    </x:row>
  </x:sheetData>
  <x:autoFilter ref="O1:O1000">
    <x:filterColumn colId="0" showButton="0">
      <x:customFilters and="1">
        <x:customFilter operator="notEqual" val=" "/>
      </x:customFilters>
    </x:filterColumn>
  </x:autoFilter>
  <x:mergeCells count="21">
    <x:mergeCell ref="A1:A3"/>
    <x:mergeCell ref="B1:B3"/>
    <x:mergeCell ref="C1:D1"/>
    <x:mergeCell ref="E1:E3"/>
    <x:mergeCell ref="F1:F3"/>
    <x:mergeCell ref="G1:G3"/>
    <x:mergeCell ref="H1:H3"/>
    <x:mergeCell ref="I1:I3"/>
    <x:mergeCell ref="J1:J3"/>
    <x:mergeCell ref="K1:M1"/>
    <x:mergeCell ref="N1:P1"/>
    <x:mergeCell ref="Q1:Q3"/>
    <x:mergeCell ref="R1:R3"/>
    <x:mergeCell ref="S1:T2"/>
    <x:mergeCell ref="U1:U3"/>
    <x:mergeCell ref="C2:C3"/>
    <x:mergeCell ref="D2:D3"/>
    <x:mergeCell ref="L2:M2"/>
    <x:mergeCell ref="N2:N3"/>
    <x:mergeCell ref="O2:O3"/>
    <x:mergeCell ref="P2:P3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초입</vt:lpstr>
      <vt:lpstr>특수학교 희망</vt:lpstr>
      <vt:lpstr>심층관찰(6-7월)</vt:lpstr>
      <vt:lpstr>27.3.1.자 재배치</vt:lpstr>
      <vt:lpstr>초입 (특수학급)</vt:lpstr>
      <vt:lpstr>초입 (특수학교)</vt:lpstr>
    </vt:vector>
  </ep:TitlesOfParts>
  <ep:TotalTime>103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6</cp:revision>
  <dcterms:created xsi:type="dcterms:W3CDTF">2026-07-21T05:51:33.582</dcterms:created>
  <dcterms:modified xsi:type="dcterms:W3CDTF">2026-07-21T23:52:59.896</dcterms:modified>
  <cp:version>1200.0100.01</cp:version>
</cp:coreProperties>
</file>