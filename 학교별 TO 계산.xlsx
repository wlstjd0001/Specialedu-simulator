
<file path=[Content_Types].xml><?xml version="1.0" encoding="utf-8"?>
<Types xmlns="http://schemas.openxmlformats.org/package/2006/content-types">
  <Default Extension="rels" ContentType="application/vnd.openxmlformats-package.relationships+xml"/>
  <Default Extension="xlsx" ContentType="application/vnd.openxmlformats-officedocument.spreadsheetml.sheet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학교별 TO 계산\"/>
    </mc:Choice>
  </mc:AlternateContent>
  <x:bookViews>
    <x:workbookView xWindow="0" yWindow="0" windowWidth="28515" windowHeight="8490" tabRatio="500" activeTab="3"/>
  </x:bookViews>
  <x:sheets>
    <x:sheet name="유치원" sheetId="1" r:id="rId4"/>
    <x:sheet name="초등학교" sheetId="2" r:id="rId5"/>
    <x:sheet name="중학교" sheetId="3" r:id="rId6"/>
    <x:sheet name="고등학교" sheetId="4" r:id="rId7"/>
  </x:sheets>
  <x:externalReferences>
    <x:externalReference r:id="rId8"/>
  </x:externalReferenc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<x:sst xmlns:r="http://schemas.openxmlformats.org/officeDocument/2006/relationships" xmlns:c="http://schemas.openxmlformats.org/drawingml/2006/chart" xmlns:x="http://schemas.openxmlformats.org/spreadsheetml/2006/main" count="426" uniqueCount="192">
  <x:si>
    <x:t>남양주월산초
병설유</x:t>
  </x:si>
  <x:si>
    <x:t>구리여중
(전일제)</x:t>
  </x:si>
  <x:si>
    <x:t>다산한강초병설유</x:t>
  </x:si>
  <x:si>
    <x:t>남양주다산초
병설유</x:t>
  </x:si>
  <x:si>
    <x:t>경은학교(고등학교)</x:t>
  </x:si>
  <x:si>
    <x:t>다산하늘초
병설유</x:t>
  </x:si>
  <x:si>
    <x:t>가운중
(전일제)</x:t>
  </x:si>
  <x:si>
    <x:t>다산가람초병설유</x:t>
  </x:si>
  <x:si>
    <x:t>남양주송라초
병설유</x:t>
  </x:si>
  <x:si>
    <x:t>갈매초</x:t>
  </x:si>
  <x:si>
    <x:t>화도초</x:t>
  </x:si>
  <x:si>
    <x:t>어람초</x:t>
  </x:si>
  <x:si>
    <x:t>예봉초</x:t>
  </x:si>
  <x:si>
    <x:t>하랑초</x:t>
  </x:si>
  <x:si>
    <x:t>와부중</x:t>
  </x:si>
  <x:si>
    <x:t>송라중</x:t>
  </x:si>
  <x:si>
    <x:t>장현초</x:t>
  </x:si>
  <x:si>
    <x:t>판곡고</x:t>
  </x:si>
  <x:si>
    <x:t>호평고</x:t>
  </x:si>
  <x:si>
    <x:t>풍양초</x:t>
  </x:si>
  <x:si>
    <x:t>한별중</x:t>
  </x:si>
  <x:si>
    <x:t>덕소중</x:t>
  </x:si>
  <x:si>
    <x:t>도농고</x:t>
  </x:si>
  <x:si>
    <x:t>판곡초</x:t>
  </x:si>
  <x:si>
    <x:t>교문초</x:t>
  </x:si>
  <x:si>
    <x:t>주곡중</x:t>
  </x:si>
  <x:si>
    <x:t>하랑중</x:t>
  </x:si>
  <x:si>
    <x:t>별내초</x:t>
  </x:si>
  <x:si>
    <x:t>가운초</x:t>
  </x:si>
  <x:si>
    <x:t>동구중</x:t>
  </x:si>
  <x:si>
    <x:t>창현초</x:t>
  </x:si>
  <x:si>
    <x:t>화접초</x:t>
  </x:si>
  <x:si>
    <x:t>금교초</x:t>
  </x:si>
  <x:si>
    <x:t>도림초</x:t>
  </x:si>
  <x:si>
    <x:t>도농초</x:t>
  </x:si>
  <x:si>
    <x:t>예봉중</x:t>
  </x:si>
  <x:si>
    <x:t>진접초</x:t>
  </x:si>
  <x:si>
    <x:t>주곡초</x:t>
  </x:si>
  <x:si>
    <x:t>토평초</x:t>
  </x:si>
  <x:si>
    <x:t>덕소초</x:t>
  </x:si>
  <x:si>
    <x:t>진건초</x:t>
  </x:si>
  <x:si>
    <x:t>가곡초</x:t>
  </x:si>
  <x:si>
    <x:t>호평초</x:t>
  </x:si>
  <x:si>
    <x:t>차산초</x:t>
  </x:si>
  <x:si>
    <x:t>진접중</x:t>
  </x:si>
  <x:si>
    <x:t>인창고</x:t>
  </x:si>
  <x:si>
    <x:t>토평고</x:t>
  </x:si>
  <x:si>
    <x:t>천마초</x:t>
  </x:si>
  <x:si>
    <x:t>평내초</x:t>
  </x:si>
  <x:si>
    <x:t>백문초</x:t>
  </x:si>
  <x:si>
    <x:t>마석초</x:t>
  </x:si>
  <x:si>
    <x:t>도심초</x:t>
  </x:si>
  <x:si>
    <x:t>수택고</x:t>
  </x:si>
  <x:si>
    <x:t>평내중</x:t>
  </x:si>
  <x:si>
    <x:t>오남고</x:t>
  </x:si>
  <x:si>
    <x:t>오남중</x:t>
  </x:si>
  <x:si>
    <x:t>평동초</x:t>
  </x:si>
  <x:si>
    <x:t>오남초</x:t>
  </x:si>
  <x:si>
    <x:t>수택초</x:t>
  </x:si>
  <x:si>
    <x:t>마석고</x:t>
  </x:si>
  <x:si>
    <x:t>토평중</x:t>
  </x:si>
  <x:si>
    <x:t>갈매유</x:t>
  </x:si>
  <x:si>
    <x:t>금남초</x:t>
  </x:si>
  <x:si>
    <x:t>창현유</x:t>
  </x:si>
  <x:si>
    <x:t>은솔초</x:t>
  </x:si>
  <x:si>
    <x:t>가운고</x:t>
  </x:si>
  <x:si>
    <x:t>진건중</x:t>
  </x:si>
  <x:si>
    <x:t>인창초</x:t>
  </x:si>
  <x:si>
    <x:t>별내중</x:t>
  </x:si>
  <x:si>
    <x:t>금곡중</x:t>
  </x:si>
  <x:si>
    <x:t>학교명</x:t>
  </x:si>
  <x:si>
    <x:t>구리중</x:t>
  </x:si>
  <x:si>
    <x:t>수동초</x:t>
  </x:si>
  <x:si>
    <x:t>청학고</x:t>
  </x:si>
  <x:si>
    <x:t>호평중</x:t>
  </x:si>
  <x:si>
    <x:t>동인초</x:t>
  </x:si>
  <x:si>
    <x:t>건원초</x:t>
  </x:si>
  <x:si>
    <x:t>판곡중</x:t>
  </x:si>
  <x:si>
    <x:t>구리초</x:t>
  </x:si>
  <x:si>
    <x:t>호평유</x:t>
  </x:si>
  <x:si>
    <x:t>동구초</x:t>
  </x:si>
  <x:si>
    <x:t>광릉초</x:t>
  </x:si>
  <x:si>
    <x:t>풍양중</x:t>
  </x:si>
  <x:si>
    <x:t>진접고</x:t>
  </x:si>
  <x:si>
    <x:t>부평초</x:t>
  </x:si>
  <x:si>
    <x:t>천마중</x:t>
  </x:si>
  <x:si>
    <x:t>마석중</x:t>
  </x:si>
  <x:si>
    <x:t>갈매중</x:t>
  </x:si>
  <x:si>
    <x:t>와부고</x:t>
  </x:si>
  <x:si>
    <x:t>용신초</x:t>
  </x:si>
  <x:si>
    <x:t>한별초</x:t>
  </x:si>
  <x:si>
    <x:t>진건고</x:t>
  </x:si>
  <x:si>
    <x:t>교문중</x:t>
  </x:si>
  <x:si>
    <x:t>내양초</x:t>
  </x:si>
  <x:si>
    <x:t>별내고</x:t>
  </x:si>
  <x:si>
    <x:t>갈매고</x:t>
  </x:si>
  <x:si>
    <x:t>인창중</x:t>
  </x:si>
  <x:si>
    <x:t>구룡초</x:t>
  </x:si>
  <x:si>
    <x:t>구지초</x:t>
  </x:si>
  <x:si>
    <x:t>어람중</x:t>
  </x:si>
  <x:si>
    <x:t>장승초</x:t>
  </x:si>
  <x:si>
    <x:t>양오초</x:t>
  </x:si>
  <x:si>
    <x:t>해밀초</x:t>
  </x:si>
  <x:si>
    <x:t>평내고</x:t>
  </x:si>
  <x:si>
    <x:t>장내중</x:t>
  </x:si>
  <x:si>
    <x:t>화봉초</x:t>
  </x:si>
  <x:si>
    <x:t>도농중</x:t>
  </x:si>
  <x:si>
    <x:t>인창유</x:t>
  </x:si>
  <x:si>
    <x:t>부양초</x:t>
  </x:si>
  <x:si>
    <x:t>화접중</x:t>
  </x:si>
  <x:si>
    <x:t>양오중</x:t>
  </x:si>
  <x:si>
    <x:t>광릉중
(시간제)</x:t>
  </x:si>
  <x:si>
    <x:t>남양주신촌초
병설유</x:t>
  </x:si>
  <x:si>
    <x:t>퇴계원중</x:t>
  </x:si>
  <x:si>
    <x:t>해밀초병설유</x:t>
  </x:si>
  <x:si>
    <x:t>다산가람초</x:t>
  </x:si>
  <x:si>
    <x:t>퇴계원초</x:t>
  </x:si>
  <x:si>
    <x:t>남양주다산고</x:t>
  </x:si>
  <x:si>
    <x:t>다산별빛초병유</x:t>
  </x:si>
  <x:si>
    <x:t>퇴계원고</x:t>
  </x:si>
  <x:si>
    <x:t>별가람초</x:t>
  </x:si>
  <x:si>
    <x:t>남양주샛별초</x:t>
  </x:si>
  <x:si>
    <x:t>하랑초병유</x:t>
  </x:si>
  <x:si>
    <x:t>별가람중</x:t>
  </x:si>
  <x:si>
    <x:t>별가람유</x:t>
  </x:si>
  <x:si>
    <x:t>별가람초병설유</x:t>
  </x:si>
  <x:si>
    <x:t>특수학급</x:t>
  </x:si>
  <x:si>
    <x:t>오남초병설유</x:t>
  </x:si>
  <x:si>
    <x:t>수동중(사립)</x:t>
  </x:si>
  <x:si>
    <x:t>도제원초</x:t>
  </x:si>
  <x:si>
    <x:t>남양주양지초</x:t>
  </x:si>
  <x:si>
    <x:t>별가람고</x:t>
  </x:si>
  <x:si>
    <x:t>교문초병설유</x:t>
  </x:si>
  <x:si>
    <x:t>다산한강중</x:t>
  </x:si>
  <x:si>
    <x:t xml:space="preserve">장내초    </x:t>
  </x:si>
  <x:si>
    <x:t>순회학급</x:t>
  </x:si>
  <x:si>
    <x:t>다산꽃다비유</x:t>
  </x:si>
  <x:si>
    <x:t>갈매초병설유</x:t>
  </x:si>
  <x:si>
    <x:t>남양주월산초</x:t>
  </x:si>
  <x:si>
    <x:t>평내초병설유</x:t>
  </x:si>
  <x:si>
    <x:t>학급 수</x:t>
  </x:si>
  <x:si>
    <x:t>남양주도담유</x:t>
  </x:si>
  <x:si>
    <x:t>산마루초</x:t>
  </x:si>
  <x:si>
    <x:t>남양주동곡초</x:t>
  </x:si>
  <x:si>
    <x:t>산마루초병설유</x:t>
  </x:si>
  <x:si>
    <x:t>학급유형</x:t>
  </x:si>
  <x:si>
    <x:t>남양주별빛유</x:t>
  </x:si>
  <x:si>
    <x:t>남양주송라초</x:t>
  </x:si>
  <x:si>
    <x:t>남양주백봉초</x:t>
  </x:si>
  <x:si>
    <x:t>남양주신촌초</x:t>
  </x:si>
  <x:si>
    <x:t>복합특수학급</x:t>
  </x:si>
  <x:si>
    <x:t>구리여중</x:t>
  </x:si>
  <x:si>
    <x:t>다산새봄유</x:t>
  </x:si>
  <x:si>
    <x:t>남양주미금초</x:t>
  </x:si>
  <x:si>
    <x:t>남양주덕송초</x:t>
  </x:si>
  <x:si>
    <x:t>다산새봄초</x:t>
  </x:si>
  <x:si>
    <x:t>예봉초병설유</x:t>
  </x:si>
  <x:si>
    <x:t>다산한강유</x:t>
  </x:si>
  <x:si>
    <x:t>남양주도곡초</x:t>
  </x:si>
  <x:si>
    <x:t>다산별빛초</x:t>
  </x:si>
  <x:si>
    <x:t>구리여자고</x:t>
  </x:si>
  <x:si>
    <x:t>다산하늘빛유</x:t>
  </x:si>
  <x:si>
    <x:t>부평초병설유</x:t>
  </x:si>
  <x:si>
    <x:t>남양주양정초</x:t>
  </x:si>
  <x:si>
    <x:t>다산한강초</x:t>
  </x:si>
  <x:si>
    <x:t xml:space="preserve">남양주금곡초 </x:t>
  </x:si>
  <x:si>
    <x:t>남양주다산초</x:t>
  </x:si>
  <x:si>
    <x:t>다산새봄중</x:t>
  </x:si>
  <x:si>
    <x:t>구지초병설유</x:t>
  </x:si>
  <x:si>
    <x:t>남양주다산중</x:t>
  </x:si>
  <x:si>
    <x:t>화도은솔유</x:t>
  </x:si>
  <x:si>
    <x:t>다산하늘초</x:t>
  </x:si>
  <x:si>
    <x:t>남양주다산유</x:t>
  </x:si>
  <x:si>
    <x:t>남양주고</x:t>
  </x:si>
  <x:si>
    <x:t>사능초(시간)
(시간제)</x:t>
  </x:si>
  <x:si>
    <x:t>2027
졸업 예정 인원</x:t>
  </x:si>
  <x:si>
    <x:t>2027학년도
입학 가능 인원</x:t>
  </x:si>
  <x:si>
    <x:t>2026~2027
졸업 예정 인원</x:t>
  </x:si>
  <x:si>
    <x:t>2029학년도
입학 가능 인원</x:t>
  </x:si>
  <x:si>
    <x:t>2028학년도
입학 가능 인원</x:t>
  </x:si>
  <x:si>
    <x:t>2026~2028
졸업 예정 인원</x:t>
  </x:si>
  <x:si>
    <x:t>2027~2028
졸업 예정 인원</x:t>
  </x:si>
  <x:si>
    <x:t>2026학년도
졸업 예정 인원</x:t>
  </x:si>
  <x:si>
    <x:t>사능초(복합)
(전일제_복합)</x:t>
  </x:si>
  <x:si>
    <x:t>2027학년도
입학 예정 인원</x:t>
  </x:si>
  <x:si>
    <x:t>수동초
송천분교</x:t>
  </x:si>
  <x:si>
    <x:t>다산새봄초병설유</x:t>
  </x:si>
  <x:si>
    <x:t>경은학교(중학교)</x:t>
  </x:si>
  <x:si>
    <x:t>가운중
(시간제)</x:t>
  </x:si>
  <x:si>
    <x:t>광릉중
(전일제)</x:t>
  </x:si>
  <x:si>
    <x:t>남양주도곡초
병설유</x:t>
  </x:si>
  <x:si>
    <x:t>남양주덕송초
병설유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</x:si>
</x:sst>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91efc2"/>
        <x:bgColor indexed="64"/>
      </x:patternFill>
    </x:fill>
    <x:fill>
      <x:patternFill patternType="solid">
        <x:fgColor rgb="ffff843a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2" borderId="0" xfId="0" applyNumberFormat="1" applyFont="1" applyFill="1">
      <x:alignment horizontal="general" vertical="center"/>
    </x:xf>
    <x:xf numFmtId="164" fontId="0" fillId="0" borderId="0" xfId="0" applyNumberFormat="1" applyFont="1">
      <x:alignment horizontal="general" vertical="center"/>
    </x:xf>
    <x:xf numFmtId="164" fontId="0" fillId="2" borderId="0" xfId="0" applyNumberFormat="1" applyFont="1" applyFill="1">
      <x:alignment horizontal="general" vertical="center"/>
    </x:xf>
    <x:xf numFmtId="164" fontId="0" fillId="2" borderId="0" xfId="0" applyNumberFormat="1" applyFill="1">
      <x:alignment horizontal="general" vertical="center"/>
    </x:xf>
    <x:xf numFmtId="0" fontId="0" fillId="2" borderId="0" xfId="0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3" borderId="0" xfId="0" applyFill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externalLink" Target="externalLinks/externalLink1.xml"  /></Relationships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1.xlsx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요약"/>
      <x:sheetName val="지역별 요약"/>
      <x:sheetName val="26영(명단)"/>
      <x:sheetName val="26유(명단)"/>
      <x:sheetName val="26초(명단)"/>
      <x:sheetName val="26중(명단)"/>
      <x:sheetName val="26고(명단)"/>
      <x:sheetName val="26경은(명단)"/>
      <x:sheetName val="26유(현황)"/>
      <x:sheetName val="26초(현황)"/>
      <x:sheetName val="26중(현황)"/>
      <x:sheetName val="26고(현황)"/>
      <x:sheetName val="26경은(현황)"/>
    </x:sheetNames>
    <x:definedNames>
      <x:definedName name="H.10"/>
    </x:defined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>
        <x:row r="7">
          <x:cell r="C7" t="str">
            <x:v>갈매유</x:v>
          </x:cell>
          <x:cell r="F7">
            <x:v>1</x:v>
          </x:cell>
          <x:cell r="I7">
            <x:v>1</x:v>
          </x:cell>
          <x:cell r="J7">
            <x:v>1</x:v>
          </x:cell>
          <x:cell r="K7">
            <x:v>0</x:v>
          </x:cell>
          <x:cell r="L7">
            <x:v>2</x:v>
          </x:cell>
        </x:row>
        <x:row r="8">
          <x:cell r="C8" t="str">
            <x:v>갈매초병설유</x:v>
          </x:cell>
          <x:cell r="F8">
            <x:v>1</x:v>
          </x:cell>
          <x:cell r="I8">
            <x:v>1</x:v>
          </x:cell>
          <x:cell r="J8">
            <x:v>0</x:v>
          </x:cell>
          <x:cell r="K8">
            <x:v>1</x:v>
          </x:cell>
          <x:cell r="L8">
            <x:v>2</x:v>
          </x:cell>
        </x:row>
        <x:row r="9">
          <x:cell r="C9" t="str">
            <x:v>교문초병설유</x:v>
          </x:cell>
          <x:cell r="F9">
            <x:v>1</x:v>
          </x:cell>
          <x:cell r="I9">
            <x:v>1</x:v>
          </x:cell>
          <x:cell r="J9">
            <x:v>0</x:v>
          </x:cell>
          <x:cell r="K9">
            <x:v>1</x:v>
          </x:cell>
          <x:cell r="L9">
            <x:v>2</x:v>
          </x:cell>
        </x:row>
        <x:row r="10">
          <x:cell r="C10" t="str">
            <x:v>구지초병설유</x:v>
          </x:cell>
          <x:cell r="F10">
            <x:v>1</x:v>
          </x:cell>
          <x:cell r="G10">
            <x:v>1</x:v>
          </x:cell>
          <x:cell r="I10">
            <x:v>1</x:v>
          </x:cell>
          <x:cell r="J10">
            <x:v>1</x:v>
          </x:cell>
          <x:cell r="K10">
            <x:v>2</x:v>
          </x:cell>
          <x:cell r="L10">
            <x:v>4</x:v>
          </x:cell>
        </x:row>
        <x:row r="11">
          <x:cell r="I11">
            <x:v>1</x:v>
          </x:cell>
          <x:cell r="J11">
            <x:v>0</x:v>
          </x:cell>
          <x:cell r="K11">
            <x:v>0</x:v>
          </x:cell>
          <x:cell r="L11">
            <x:v>1</x:v>
          </x:cell>
        </x:row>
        <x:row r="12">
          <x:cell r="C12" t="str">
            <x:v>산마루초병설유</x:v>
          </x:cell>
          <x:cell r="F12">
            <x:v>1</x:v>
          </x:cell>
          <x:cell r="I12">
            <x:v>0</x:v>
          </x:cell>
          <x:cell r="J12">
            <x:v>1</x:v>
          </x:cell>
          <x:cell r="K12">
            <x:v>3</x:v>
          </x:cell>
          <x:cell r="L12">
            <x:v>4</x:v>
          </x:cell>
        </x:row>
        <x:row r="13">
          <x:cell r="C13" t="str">
            <x:v>인창유</x:v>
          </x:cell>
          <x:cell r="F13">
            <x:v>1</x:v>
          </x:cell>
          <x:cell r="I13">
            <x:v>2</x:v>
          </x:cell>
          <x:cell r="J13">
            <x:v>0</x:v>
          </x:cell>
          <x:cell r="K13">
            <x:v>0</x:v>
          </x:cell>
          <x:cell r="L13">
            <x:v>2</x:v>
          </x:cell>
        </x:row>
        <x:row r="14">
          <x:cell r="C14" t="str">
            <x:v>남양주다산유</x:v>
          </x:cell>
          <x:cell r="F14">
            <x:v>1</x:v>
          </x:cell>
          <x:cell r="I14">
            <x:v>1</x:v>
          </x:cell>
          <x:cell r="J14">
            <x:v>2</x:v>
          </x:cell>
          <x:cell r="K14">
            <x:v>1</x:v>
          </x:cell>
          <x:cell r="L14">
            <x:v>4</x:v>
          </x:cell>
        </x:row>
        <x:row r="15">
          <x:cell r="C15" t="str">
            <x:v>남양주다산초
병설유</x:v>
          </x:cell>
          <x:cell r="F15">
            <x:v>1</x:v>
          </x:cell>
          <x:cell r="I15">
            <x:v>0</x:v>
          </x:cell>
          <x:cell r="J15">
            <x:v>1</x:v>
          </x:cell>
          <x:cell r="K15">
            <x:v>1</x:v>
          </x:cell>
          <x:cell r="L15">
            <x:v>2</x:v>
          </x:cell>
        </x:row>
        <x:row r="16">
          <x:cell r="C16" t="str">
            <x:v>남양주덕송초
병설유</x:v>
          </x:cell>
          <x:cell r="F16">
            <x:v>1</x:v>
          </x:cell>
          <x:cell r="I16">
            <x:v>0</x:v>
          </x:cell>
          <x:cell r="J16">
            <x:v>2</x:v>
          </x:cell>
          <x:cell r="K16">
            <x:v>1</x:v>
          </x:cell>
          <x:cell r="L16">
            <x:v>3</x:v>
          </x:cell>
        </x:row>
        <x:row r="17">
          <x:cell r="C17" t="str">
            <x:v>남양주도곡초
병설유</x:v>
          </x:cell>
          <x:cell r="F17">
            <x:v>1</x:v>
          </x:cell>
          <x:cell r="I17">
            <x:v>0</x:v>
          </x:cell>
          <x:cell r="J17">
            <x:v>1</x:v>
          </x:cell>
          <x:cell r="K17">
            <x:v>0</x:v>
          </x:cell>
          <x:cell r="L17">
            <x:v>1</x:v>
          </x:cell>
        </x:row>
        <x:row r="18">
          <x:cell r="C18" t="str">
            <x:v>남양주도담유</x:v>
          </x:cell>
          <x:cell r="F18">
            <x:v>1</x:v>
          </x:cell>
          <x:cell r="I18">
            <x:v>0</x:v>
          </x:cell>
          <x:cell r="J18">
            <x:v>1</x:v>
          </x:cell>
          <x:cell r="K18">
            <x:v>3</x:v>
          </x:cell>
          <x:cell r="L18">
            <x:v>4</x:v>
          </x:cell>
        </x:row>
        <x:row r="19">
          <x:cell r="C19" t="str">
            <x:v>남양주별빛유</x:v>
          </x:cell>
          <x:cell r="F19">
            <x:v>1</x:v>
          </x:cell>
          <x:cell r="I19">
            <x:v>2</x:v>
          </x:cell>
          <x:cell r="J19">
            <x:v>0</x:v>
          </x:cell>
          <x:cell r="K19">
            <x:v>2</x:v>
          </x:cell>
          <x:cell r="L19">
            <x:v>4</x:v>
          </x:cell>
        </x:row>
        <x:row r="20">
          <x:cell r="C20" t="str">
            <x:v>남양주송라초
병설유</x:v>
          </x:cell>
          <x:cell r="F20">
            <x:v>1</x:v>
          </x:cell>
          <x:cell r="I20">
            <x:v>2</x:v>
          </x:cell>
          <x:cell r="J20">
            <x:v>0</x:v>
          </x:cell>
          <x:cell r="K20">
            <x:v>1</x:v>
          </x:cell>
          <x:cell r="L20">
            <x:v>3</x:v>
          </x:cell>
        </x:row>
        <x:row r="21">
          <x:cell r="C21" t="str">
            <x:v>남양주신촌초
병설유</x:v>
          </x:cell>
          <x:cell r="F21">
            <x:v>1</x:v>
          </x:cell>
          <x:cell r="I21">
            <x:v>1</x:v>
          </x:cell>
          <x:cell r="J21">
            <x:v>0</x:v>
          </x:cell>
          <x:cell r="K21">
            <x:v>1</x:v>
          </x:cell>
          <x:cell r="L21">
            <x:v>2</x:v>
          </x:cell>
        </x:row>
        <x:row r="22">
          <x:cell r="C22" t="str">
            <x:v>남양주월산초
병설유</x:v>
          </x:cell>
          <x:cell r="F22">
            <x:v>1</x:v>
          </x:cell>
          <x:cell r="I22">
            <x:v>0</x:v>
          </x:cell>
          <x:cell r="J22">
            <x:v>1</x:v>
          </x:cell>
          <x:cell r="K22">
            <x:v>1</x:v>
          </x:cell>
          <x:cell r="L22">
            <x:v>2</x:v>
          </x:cell>
        </x:row>
        <x:row r="23">
          <x:cell r="C23" t="str">
            <x:v>다산가람초병설유</x:v>
          </x:cell>
          <x:cell r="F23">
            <x:v>1</x:v>
          </x:cell>
          <x:cell r="I23">
            <x:v>0</x:v>
          </x:cell>
          <x:cell r="J23">
            <x:v>1</x:v>
          </x:cell>
          <x:cell r="K23">
            <x:v>0</x:v>
          </x:cell>
          <x:cell r="L23">
            <x:v>1</x:v>
          </x:cell>
        </x:row>
        <x:row r="24">
          <x:cell r="C24" t="str">
            <x:v>다산꽃다비유</x:v>
          </x:cell>
          <x:cell r="F24">
            <x:v>1</x:v>
          </x:cell>
          <x:cell r="I24">
            <x:v>1</x:v>
          </x:cell>
          <x:cell r="J24">
            <x:v>1</x:v>
          </x:cell>
          <x:cell r="K24">
            <x:v>2</x:v>
          </x:cell>
          <x:cell r="L24">
            <x:v>4</x:v>
          </x:cell>
        </x:row>
        <x:row r="25">
          <x:cell r="C25" t="str">
            <x:v>다산별빛초병유</x:v>
          </x:cell>
          <x:cell r="F25">
            <x:v>1</x:v>
          </x:cell>
          <x:cell r="I25">
            <x:v>1</x:v>
          </x:cell>
          <x:cell r="J25">
            <x:v>1</x:v>
          </x:cell>
          <x:cell r="K25">
            <x:v>0</x:v>
          </x:cell>
          <x:cell r="L25">
            <x:v>2</x:v>
          </x:cell>
        </x:row>
        <x:row r="26">
          <x:cell r="C26" t="str">
            <x:v>다산새봄유</x:v>
          </x:cell>
          <x:cell r="F26">
            <x:v>1</x:v>
          </x:cell>
          <x:cell r="I26">
            <x:v>0</x:v>
          </x:cell>
          <x:cell r="J26">
            <x:v>2</x:v>
          </x:cell>
          <x:cell r="K26">
            <x:v>1</x:v>
          </x:cell>
          <x:cell r="L26">
            <x:v>3</x:v>
          </x:cell>
        </x:row>
        <x:row r="27">
          <x:cell r="C27" t="str">
            <x:v>다산새봄초병설유</x:v>
          </x:cell>
          <x:cell r="F27">
            <x:v>1</x:v>
          </x:cell>
          <x:cell r="I27">
            <x:v>0</x:v>
          </x:cell>
          <x:cell r="J27">
            <x:v>0</x:v>
          </x:cell>
          <x:cell r="K27">
            <x:v>3</x:v>
          </x:cell>
          <x:cell r="L27">
            <x:v>3</x:v>
          </x:cell>
        </x:row>
        <x:row r="28">
          <x:cell r="C28" t="str">
            <x:v>다산하늘빛유</x:v>
          </x:cell>
          <x:cell r="F28">
            <x:v>1</x:v>
          </x:cell>
          <x:cell r="I28">
            <x:v>0</x:v>
          </x:cell>
          <x:cell r="J28">
            <x:v>0</x:v>
          </x:cell>
          <x:cell r="K28">
            <x:v>4</x:v>
          </x:cell>
          <x:cell r="L28">
            <x:v>4</x:v>
          </x:cell>
        </x:row>
        <x:row r="29">
          <x:cell r="C29" t="str">
            <x:v>다산하늘초
병설유</x:v>
          </x:cell>
          <x:cell r="F29">
            <x:v>1</x:v>
          </x:cell>
          <x:cell r="I29">
            <x:v>2</x:v>
          </x:cell>
          <x:cell r="J29">
            <x:v>0</x:v>
          </x:cell>
          <x:cell r="K29">
            <x:v>2</x:v>
          </x:cell>
          <x:cell r="L29">
            <x:v>4</x:v>
          </x:cell>
        </x:row>
        <x:row r="30">
          <x:cell r="C30" t="str">
            <x:v>다산한강유</x:v>
          </x:cell>
          <x:cell r="F30">
            <x:v>2</x:v>
          </x:cell>
          <x:cell r="I30">
            <x:v>1</x:v>
          </x:cell>
          <x:cell r="J30">
            <x:v>2</x:v>
          </x:cell>
          <x:cell r="K30">
            <x:v>3</x:v>
          </x:cell>
          <x:cell r="L30">
            <x:v>6</x:v>
          </x:cell>
        </x:row>
        <x:row r="31">
          <x:cell r="C31" t="str">
            <x:v>다산한강초병설유</x:v>
          </x:cell>
          <x:cell r="F31">
            <x:v>1</x:v>
          </x:cell>
          <x:cell r="I31">
            <x:v>0</x:v>
          </x:cell>
          <x:cell r="J31">
            <x:v>1</x:v>
          </x:cell>
          <x:cell r="K31">
            <x:v>0</x:v>
          </x:cell>
          <x:cell r="L31">
            <x:v>1</x:v>
          </x:cell>
        </x:row>
        <x:row r="32">
          <x:cell r="C32" t="str">
            <x:v>별가람유</x:v>
          </x:cell>
          <x:cell r="F32">
            <x:v>1</x:v>
          </x:cell>
          <x:cell r="I32">
            <x:v>0</x:v>
          </x:cell>
          <x:cell r="J32">
            <x:v>3</x:v>
          </x:cell>
          <x:cell r="K32">
            <x:v>1</x:v>
          </x:cell>
          <x:cell r="L32">
            <x:v>4</x:v>
          </x:cell>
        </x:row>
        <x:row r="33">
          <x:cell r="C33" t="str">
            <x:v>별가람초병설유</x:v>
          </x:cell>
          <x:cell r="F33">
            <x:v>1</x:v>
          </x:cell>
          <x:cell r="I33">
            <x:v>1</x:v>
          </x:cell>
          <x:cell r="J33">
            <x:v>2</x:v>
          </x:cell>
          <x:cell r="K33">
            <x:v>0</x:v>
          </x:cell>
          <x:cell r="L33">
            <x:v>3</x:v>
          </x:cell>
        </x:row>
        <x:row r="34">
          <x:cell r="C34" t="str">
            <x:v>부평초병설유</x:v>
          </x:cell>
          <x:cell r="F34">
            <x:v>1</x:v>
          </x:cell>
          <x:cell r="I34">
            <x:v>0</x:v>
          </x:cell>
          <x:cell r="J34">
            <x:v>0</x:v>
          </x:cell>
          <x:cell r="K34">
            <x:v>3</x:v>
          </x:cell>
          <x:cell r="L34">
            <x:v>3</x:v>
          </x:cell>
        </x:row>
        <x:row r="35">
          <x:cell r="C35" t="str">
            <x:v>예봉초병설유</x:v>
          </x:cell>
          <x:cell r="F35">
            <x:v>1</x:v>
          </x:cell>
          <x:cell r="I35">
            <x:v>0</x:v>
          </x:cell>
          <x:cell r="J35">
            <x:v>1</x:v>
          </x:cell>
          <x:cell r="K35">
            <x:v>1</x:v>
          </x:cell>
          <x:cell r="L35">
            <x:v>2</x:v>
          </x:cell>
        </x:row>
        <x:row r="36">
          <x:cell r="C36" t="str">
            <x:v>오남초병설유</x:v>
          </x:cell>
          <x:cell r="F36">
            <x:v>1</x:v>
          </x:cell>
          <x:cell r="I36">
            <x:v>0</x:v>
          </x:cell>
          <x:cell r="J36">
            <x:v>0</x:v>
          </x:cell>
          <x:cell r="K36">
            <x:v>1</x:v>
          </x:cell>
          <x:cell r="L36">
            <x:v>1</x:v>
          </x:cell>
        </x:row>
        <x:row r="37">
          <x:cell r="C37" t="str">
            <x:v>창현유</x:v>
          </x:cell>
          <x:cell r="F37">
            <x:v>1</x:v>
          </x:cell>
          <x:cell r="I37">
            <x:v>0</x:v>
          </x:cell>
          <x:cell r="J37">
            <x:v>0</x:v>
          </x:cell>
          <x:cell r="K37">
            <x:v>3</x:v>
          </x:cell>
          <x:cell r="L37">
            <x:v>3</x:v>
          </x:cell>
        </x:row>
        <x:row r="38">
          <x:cell r="C38" t="str">
            <x:v>평내초병설유</x:v>
          </x:cell>
          <x:cell r="F38">
            <x:v>1</x:v>
          </x:cell>
          <x:cell r="G38">
            <x:v>1</x:v>
          </x:cell>
          <x:cell r="I38">
            <x:v>0</x:v>
          </x:cell>
          <x:cell r="J38">
            <x:v>1</x:v>
          </x:cell>
          <x:cell r="K38">
            <x:v>0</x:v>
          </x:cell>
          <x:cell r="L38">
            <x:v>1</x:v>
          </x:cell>
        </x:row>
        <x:row r="39">
          <x:cell r="I39">
            <x:v>0</x:v>
          </x:cell>
          <x:cell r="J39">
            <x:v>0</x:v>
          </x:cell>
          <x:cell r="K39">
            <x:v>1</x:v>
          </x:cell>
          <x:cell r="L39">
            <x:v>1</x:v>
          </x:cell>
        </x:row>
        <x:row r="40">
          <x:cell r="C40" t="str">
            <x:v>하랑초병유</x:v>
          </x:cell>
          <x:cell r="F40">
            <x:v>1</x:v>
          </x:cell>
          <x:cell r="I40">
            <x:v>0</x:v>
          </x:cell>
          <x:cell r="J40">
            <x:v>1</x:v>
          </x:cell>
          <x:cell r="K40">
            <x:v>0</x:v>
          </x:cell>
          <x:cell r="L40">
            <x:v>1</x:v>
          </x:cell>
        </x:row>
        <x:row r="41">
          <x:cell r="C41" t="str">
            <x:v>해밀초병설유</x:v>
          </x:cell>
          <x:cell r="F41">
            <x:v>1</x:v>
          </x:cell>
          <x:cell r="I41">
            <x:v>0</x:v>
          </x:cell>
          <x:cell r="J41">
            <x:v>0</x:v>
          </x:cell>
          <x:cell r="K41">
            <x:v>2</x:v>
          </x:cell>
          <x:cell r="L41">
            <x:v>2</x:v>
          </x:cell>
        </x:row>
        <x:row r="42">
          <x:cell r="C42" t="str">
            <x:v>호평유</x:v>
          </x:cell>
          <x:cell r="F42">
            <x:v>1</x:v>
          </x:cell>
          <x:cell r="I42">
            <x:v>1</x:v>
          </x:cell>
          <x:cell r="J42">
            <x:v>0</x:v>
          </x:cell>
          <x:cell r="K42">
            <x:v>1</x:v>
          </x:cell>
          <x:cell r="L42">
            <x:v>2</x:v>
          </x:cell>
        </x:row>
        <x:row r="43">
          <x:cell r="C43" t="str">
            <x:v>화도은솔유</x:v>
          </x:cell>
          <x:cell r="F43">
            <x:v>5</x:v>
          </x:cell>
          <x:cell r="I43">
            <x:v>2</x:v>
          </x:cell>
          <x:cell r="J43">
            <x:v>6</x:v>
          </x:cell>
          <x:cell r="K43">
            <x:v>7</x:v>
          </x:cell>
          <x:cell r="L43">
            <x:v>15</x:v>
          </x:cell>
        </x:row>
      </x:sheetData>
      <x:sheetData sheetId="9" refreshError="0">
        <x:row r="7">
          <x:cell r="C7" t="str">
            <x:v>갈매초</x:v>
          </x:cell>
          <x:cell r="F7">
            <x:v>3</x:v>
          </x:cell>
          <x:cell r="M7">
            <x:v>1</x:v>
          </x:cell>
          <x:cell r="N7">
            <x:v>2</x:v>
          </x:cell>
          <x:cell r="O7">
            <x:v>5</x:v>
          </x:cell>
          <x:cell r="P7">
            <x:v>19</x:v>
          </x:cell>
        </x:row>
        <x:row r="8">
          <x:cell r="C8" t="str">
            <x:v>건원초</x:v>
          </x:cell>
          <x:cell r="F8">
            <x:v>2</x:v>
          </x:cell>
          <x:cell r="M8">
            <x:v>1</x:v>
          </x:cell>
          <x:cell r="N8">
            <x:v>2</x:v>
          </x:cell>
          <x:cell r="O8">
            <x:v>1</x:v>
          </x:cell>
          <x:cell r="P8">
            <x:v>12</x:v>
          </x:cell>
        </x:row>
        <x:row r="9">
          <x:cell r="C9" t="str">
            <x:v>교문초</x:v>
          </x:cell>
          <x:cell r="F9">
            <x:v>2</x:v>
          </x:cell>
          <x:cell r="M9">
            <x:v>2</x:v>
          </x:cell>
          <x:cell r="N9">
            <x:v>2</x:v>
          </x:cell>
          <x:cell r="O9">
            <x:v>2</x:v>
          </x:cell>
          <x:cell r="P9">
            <x:v>14</x:v>
          </x:cell>
        </x:row>
        <x:row r="10">
          <x:cell r="C10" t="str">
            <x:v>구리초</x:v>
          </x:cell>
          <x:cell r="F10">
            <x:v>2</x:v>
          </x:cell>
          <x:cell r="M10">
            <x:v>2</x:v>
          </x:cell>
          <x:cell r="N10">
            <x:v>4</x:v>
          </x:cell>
          <x:cell r="O10">
            <x:v>2</x:v>
          </x:cell>
          <x:cell r="P10">
            <x:v>9</x:v>
          </x:cell>
        </x:row>
        <x:row r="11">
          <x:cell r="C11" t="str">
            <x:v>구지초</x:v>
          </x:cell>
          <x:cell r="F11">
            <x:v>1</x:v>
          </x:cell>
          <x:cell r="M11">
            <x:v>1</x:v>
          </x:cell>
          <x:cell r="N11">
            <x:v>0</x:v>
          </x:cell>
          <x:cell r="O11">
            <x:v>0</x:v>
          </x:cell>
          <x:cell r="P11">
            <x:v>1</x:v>
          </x:cell>
        </x:row>
        <x:row r="12">
          <x:cell r="C12" t="str">
            <x:v>내양초</x:v>
          </x:cell>
          <x:cell r="F12">
            <x:v>1</x:v>
          </x:cell>
          <x:cell r="M12">
            <x:v>1</x:v>
          </x:cell>
          <x:cell r="N12">
            <x:v>2</x:v>
          </x:cell>
          <x:cell r="O12">
            <x:v>0</x:v>
          </x:cell>
          <x:cell r="P12">
            <x:v>6</x:v>
          </x:cell>
        </x:row>
        <x:row r="13">
          <x:cell r="C13" t="str">
            <x:v>도림초</x:v>
          </x:cell>
          <x:cell r="F13">
            <x:v>2</x:v>
          </x:cell>
          <x:cell r="M13">
            <x:v>1</x:v>
          </x:cell>
          <x:cell r="N13">
            <x:v>4</x:v>
          </x:cell>
          <x:cell r="O13">
            <x:v>1</x:v>
          </x:cell>
          <x:cell r="P13">
            <x:v>8</x:v>
          </x:cell>
        </x:row>
        <x:row r="14">
          <x:cell r="C14" t="str">
            <x:v>동구초</x:v>
          </x:cell>
          <x:cell r="F14">
            <x:v>1</x:v>
          </x:cell>
          <x:cell r="M14">
            <x:v>0</x:v>
          </x:cell>
          <x:cell r="N14">
            <x:v>0</x:v>
          </x:cell>
          <x:cell r="O14">
            <x:v>0</x:v>
          </x:cell>
          <x:cell r="P14">
            <x:v>3</x:v>
          </x:cell>
        </x:row>
        <x:row r="15">
          <x:cell r="C15" t="str">
            <x:v>동인초</x:v>
          </x:cell>
          <x:cell r="F15">
            <x:v>2</x:v>
          </x:cell>
          <x:cell r="M15">
            <x:v>0</x:v>
          </x:cell>
          <x:cell r="N15">
            <x:v>4</x:v>
          </x:cell>
          <x:cell r="O15">
            <x:v>2</x:v>
          </x:cell>
          <x:cell r="P15">
            <x:v>9</x:v>
          </x:cell>
        </x:row>
        <x:row r="16">
          <x:cell r="C16" t="str">
            <x:v>백문초</x:v>
          </x:cell>
          <x:cell r="F16">
            <x:v>2</x:v>
          </x:cell>
          <x:cell r="M16">
            <x:v>1</x:v>
          </x:cell>
          <x:cell r="N16">
            <x:v>1</x:v>
          </x:cell>
          <x:cell r="O16">
            <x:v>2</x:v>
          </x:cell>
          <x:cell r="P16">
            <x:v>8</x:v>
          </x:cell>
        </x:row>
        <x:row r="17">
          <x:cell r="C17" t="str">
            <x:v>부양초</x:v>
          </x:cell>
          <x:cell r="F17">
            <x:v>3</x:v>
          </x:cell>
          <x:cell r="M17">
            <x:v>3</x:v>
          </x:cell>
          <x:cell r="N17">
            <x:v>2</x:v>
          </x:cell>
          <x:cell r="O17">
            <x:v>0</x:v>
          </x:cell>
          <x:cell r="P17">
            <x:v>15</x:v>
          </x:cell>
        </x:row>
        <x:row r="18">
          <x:cell r="C18" t="str">
            <x:v>산마루초</x:v>
          </x:cell>
          <x:cell r="F18">
            <x:v>3</x:v>
          </x:cell>
          <x:cell r="M18">
            <x:v>2</x:v>
          </x:cell>
          <x:cell r="N18">
            <x:v>3</x:v>
          </x:cell>
          <x:cell r="O18">
            <x:v>4</x:v>
          </x:cell>
          <x:cell r="P18">
            <x:v>19</x:v>
          </x:cell>
        </x:row>
        <x:row r="19">
          <x:cell r="C19" t="str">
            <x:v>수택초</x:v>
          </x:cell>
          <x:cell r="F19">
            <x:v>1</x:v>
          </x:cell>
          <x:cell r="M19">
            <x:v>0</x:v>
          </x:cell>
          <x:cell r="N19">
            <x:v>1</x:v>
          </x:cell>
          <x:cell r="O19">
            <x:v>2</x:v>
          </x:cell>
          <x:cell r="P19">
            <x:v>6</x:v>
          </x:cell>
        </x:row>
        <x:row r="20">
          <x:cell r="C20" t="str">
            <x:v>인창초</x:v>
          </x:cell>
          <x:cell r="F20">
            <x:v>2</x:v>
          </x:cell>
          <x:cell r="M20">
            <x:v>2</x:v>
          </x:cell>
          <x:cell r="N20">
            <x:v>1</x:v>
          </x:cell>
          <x:cell r="O20">
            <x:v>2</x:v>
          </x:cell>
          <x:cell r="P20">
            <x:v>13</x:v>
          </x:cell>
        </x:row>
        <x:row r="21">
          <x:cell r="C21" t="str">
            <x:v>토평초</x:v>
          </x:cell>
          <x:cell r="F21">
            <x:v>2</x:v>
          </x:cell>
          <x:cell r="G21">
            <x:v>1</x:v>
          </x:cell>
          <x:cell r="M21">
            <x:v>3</x:v>
          </x:cell>
          <x:cell r="N21">
            <x:v>3</x:v>
          </x:cell>
          <x:cell r="O21">
            <x:v>0</x:v>
          </x:cell>
          <x:cell r="P21">
            <x:v>11</x:v>
          </x:cell>
        </x:row>
        <x:row r="22">
          <x:cell r="M22">
            <x:v>0</x:v>
          </x:cell>
          <x:cell r="N22">
            <x:v>2</x:v>
          </x:cell>
          <x:cell r="O22">
            <x:v>0</x:v>
          </x:cell>
          <x:cell r="P22">
            <x:v>4</x:v>
          </x:cell>
        </x:row>
        <x:row r="23">
          <x:cell r="C23" t="str">
            <x:v>가곡초</x:v>
          </x:cell>
          <x:cell r="F23">
            <x:v>2</x:v>
          </x:cell>
          <x:cell r="M23">
            <x:v>3</x:v>
          </x:cell>
          <x:cell r="N23">
            <x:v>2</x:v>
          </x:cell>
          <x:cell r="O23">
            <x:v>1</x:v>
          </x:cell>
          <x:cell r="P23">
            <x:v>12</x:v>
          </x:cell>
        </x:row>
        <x:row r="24">
          <x:cell r="C24" t="str">
            <x:v>가운초</x:v>
          </x:cell>
          <x:cell r="F24">
            <x:v>1</x:v>
          </x:cell>
          <x:cell r="M24">
            <x:v>1</x:v>
          </x:cell>
          <x:cell r="N24">
            <x:v>0</x:v>
          </x:cell>
          <x:cell r="O24">
            <x:v>0</x:v>
          </x:cell>
          <x:cell r="P24">
            <x:v>6</x:v>
          </x:cell>
        </x:row>
        <x:row r="25">
          <x:cell r="C25" t="str">
            <x:v>광릉초</x:v>
          </x:cell>
          <x:cell r="F25">
            <x:v>2</x:v>
          </x:cell>
          <x:cell r="M25">
            <x:v>3</x:v>
          </x:cell>
          <x:cell r="N25">
            <x:v>0</x:v>
          </x:cell>
          <x:cell r="O25">
            <x:v>2</x:v>
          </x:cell>
          <x:cell r="P25">
            <x:v>7</x:v>
          </x:cell>
        </x:row>
        <x:row r="26">
          <x:cell r="C26" t="str">
            <x:v>구룡초</x:v>
          </x:cell>
          <x:cell r="F26">
            <x:v>2</x:v>
          </x:cell>
          <x:cell r="M26">
            <x:v>0</x:v>
          </x:cell>
          <x:cell r="N26">
            <x:v>0</x:v>
          </x:cell>
          <x:cell r="O26">
            <x:v>2</x:v>
          </x:cell>
          <x:cell r="P26">
            <x:v>10</x:v>
          </x:cell>
        </x:row>
        <x:row r="27">
          <x:cell r="C27" t="str">
            <x:v>금교초</x:v>
          </x:cell>
          <x:cell r="F27">
            <x:v>1</x:v>
          </x:cell>
          <x:cell r="M27">
            <x:v>1</x:v>
          </x:cell>
          <x:cell r="N27">
            <x:v>1</x:v>
          </x:cell>
          <x:cell r="O27">
            <x:v>0</x:v>
          </x:cell>
          <x:cell r="P27">
            <x:v>4</x:v>
          </x:cell>
        </x:row>
        <x:row r="28">
          <x:cell r="C28" t="str">
            <x:v>금남초</x:v>
          </x:cell>
          <x:cell r="F28">
            <x:v>1</x:v>
          </x:cell>
          <x:cell r="M28">
            <x:v>0</x:v>
          </x:cell>
          <x:cell r="N28">
            <x:v>2</x:v>
          </x:cell>
          <x:cell r="O28">
            <x:v>0</x:v>
          </x:cell>
          <x:cell r="P28">
            <x:v>4</x:v>
          </x:cell>
        </x:row>
        <x:row r="29">
          <x:cell r="C29" t="str">
            <x:v xml:space="preserve">남양주금곡초 </x:v>
          </x:cell>
          <x:cell r="F29">
            <x:v>1</x:v>
          </x:cell>
          <x:cell r="M29">
            <x:v>0</x:v>
          </x:cell>
          <x:cell r="N29">
            <x:v>1</x:v>
          </x:cell>
          <x:cell r="O29">
            <x:v>2</x:v>
          </x:cell>
          <x:cell r="P29">
            <x:v>6</x:v>
          </x:cell>
        </x:row>
        <x:row r="30">
          <x:cell r="C30" t="str">
            <x:v>남양주다산초</x:v>
          </x:cell>
          <x:cell r="F30">
            <x:v>2</x:v>
          </x:cell>
          <x:cell r="M30">
            <x:v>2</x:v>
          </x:cell>
          <x:cell r="N30">
            <x:v>3</x:v>
          </x:cell>
          <x:cell r="O30">
            <x:v>2</x:v>
          </x:cell>
          <x:cell r="P30">
            <x:v>14</x:v>
          </x:cell>
        </x:row>
        <x:row r="31">
          <x:cell r="C31" t="str">
            <x:v>남양주덕송초</x:v>
          </x:cell>
          <x:cell r="F31">
            <x:v>2</x:v>
          </x:cell>
          <x:cell r="M31">
            <x:v>1</x:v>
          </x:cell>
          <x:cell r="N31">
            <x:v>3</x:v>
          </x:cell>
          <x:cell r="O31">
            <x:v>5</x:v>
          </x:cell>
          <x:cell r="P31">
            <x:v>12</x:v>
          </x:cell>
        </x:row>
        <x:row r="32">
          <x:cell r="C32" t="str">
            <x:v>남양주도곡초</x:v>
          </x:cell>
          <x:cell r="F32">
            <x:v>2</x:v>
          </x:cell>
          <x:cell r="M32">
            <x:v>1</x:v>
          </x:cell>
          <x:cell r="N32">
            <x:v>1</x:v>
          </x:cell>
          <x:cell r="O32">
            <x:v>1</x:v>
          </x:cell>
          <x:cell r="P32">
            <x:v>7</x:v>
          </x:cell>
        </x:row>
        <x:row r="33">
          <x:cell r="C33" t="str">
            <x:v>남양주동곡초</x:v>
          </x:cell>
          <x:cell r="F33">
            <x:v>1</x:v>
          </x:cell>
          <x:cell r="G33">
            <x:v>1</x:v>
          </x:cell>
          <x:cell r="M33">
            <x:v>0</x:v>
          </x:cell>
          <x:cell r="N33">
            <x:v>1</x:v>
          </x:cell>
          <x:cell r="O33">
            <x:v>0</x:v>
          </x:cell>
          <x:cell r="P33">
            <x:v>5</x:v>
          </x:cell>
        </x:row>
        <x:row r="34">
          <x:cell r="M34">
            <x:v>0</x:v>
          </x:cell>
          <x:cell r="N34">
            <x:v>0</x:v>
          </x:cell>
          <x:cell r="O34">
            <x:v>1</x:v>
          </x:cell>
          <x:cell r="P34">
            <x:v>4</x:v>
          </x:cell>
        </x:row>
        <x:row r="35">
          <x:cell r="C35" t="str">
            <x:v>남양주미금초</x:v>
          </x:cell>
          <x:cell r="F35">
            <x:v>1</x:v>
          </x:cell>
          <x:cell r="M35">
            <x:v>0</x:v>
          </x:cell>
          <x:cell r="N35">
            <x:v>1</x:v>
          </x:cell>
          <x:cell r="O35">
            <x:v>0</x:v>
          </x:cell>
          <x:cell r="P35">
            <x:v>4</x:v>
          </x:cell>
        </x:row>
        <x:row r="36">
          <x:cell r="C36" t="str">
            <x:v>남양주백봉초</x:v>
          </x:cell>
          <x:cell r="F36">
            <x:v>1</x:v>
          </x:cell>
          <x:cell r="M36">
            <x:v>0</x:v>
          </x:cell>
          <x:cell r="N36">
            <x:v>1</x:v>
          </x:cell>
          <x:cell r="O36">
            <x:v>0</x:v>
          </x:cell>
          <x:cell r="P36">
            <x:v>3</x:v>
          </x:cell>
        </x:row>
        <x:row r="37">
          <x:cell r="C37" t="str">
            <x:v>남양주샛별초</x:v>
          </x:cell>
          <x:cell r="F37">
            <x:v>2</x:v>
          </x:cell>
          <x:cell r="M37">
            <x:v>6</x:v>
          </x:cell>
          <x:cell r="N37">
            <x:v>2</x:v>
          </x:cell>
          <x:cell r="O37">
            <x:v>1</x:v>
          </x:cell>
          <x:cell r="P37">
            <x:v>12</x:v>
          </x:cell>
        </x:row>
        <x:row r="38">
          <x:cell r="C38" t="str">
            <x:v>남양주송라초</x:v>
          </x:cell>
          <x:cell r="F38">
            <x:v>2</x:v>
          </x:cell>
          <x:cell r="M38">
            <x:v>3</x:v>
          </x:cell>
          <x:cell r="N38">
            <x:v>1</x:v>
          </x:cell>
          <x:cell r="O38">
            <x:v>3</x:v>
          </x:cell>
          <x:cell r="P38">
            <x:v>14</x:v>
          </x:cell>
        </x:row>
        <x:row r="39">
          <x:cell r="C39" t="str">
            <x:v>남양주신촌초</x:v>
          </x:cell>
          <x:cell r="F39">
            <x:v>1</x:v>
          </x:cell>
          <x:cell r="M39">
            <x:v>0</x:v>
          </x:cell>
          <x:cell r="N39">
            <x:v>2</x:v>
          </x:cell>
          <x:cell r="O39">
            <x:v>0</x:v>
          </x:cell>
          <x:cell r="P39">
            <x:v>6</x:v>
          </x:cell>
        </x:row>
        <x:row r="40">
          <x:cell r="C40" t="str">
            <x:v>남양주양정초</x:v>
          </x:cell>
          <x:cell r="F40">
            <x:v>1</x:v>
          </x:cell>
          <x:cell r="M40">
            <x:v>1</x:v>
          </x:cell>
          <x:cell r="N40">
            <x:v>0</x:v>
          </x:cell>
          <x:cell r="O40">
            <x:v>1</x:v>
          </x:cell>
          <x:cell r="P40">
            <x:v>6</x:v>
          </x:cell>
        </x:row>
        <x:row r="41">
          <x:cell r="C41" t="str">
            <x:v>남양주양지초</x:v>
          </x:cell>
          <x:cell r="F41">
            <x:v>1</x:v>
          </x:cell>
          <x:cell r="M41">
            <x:v>0</x:v>
          </x:cell>
          <x:cell r="N41">
            <x:v>1</x:v>
          </x:cell>
          <x:cell r="O41">
            <x:v>1</x:v>
          </x:cell>
          <x:cell r="P41">
            <x:v>6</x:v>
          </x:cell>
        </x:row>
        <x:row r="42">
          <x:cell r="C42" t="str">
            <x:v>남양주월산초</x:v>
          </x:cell>
          <x:cell r="F42">
            <x:v>2</x:v>
          </x:cell>
          <x:cell r="M42">
            <x:v>4</x:v>
          </x:cell>
          <x:cell r="N42">
            <x:v>1</x:v>
          </x:cell>
          <x:cell r="O42">
            <x:v>1</x:v>
          </x:cell>
          <x:cell r="P42">
            <x:v>10</x:v>
          </x:cell>
        </x:row>
        <x:row r="43">
          <x:cell r="C43" t="str">
            <x:v>다산가람초</x:v>
          </x:cell>
          <x:cell r="F43">
            <x:v>2</x:v>
          </x:cell>
          <x:cell r="M43">
            <x:v>2</x:v>
          </x:cell>
          <x:cell r="N43">
            <x:v>2</x:v>
          </x:cell>
          <x:cell r="O43">
            <x:v>3</x:v>
          </x:cell>
          <x:cell r="P43">
            <x:v>13</x:v>
          </x:cell>
        </x:row>
        <x:row r="44">
          <x:cell r="C44" t="str">
            <x:v>다산별빛초</x:v>
          </x:cell>
          <x:cell r="F44">
            <x:v>3</x:v>
          </x:cell>
          <x:cell r="M44">
            <x:v>3</x:v>
          </x:cell>
          <x:cell r="N44">
            <x:v>2</x:v>
          </x:cell>
          <x:cell r="O44">
            <x:v>2</x:v>
          </x:cell>
          <x:cell r="P44">
            <x:v>18</x:v>
          </x:cell>
        </x:row>
        <x:row r="45">
          <x:cell r="C45" t="str">
            <x:v>다산새봄초</x:v>
          </x:cell>
          <x:cell r="F45">
            <x:v>3</x:v>
          </x:cell>
          <x:cell r="M45">
            <x:v>4</x:v>
          </x:cell>
          <x:cell r="N45">
            <x:v>4</x:v>
          </x:cell>
          <x:cell r="O45">
            <x:v>1</x:v>
          </x:cell>
          <x:cell r="P45">
            <x:v>20</x:v>
          </x:cell>
        </x:row>
        <x:row r="46">
          <x:cell r="C46" t="str">
            <x:v>다산하늘초</x:v>
          </x:cell>
          <x:cell r="F46">
            <x:v>3</x:v>
          </x:cell>
          <x:cell r="M46">
            <x:v>1</x:v>
          </x:cell>
          <x:cell r="N46">
            <x:v>1</x:v>
          </x:cell>
          <x:cell r="O46">
            <x:v>3</x:v>
          </x:cell>
          <x:cell r="P46">
            <x:v>16</x:v>
          </x:cell>
        </x:row>
        <x:row r="47">
          <x:cell r="C47" t="str">
            <x:v>다산한강초</x:v>
          </x:cell>
          <x:cell r="F47">
            <x:v>3</x:v>
          </x:cell>
          <x:cell r="M47">
            <x:v>1</x:v>
          </x:cell>
          <x:cell r="N47">
            <x:v>6</x:v>
          </x:cell>
          <x:cell r="O47">
            <x:v>2</x:v>
          </x:cell>
          <x:cell r="P47">
            <x:v>20</x:v>
          </x:cell>
        </x:row>
        <x:row r="48">
          <x:cell r="C48" t="str">
            <x:v>덕소초</x:v>
          </x:cell>
          <x:cell r="F48">
            <x:v>2</x:v>
          </x:cell>
          <x:cell r="M48">
            <x:v>1</x:v>
          </x:cell>
          <x:cell r="N48">
            <x:v>1</x:v>
          </x:cell>
          <x:cell r="O48">
            <x:v>3</x:v>
          </x:cell>
          <x:cell r="P48">
            <x:v>9</x:v>
          </x:cell>
        </x:row>
        <x:row r="49">
          <x:cell r="C49" t="str">
            <x:v>도농초</x:v>
          </x:cell>
          <x:cell r="F49">
            <x:v>1</x:v>
          </x:cell>
          <x:cell r="M49">
            <x:v>1</x:v>
          </x:cell>
          <x:cell r="N49">
            <x:v>0</x:v>
          </x:cell>
          <x:cell r="O49">
            <x:v>1</x:v>
          </x:cell>
          <x:cell r="P49">
            <x:v>3</x:v>
          </x:cell>
        </x:row>
        <x:row r="50">
          <x:cell r="C50" t="str">
            <x:v>도심초</x:v>
          </x:cell>
          <x:cell r="F50">
            <x:v>1</x:v>
          </x:cell>
          <x:cell r="M50">
            <x:v>1</x:v>
          </x:cell>
          <x:cell r="N50">
            <x:v>0</x:v>
          </x:cell>
          <x:cell r="O50">
            <x:v>1</x:v>
          </x:cell>
          <x:cell r="P50">
            <x:v>4</x:v>
          </x:cell>
        </x:row>
        <x:row r="51">
          <x:cell r="C51" t="str">
            <x:v>도제원초</x:v>
          </x:cell>
          <x:cell r="F51">
            <x:v>1</x:v>
          </x:cell>
          <x:cell r="M51">
            <x:v>0</x:v>
          </x:cell>
          <x:cell r="N51">
            <x:v>1</x:v>
          </x:cell>
          <x:cell r="O51">
            <x:v>2</x:v>
          </x:cell>
          <x:cell r="P51">
            <x:v>6</x:v>
          </x:cell>
        </x:row>
        <x:row r="52">
          <x:cell r="C52" t="str">
            <x:v>마석초</x:v>
          </x:cell>
          <x:cell r="F52">
            <x:v>1</x:v>
          </x:cell>
          <x:cell r="G52">
            <x:v>1</x:v>
          </x:cell>
          <x:cell r="M52">
            <x:v>1</x:v>
          </x:cell>
          <x:cell r="N52">
            <x:v>1</x:v>
          </x:cell>
          <x:cell r="O52">
            <x:v>0</x:v>
          </x:cell>
          <x:cell r="P52">
            <x:v>7</x:v>
          </x:cell>
        </x:row>
        <x:row r="53">
          <x:cell r="M53">
            <x:v>0</x:v>
          </x:cell>
          <x:cell r="N53">
            <x:v>1</x:v>
          </x:cell>
          <x:cell r="O53">
            <x:v>2</x:v>
          </x:cell>
          <x:cell r="P53">
            <x:v>3</x:v>
          </x:cell>
        </x:row>
        <x:row r="54">
          <x:cell r="C54" t="str">
            <x:v>별가람초</x:v>
          </x:cell>
          <x:cell r="F54">
            <x:v>2</x:v>
          </x:cell>
          <x:cell r="M54">
            <x:v>3</x:v>
          </x:cell>
          <x:cell r="N54">
            <x:v>3</x:v>
          </x:cell>
          <x:cell r="O54">
            <x:v>2</x:v>
          </x:cell>
          <x:cell r="P54">
            <x:v>14</x:v>
          </x:cell>
        </x:row>
        <x:row r="55">
          <x:cell r="C55" t="str">
            <x:v>별내초</x:v>
          </x:cell>
          <x:cell r="F55">
            <x:v>2</x:v>
          </x:cell>
          <x:cell r="M55">
            <x:v>1</x:v>
          </x:cell>
          <x:cell r="N55">
            <x:v>1</x:v>
          </x:cell>
          <x:cell r="O55">
            <x:v>3</x:v>
          </x:cell>
          <x:cell r="P55">
            <x:v>9</x:v>
          </x:cell>
        </x:row>
        <x:row r="56">
          <x:cell r="C56" t="str">
            <x:v>부평초</x:v>
          </x:cell>
          <x:cell r="F56">
            <x:v>2</x:v>
          </x:cell>
          <x:cell r="M56">
            <x:v>1</x:v>
          </x:cell>
          <x:cell r="N56">
            <x:v>0</x:v>
          </x:cell>
          <x:cell r="O56">
            <x:v>3</x:v>
          </x:cell>
          <x:cell r="P56">
            <x:v>10</x:v>
          </x:cell>
        </x:row>
        <x:row r="57">
          <x:cell r="C57" t="str">
            <x:v>사능초(시간)
(시간제)</x:v>
          </x:cell>
          <x:cell r="F57">
            <x:v>1</x:v>
          </x:cell>
          <x:cell r="H57">
            <x:v>2</x:v>
          </x:cell>
          <x:cell r="M57">
            <x:v>2</x:v>
          </x:cell>
          <x:cell r="N57">
            <x:v>1</x:v>
          </x:cell>
          <x:cell r="O57">
            <x:v>0</x:v>
          </x:cell>
          <x:cell r="P57">
            <x:v>3</x:v>
          </x:cell>
        </x:row>
        <x:row r="58">
          <x:cell r="C58" t="str">
            <x:v>사능초(복합)
(전일제_복합)</x:v>
          </x:cell>
          <x:cell r="M58">
            <x:v>1</x:v>
          </x:cell>
          <x:cell r="N58">
            <x:v>0</x:v>
          </x:cell>
          <x:cell r="O58">
            <x:v>0</x:v>
          </x:cell>
          <x:cell r="P58">
            <x:v>8</x:v>
          </x:cell>
        </x:row>
        <x:row r="59">
          <x:cell r="C59" t="str">
            <x:v>수동초</x:v>
          </x:cell>
          <x:cell r="F59">
            <x:v>1</x:v>
          </x:cell>
          <x:cell r="M59">
            <x:v>1</x:v>
          </x:cell>
          <x:cell r="N59">
            <x:v>0</x:v>
          </x:cell>
          <x:cell r="O59">
            <x:v>0</x:v>
          </x:cell>
          <x:cell r="P59">
            <x:v>2</x:v>
          </x:cell>
        </x:row>
        <x:row r="60">
          <x:cell r="C60" t="str">
            <x:v>수동초
송천분교</x:v>
          </x:cell>
          <x:cell r="F60">
            <x:v>1</x:v>
          </x:cell>
          <x:cell r="M60">
            <x:v>1</x:v>
          </x:cell>
          <x:cell r="N60">
            <x:v>1</x:v>
          </x:cell>
          <x:cell r="O60">
            <x:v>0</x:v>
          </x:cell>
          <x:cell r="P60">
            <x:v>2</x:v>
          </x:cell>
        </x:row>
        <x:row r="61">
          <x:cell r="C61" t="str">
            <x:v>양오초</x:v>
          </x:cell>
          <x:cell r="F61">
            <x:v>2</x:v>
          </x:cell>
          <x:cell r="M61">
            <x:v>1</x:v>
          </x:cell>
          <x:cell r="N61">
            <x:v>3</x:v>
          </x:cell>
          <x:cell r="O61">
            <x:v>1</x:v>
          </x:cell>
          <x:cell r="P61">
            <x:v>10</x:v>
          </x:cell>
        </x:row>
        <x:row r="62">
          <x:cell r="C62" t="str">
            <x:v>어람초</x:v>
          </x:cell>
          <x:cell r="F62">
            <x:v>2</x:v>
          </x:cell>
          <x:cell r="M62">
            <x:v>4</x:v>
          </x:cell>
          <x:cell r="N62">
            <x:v>0</x:v>
          </x:cell>
          <x:cell r="O62">
            <x:v>2</x:v>
          </x:cell>
          <x:cell r="P62">
            <x:v>10</x:v>
          </x:cell>
        </x:row>
        <x:row r="63">
          <x:cell r="C63" t="str">
            <x:v>예봉초</x:v>
          </x:cell>
          <x:cell r="F63">
            <x:v>1</x:v>
          </x:cell>
          <x:cell r="M63">
            <x:v>0</x:v>
          </x:cell>
          <x:cell r="N63">
            <x:v>1</x:v>
          </x:cell>
          <x:cell r="O63">
            <x:v>0</x:v>
          </x:cell>
          <x:cell r="P63">
            <x:v>4</x:v>
          </x:cell>
        </x:row>
        <x:row r="64">
          <x:cell r="C64" t="str">
            <x:v>오남초</x:v>
          </x:cell>
          <x:cell r="F64">
            <x:v>2</x:v>
          </x:cell>
          <x:cell r="M64">
            <x:v>5</x:v>
          </x:cell>
          <x:cell r="N64">
            <x:v>3</x:v>
          </x:cell>
          <x:cell r="O64">
            <x:v>0</x:v>
          </x:cell>
          <x:cell r="P64">
            <x:v>12</x:v>
          </x:cell>
        </x:row>
        <x:row r="65">
          <x:cell r="C65" t="str">
            <x:v>용신초</x:v>
          </x:cell>
          <x:cell r="F65">
            <x:v>1</x:v>
          </x:cell>
          <x:cell r="M65">
            <x:v>1</x:v>
          </x:cell>
          <x:cell r="N65">
            <x:v>2</x:v>
          </x:cell>
          <x:cell r="O65">
            <x:v>2</x:v>
          </x:cell>
          <x:cell r="P65">
            <x:v>7</x:v>
          </x:cell>
        </x:row>
        <x:row r="66">
          <x:cell r="C66" t="str">
            <x:v>은솔초</x:v>
          </x:cell>
          <x:cell r="F66">
            <x:v>2</x:v>
          </x:cell>
          <x:cell r="M66">
            <x:v>0</x:v>
          </x:cell>
          <x:cell r="N66">
            <x:v>1</x:v>
          </x:cell>
          <x:cell r="O66">
            <x:v>3</x:v>
          </x:cell>
          <x:cell r="P66">
            <x:v>11</x:v>
          </x:cell>
        </x:row>
        <x:row r="67">
          <x:cell r="C67" t="str">
            <x:v xml:space="preserve">장내초    </x:v>
          </x:cell>
          <x:cell r="F67">
            <x:v>1</x:v>
          </x:cell>
          <x:cell r="M67">
            <x:v>2</x:v>
          </x:cell>
          <x:cell r="N67">
            <x:v>0</x:v>
          </x:cell>
          <x:cell r="O67">
            <x:v>3</x:v>
          </x:cell>
          <x:cell r="P67">
            <x:v>7</x:v>
          </x:cell>
        </x:row>
        <x:row r="68">
          <x:cell r="C68" t="str">
            <x:v>장승초</x:v>
          </x:cell>
          <x:cell r="F68">
            <x:v>2</x:v>
          </x:cell>
          <x:cell r="M68">
            <x:v>3</x:v>
          </x:cell>
          <x:cell r="N68">
            <x:v>4</x:v>
          </x:cell>
          <x:cell r="O68">
            <x:v>2</x:v>
          </x:cell>
          <x:cell r="P68">
            <x:v>14</x:v>
          </x:cell>
        </x:row>
        <x:row r="69">
          <x:cell r="C69" t="str">
            <x:v>장현초</x:v>
          </x:cell>
          <x:cell r="F69">
            <x:v>3</x:v>
          </x:cell>
          <x:cell r="M69">
            <x:v>4</x:v>
          </x:cell>
          <x:cell r="N69">
            <x:v>3</x:v>
          </x:cell>
          <x:cell r="O69">
            <x:v>3</x:v>
          </x:cell>
          <x:cell r="P69">
            <x:v>17</x:v>
          </x:cell>
        </x:row>
        <x:row r="70">
          <x:cell r="C70" t="str">
            <x:v>주곡초</x:v>
          </x:cell>
          <x:cell r="F70">
            <x:v>2</x:v>
          </x:cell>
          <x:cell r="M70">
            <x:v>0</x:v>
          </x:cell>
          <x:cell r="N70">
            <x:v>3</x:v>
          </x:cell>
          <x:cell r="O70">
            <x:v>0</x:v>
          </x:cell>
          <x:cell r="P70">
            <x:v>9</x:v>
          </x:cell>
        </x:row>
        <x:row r="71">
          <x:cell r="C71" t="str">
            <x:v>진건초</x:v>
          </x:cell>
          <x:cell r="F71">
            <x:v>2</x:v>
          </x:cell>
          <x:cell r="M71">
            <x:v>1</x:v>
          </x:cell>
          <x:cell r="N71">
            <x:v>4</x:v>
          </x:cell>
          <x:cell r="O71">
            <x:v>2</x:v>
          </x:cell>
          <x:cell r="P71">
            <x:v>10</x:v>
          </x:cell>
        </x:row>
        <x:row r="72">
          <x:cell r="C72" t="str">
            <x:v>진접초</x:v>
          </x:cell>
          <x:cell r="F72">
            <x:v>3</x:v>
          </x:cell>
          <x:cell r="M72">
            <x:v>4</x:v>
          </x:cell>
          <x:cell r="N72">
            <x:v>1</x:v>
          </x:cell>
          <x:cell r="O72">
            <x:v>4</x:v>
          </x:cell>
          <x:cell r="P72">
            <x:v>15</x:v>
          </x:cell>
        </x:row>
        <x:row r="73">
          <x:cell r="C73" t="str">
            <x:v>차산초</x:v>
          </x:cell>
          <x:cell r="F73">
            <x:v>1</x:v>
          </x:cell>
          <x:cell r="M73">
            <x:v>0</x:v>
          </x:cell>
          <x:cell r="N73">
            <x:v>1</x:v>
          </x:cell>
          <x:cell r="O73">
            <x:v>0</x:v>
          </x:cell>
          <x:cell r="P73">
            <x:v>3</x:v>
          </x:cell>
        </x:row>
        <x:row r="74">
          <x:cell r="C74" t="str">
            <x:v>창현초</x:v>
          </x:cell>
          <x:cell r="F74">
            <x:v>1</x:v>
          </x:cell>
          <x:cell r="M74">
            <x:v>0</x:v>
          </x:cell>
          <x:cell r="N74">
            <x:v>0</x:v>
          </x:cell>
          <x:cell r="O74">
            <x:v>2</x:v>
          </x:cell>
          <x:cell r="P74">
            <x:v>7</x:v>
          </x:cell>
        </x:row>
        <x:row r="75">
          <x:cell r="C75" t="str">
            <x:v>천마초</x:v>
          </x:cell>
          <x:cell r="F75">
            <x:v>3</x:v>
          </x:cell>
          <x:cell r="M75">
            <x:v>3</x:v>
          </x:cell>
          <x:cell r="N75">
            <x:v>8</x:v>
          </x:cell>
          <x:cell r="O75">
            <x:v>2</x:v>
          </x:cell>
          <x:cell r="P75">
            <x:v>20</x:v>
          </x:cell>
        </x:row>
        <x:row r="76">
          <x:cell r="C76" t="str">
            <x:v>퇴계원초</x:v>
          </x:cell>
          <x:cell r="F76">
            <x:v>2</x:v>
          </x:cell>
          <x:cell r="G76">
            <x:v>1</x:v>
          </x:cell>
          <x:cell r="M76">
            <x:v>1</x:v>
          </x:cell>
          <x:cell r="N76">
            <x:v>2</x:v>
          </x:cell>
          <x:cell r="O76">
            <x:v>2</x:v>
          </x:cell>
          <x:cell r="P76">
            <x:v>11</x:v>
          </x:cell>
        </x:row>
        <x:row r="77">
          <x:cell r="M77">
            <x:v>2</x:v>
          </x:cell>
          <x:cell r="N77">
            <x:v>0</x:v>
          </x:cell>
          <x:cell r="O77">
            <x:v>1</x:v>
          </x:cell>
          <x:cell r="P77">
            <x:v>4</x:v>
          </x:cell>
        </x:row>
        <x:row r="78">
          <x:cell r="C78" t="str">
            <x:v>판곡초</x:v>
          </x:cell>
          <x:cell r="F78">
            <x:v>2</x:v>
          </x:cell>
          <x:cell r="M78">
            <x:v>3</x:v>
          </x:cell>
          <x:cell r="N78">
            <x:v>2</x:v>
          </x:cell>
          <x:cell r="O78">
            <x:v>4</x:v>
          </x:cell>
          <x:cell r="P78">
            <x:v>14</x:v>
          </x:cell>
        </x:row>
        <x:row r="79">
          <x:cell r="C79" t="str">
            <x:v>평내초</x:v>
          </x:cell>
          <x:cell r="F79">
            <x:v>2</x:v>
          </x:cell>
          <x:cell r="M79">
            <x:v>0</x:v>
          </x:cell>
          <x:cell r="N79">
            <x:v>1</x:v>
          </x:cell>
          <x:cell r="O79">
            <x:v>0</x:v>
          </x:cell>
          <x:cell r="P79">
            <x:v>8</x:v>
          </x:cell>
        </x:row>
        <x:row r="80">
          <x:cell r="C80" t="str">
            <x:v>평동초</x:v>
          </x:cell>
          <x:cell r="F80">
            <x:v>2</x:v>
          </x:cell>
          <x:cell r="G80">
            <x:v>1</x:v>
          </x:cell>
          <x:cell r="M80">
            <x:v>1</x:v>
          </x:cell>
          <x:cell r="N80">
            <x:v>1</x:v>
          </x:cell>
          <x:cell r="O80">
            <x:v>1</x:v>
          </x:cell>
          <x:cell r="P80">
            <x:v>8</x:v>
          </x:cell>
        </x:row>
        <x:row r="81">
          <x:cell r="M81">
            <x:v>2</x:v>
          </x:cell>
          <x:cell r="N81">
            <x:v>0</x:v>
          </x:cell>
          <x:cell r="O81">
            <x:v>1</x:v>
          </x:cell>
          <x:cell r="P81">
            <x:v>4</x:v>
          </x:cell>
        </x:row>
        <x:row r="82">
          <x:cell r="C82" t="str">
            <x:v>풍양초</x:v>
          </x:cell>
          <x:cell r="F82">
            <x:v>1</x:v>
          </x:cell>
          <x:cell r="M82">
            <x:v>0</x:v>
          </x:cell>
          <x:cell r="N82">
            <x:v>0</x:v>
          </x:cell>
          <x:cell r="O82">
            <x:v>0</x:v>
          </x:cell>
          <x:cell r="P82">
            <x:v>3</x:v>
          </x:cell>
        </x:row>
        <x:row r="83">
          <x:cell r="C83" t="str">
            <x:v>하랑초</x:v>
          </x:cell>
          <x:cell r="F83">
            <x:v>2</x:v>
          </x:cell>
          <x:cell r="M83">
            <x:v>4</x:v>
          </x:cell>
          <x:cell r="N83">
            <x:v>1</x:v>
          </x:cell>
          <x:cell r="O83">
            <x:v>2</x:v>
          </x:cell>
          <x:cell r="P83">
            <x:v>10</x:v>
          </x:cell>
        </x:row>
        <x:row r="84">
          <x:cell r="C84" t="str">
            <x:v>한별초</x:v>
          </x:cell>
          <x:cell r="F84">
            <x:v>3</x:v>
          </x:cell>
          <x:cell r="M84">
            <x:v>4</x:v>
          </x:cell>
          <x:cell r="N84">
            <x:v>3</x:v>
          </x:cell>
          <x:cell r="O84">
            <x:v>4</x:v>
          </x:cell>
          <x:cell r="P84">
            <x:v>19</x:v>
          </x:cell>
        </x:row>
        <x:row r="85">
          <x:cell r="C85" t="str">
            <x:v>호평초</x:v>
          </x:cell>
          <x:cell r="F85">
            <x:v>1</x:v>
          </x:cell>
          <x:cell r="M85">
            <x:v>1</x:v>
          </x:cell>
          <x:cell r="N85">
            <x:v>0</x:v>
          </x:cell>
          <x:cell r="O85">
            <x:v>1</x:v>
          </x:cell>
          <x:cell r="P85">
            <x:v>4</x:v>
          </x:cell>
        </x:row>
        <x:row r="86">
          <x:cell r="C86" t="str">
            <x:v>해밀초</x:v>
          </x:cell>
          <x:cell r="F86">
            <x:v>1</x:v>
          </x:cell>
          <x:cell r="M86">
            <x:v>0</x:v>
          </x:cell>
          <x:cell r="N86">
            <x:v>1</x:v>
          </x:cell>
          <x:cell r="O86">
            <x:v>2</x:v>
          </x:cell>
          <x:cell r="P86">
            <x:v>6</x:v>
          </x:cell>
        </x:row>
        <x:row r="87">
          <x:cell r="C87" t="str">
            <x:v>화도초</x:v>
          </x:cell>
          <x:cell r="F87">
            <x:v>2</x:v>
          </x:cell>
          <x:cell r="M87">
            <x:v>1</x:v>
          </x:cell>
          <x:cell r="N87">
            <x:v>3</x:v>
          </x:cell>
          <x:cell r="O87">
            <x:v>3</x:v>
          </x:cell>
          <x:cell r="P87">
            <x:v>12</x:v>
          </x:cell>
        </x:row>
        <x:row r="88">
          <x:cell r="C88" t="str">
            <x:v>화봉초</x:v>
          </x:cell>
          <x:cell r="F88">
            <x:v>1</x:v>
          </x:cell>
          <x:cell r="M88">
            <x:v>0</x:v>
          </x:cell>
          <x:cell r="N88">
            <x:v>1</x:v>
          </x:cell>
          <x:cell r="O88">
            <x:v>2</x:v>
          </x:cell>
          <x:cell r="P88">
            <x:v>5</x:v>
          </x:cell>
        </x:row>
        <x:row r="89">
          <x:cell r="C89" t="str">
            <x:v>화접초</x:v>
          </x:cell>
          <x:cell r="F89">
            <x:v>3</x:v>
          </x:cell>
          <x:cell r="M89">
            <x:v>2</x:v>
          </x:cell>
          <x:cell r="N89">
            <x:v>3</x:v>
          </x:cell>
          <x:cell r="O89">
            <x:v>0</x:v>
          </x:cell>
          <x:cell r="P89">
            <x:v>19</x:v>
          </x:cell>
        </x:row>
      </x:sheetData>
      <x:sheetData sheetId="10" refreshError="0">
        <x:row r="7">
          <x:cell r="C7" t="str">
            <x:v>갈매중</x:v>
          </x:cell>
          <x:cell r="F7">
            <x:v>2</x:v>
          </x:cell>
          <x:cell r="J7">
            <x:v>4</x:v>
          </x:cell>
          <x:cell r="K7">
            <x:v>3</x:v>
          </x:cell>
          <x:cell r="L7">
            <x:v>2</x:v>
          </x:cell>
          <x:cell r="M7">
            <x:v>9</x:v>
          </x:cell>
        </x:row>
        <x:row r="8">
          <x:cell r="C8" t="str">
            <x:v>교문중</x:v>
          </x:cell>
          <x:cell r="F8">
            <x:v>2</x:v>
          </x:cell>
          <x:cell r="J8">
            <x:v>3</x:v>
          </x:cell>
          <x:cell r="K8">
            <x:v>0</x:v>
          </x:cell>
          <x:cell r="L8">
            <x:v>4</x:v>
          </x:cell>
          <x:cell r="M8">
            <x:v>7</x:v>
          </x:cell>
        </x:row>
        <x:row r="9">
          <x:cell r="C9" t="str">
            <x:v>구리여중</x:v>
          </x:cell>
          <x:cell r="F9">
            <x:v>2</x:v>
          </x:cell>
          <x:cell r="J9">
            <x:v>3</x:v>
          </x:cell>
          <x:cell r="K9">
            <x:v>3</x:v>
          </x:cell>
          <x:cell r="L9">
            <x:v>6</x:v>
          </x:cell>
          <x:cell r="M9">
            <x:v>12</x:v>
          </x:cell>
        </x:row>
        <x:row r="10">
          <x:cell r="C10" t="str">
            <x:v>구리여중
(전일제)</x:v>
          </x:cell>
          <x:cell r="H10">
            <x:v>1</x:v>
          </x:cell>
          <x:cell r="J10">
            <x:v>2</x:v>
          </x:cell>
          <x:cell r="K10">
            <x:v>1</x:v>
          </x:cell>
          <x:cell r="L10">
            <x:v>1</x:v>
          </x:cell>
          <x:cell r="M10">
            <x:v>4</x:v>
          </x:cell>
        </x:row>
        <x:row r="11">
          <x:cell r="C11" t="str">
            <x:v>구리중</x:v>
          </x:cell>
          <x:cell r="F11">
            <x:v>1</x:v>
          </x:cell>
          <x:cell r="J11">
            <x:v>1</x:v>
          </x:cell>
          <x:cell r="K11">
            <x:v>2</x:v>
          </x:cell>
          <x:cell r="L11">
            <x:v>3</x:v>
          </x:cell>
          <x:cell r="M11">
            <x:v>6</x:v>
          </x:cell>
        </x:row>
        <x:row r="12">
          <x:cell r="C12" t="str">
            <x:v>동구중</x:v>
          </x:cell>
          <x:cell r="F12">
            <x:v>1</x:v>
          </x:cell>
          <x:cell r="J12">
            <x:v>2</x:v>
          </x:cell>
          <x:cell r="K12">
            <x:v>4</x:v>
          </x:cell>
          <x:cell r="L12">
            <x:v>1</x:v>
          </x:cell>
          <x:cell r="M12">
            <x:v>7</x:v>
          </x:cell>
        </x:row>
        <x:row r="13">
          <x:cell r="C13" t="str">
            <x:v>인창중</x:v>
          </x:cell>
          <x:cell r="F13">
            <x:v>2</x:v>
          </x:cell>
          <x:cell r="J13">
            <x:v>4</x:v>
          </x:cell>
          <x:cell r="K13">
            <x:v>2</x:v>
          </x:cell>
          <x:cell r="L13">
            <x:v>4</x:v>
          </x:cell>
          <x:cell r="M13">
            <x:v>10</x:v>
          </x:cell>
        </x:row>
        <x:row r="14">
          <x:cell r="C14" t="str">
            <x:v>토평중</x:v>
          </x:cell>
          <x:cell r="F14">
            <x:v>3</x:v>
          </x:cell>
          <x:cell r="J14">
            <x:v>4</x:v>
          </x:cell>
          <x:cell r="K14">
            <x:v>4</x:v>
          </x:cell>
          <x:cell r="L14">
            <x:v>9</x:v>
          </x:cell>
          <x:cell r="M14">
            <x:v>17</x:v>
          </x:cell>
        </x:row>
        <x:row r="15">
          <x:cell r="C15" t="str">
            <x:v>가운중
(시간제)</x:v>
          </x:cell>
          <x:cell r="F15">
            <x:v>1</x:v>
          </x:cell>
          <x:cell r="J15">
            <x:v>1</x:v>
          </x:cell>
          <x:cell r="K15">
            <x:v>4</x:v>
          </x:cell>
          <x:cell r="L15">
            <x:v>1</x:v>
          </x:cell>
          <x:cell r="M15">
            <x:v>6</x:v>
          </x:cell>
        </x:row>
        <x:row r="16">
          <x:cell r="C16" t="str">
            <x:v>가운중
(전일제)</x:v>
          </x:cell>
          <x:cell r="H16">
            <x:v>3</x:v>
          </x:cell>
          <x:cell r="J16">
            <x:v>4</x:v>
          </x:cell>
          <x:cell r="K16">
            <x:v>4</x:v>
          </x:cell>
          <x:cell r="L16">
            <x:v>4</x:v>
          </x:cell>
          <x:cell r="M16">
            <x:v>12</x:v>
          </x:cell>
        </x:row>
        <x:row r="17">
          <x:cell r="C17" t="str">
            <x:v>광릉중
(시간제)</x:v>
          </x:cell>
          <x:cell r="F17">
            <x:v>1</x:v>
          </x:cell>
          <x:cell r="J17">
            <x:v>2</x:v>
          </x:cell>
          <x:cell r="K17">
            <x:v>1</x:v>
          </x:cell>
          <x:cell r="L17">
            <x:v>1</x:v>
          </x:cell>
          <x:cell r="M17">
            <x:v>4</x:v>
          </x:cell>
        </x:row>
        <x:row r="18">
          <x:cell r="C18" t="str">
            <x:v>광릉중
(전일제)</x:v>
          </x:cell>
          <x:cell r="H18">
            <x:v>1</x:v>
          </x:cell>
          <x:cell r="J18">
            <x:v>4</x:v>
          </x:cell>
          <x:cell r="K18">
            <x:v>0</x:v>
          </x:cell>
          <x:cell r="L18">
            <x:v>0</x:v>
          </x:cell>
          <x:cell r="M18">
            <x:v>4</x:v>
          </x:cell>
        </x:row>
        <x:row r="19">
          <x:cell r="C19" t="str">
            <x:v>금곡중</x:v>
          </x:cell>
          <x:cell r="F19">
            <x:v>1</x:v>
          </x:cell>
          <x:cell r="J19">
            <x:v>1</x:v>
          </x:cell>
          <x:cell r="K19">
            <x:v>1</x:v>
          </x:cell>
          <x:cell r="L19">
            <x:v>2</x:v>
          </x:cell>
          <x:cell r="M19">
            <x:v>4</x:v>
          </x:cell>
        </x:row>
        <x:row r="20">
          <x:cell r="C20" t="str">
            <x:v>남양주다산중</x:v>
          </x:cell>
          <x:cell r="F20">
            <x:v>2</x:v>
          </x:cell>
          <x:cell r="J20">
            <x:v>4</x:v>
          </x:cell>
          <x:cell r="K20">
            <x:v>4</x:v>
          </x:cell>
          <x:cell r="L20">
            <x:v>2</x:v>
          </x:cell>
          <x:cell r="M20">
            <x:v>10</x:v>
          </x:cell>
        </x:row>
        <x:row r="21">
          <x:cell r="C21" t="str">
            <x:v>다산새봄중</x:v>
          </x:cell>
          <x:cell r="F21">
            <x:v>3</x:v>
          </x:cell>
          <x:cell r="J21">
            <x:v>4</x:v>
          </x:cell>
          <x:cell r="K21">
            <x:v>5</x:v>
          </x:cell>
          <x:cell r="L21">
            <x:v>7</x:v>
          </x:cell>
          <x:cell r="M21">
            <x:v>16</x:v>
          </x:cell>
        </x:row>
        <x:row r="22">
          <x:cell r="C22" t="str">
            <x:v>다산한강중</x:v>
          </x:cell>
          <x:cell r="F22">
            <x:v>1</x:v>
          </x:cell>
          <x:cell r="J22">
            <x:v>0</x:v>
          </x:cell>
          <x:cell r="K22">
            <x:v>4</x:v>
          </x:cell>
          <x:cell r="L22">
            <x:v>3</x:v>
          </x:cell>
          <x:cell r="M22">
            <x:v>7</x:v>
          </x:cell>
        </x:row>
        <x:row r="23">
          <x:cell r="C23" t="str">
            <x:v>덕소중</x:v>
          </x:cell>
          <x:cell r="F23">
            <x:v>2</x:v>
          </x:cell>
          <x:cell r="J23">
            <x:v>2</x:v>
          </x:cell>
          <x:cell r="K23">
            <x:v>3</x:v>
          </x:cell>
          <x:cell r="L23">
            <x:v>3</x:v>
          </x:cell>
          <x:cell r="M23">
            <x:v>8</x:v>
          </x:cell>
        </x:row>
        <x:row r="24">
          <x:cell r="C24" t="str">
            <x:v>도농중</x:v>
          </x:cell>
          <x:cell r="F24">
            <x:v>2</x:v>
          </x:cell>
          <x:cell r="J24">
            <x:v>6</x:v>
          </x:cell>
          <x:cell r="K24">
            <x:v>3</x:v>
          </x:cell>
          <x:cell r="L24">
            <x:v>3</x:v>
          </x:cell>
          <x:cell r="M24">
            <x:v>12</x:v>
          </x:cell>
        </x:row>
        <x:row r="25">
          <x:cell r="C25" t="str">
            <x:v>마석중</x:v>
          </x:cell>
          <x:cell r="F25">
            <x:v>2</x:v>
          </x:cell>
          <x:cell r="J25">
            <x:v>4</x:v>
          </x:cell>
          <x:cell r="K25">
            <x:v>4</x:v>
          </x:cell>
          <x:cell r="L25">
            <x:v>6</x:v>
          </x:cell>
          <x:cell r="M25">
            <x:v>14</x:v>
          </x:cell>
        </x:row>
        <x:row r="26">
          <x:cell r="C26" t="str">
            <x:v>별가람중</x:v>
          </x:cell>
          <x:cell r="F26">
            <x:v>1</x:v>
          </x:cell>
          <x:cell r="J26">
            <x:v>1</x:v>
          </x:cell>
          <x:cell r="K26">
            <x:v>4</x:v>
          </x:cell>
          <x:cell r="L26">
            <x:v>3</x:v>
          </x:cell>
          <x:cell r="M26">
            <x:v>8</x:v>
          </x:cell>
        </x:row>
        <x:row r="27">
          <x:cell r="C27" t="str">
            <x:v>별내중</x:v>
          </x:cell>
          <x:cell r="F27">
            <x:v>1</x:v>
          </x:cell>
          <x:cell r="J27">
            <x:v>2</x:v>
          </x:cell>
          <x:cell r="K27">
            <x:v>3</x:v>
          </x:cell>
          <x:cell r="L27">
            <x:v>1</x:v>
          </x:cell>
          <x:cell r="M27">
            <x:v>6</x:v>
          </x:cell>
        </x:row>
        <x:row r="28">
          <x:cell r="C28" t="str">
            <x:v>송라중</x:v>
          </x:cell>
          <x:cell r="F28">
            <x:v>3</x:v>
          </x:cell>
          <x:cell r="J28">
            <x:v>5</x:v>
          </x:cell>
          <x:cell r="K28">
            <x:v>7</x:v>
          </x:cell>
          <x:cell r="L28">
            <x:v>6</x:v>
          </x:cell>
          <x:cell r="M28">
            <x:v>18</x:v>
          </x:cell>
        </x:row>
        <x:row r="29">
          <x:cell r="C29" t="str">
            <x:v>수동중(사립)</x:v>
          </x:cell>
          <x:cell r="F29">
            <x:v>1</x:v>
          </x:cell>
          <x:cell r="J29">
            <x:v>2</x:v>
          </x:cell>
          <x:cell r="K29">
            <x:v>2</x:v>
          </x:cell>
          <x:cell r="L29">
            <x:v>2</x:v>
          </x:cell>
          <x:cell r="M29">
            <x:v>6</x:v>
          </x:cell>
        </x:row>
        <x:row r="30">
          <x:cell r="C30" t="str">
            <x:v>양오중</x:v>
          </x:cell>
          <x:cell r="F30">
            <x:v>2</x:v>
          </x:cell>
          <x:cell r="J30">
            <x:v>2</x:v>
          </x:cell>
          <x:cell r="K30">
            <x:v>4</x:v>
          </x:cell>
          <x:cell r="L30">
            <x:v>1</x:v>
          </x:cell>
          <x:cell r="M30">
            <x:v>7</x:v>
          </x:cell>
        </x:row>
        <x:row r="31">
          <x:cell r="C31" t="str">
            <x:v>어람중</x:v>
          </x:cell>
          <x:cell r="F31">
            <x:v>1</x:v>
          </x:cell>
          <x:cell r="J31">
            <x:v>2</x:v>
          </x:cell>
          <x:cell r="K31">
            <x:v>3</x:v>
          </x:cell>
          <x:cell r="L31">
            <x:v>4</x:v>
          </x:cell>
          <x:cell r="M31">
            <x:v>9</x:v>
          </x:cell>
        </x:row>
        <x:row r="32">
          <x:cell r="C32" t="str">
            <x:v>예봉중</x:v>
          </x:cell>
          <x:cell r="F32">
            <x:v>1</x:v>
          </x:cell>
          <x:cell r="J32">
            <x:v>0</x:v>
          </x:cell>
          <x:cell r="K32">
            <x:v>1</x:v>
          </x:cell>
          <x:cell r="L32">
            <x:v>2</x:v>
          </x:cell>
          <x:cell r="M32">
            <x:v>3</x:v>
          </x:cell>
        </x:row>
        <x:row r="33">
          <x:cell r="C33" t="str">
            <x:v>오남중</x:v>
          </x:cell>
          <x:cell r="F33">
            <x:v>1</x:v>
          </x:cell>
          <x:cell r="J33">
            <x:v>2</x:v>
          </x:cell>
          <x:cell r="K33">
            <x:v>1</x:v>
          </x:cell>
          <x:cell r="L33">
            <x:v>1</x:v>
          </x:cell>
          <x:cell r="M33">
            <x:v>4</x:v>
          </x:cell>
        </x:row>
        <x:row r="34">
          <x:cell r="C34" t="str">
            <x:v>와부중</x:v>
          </x:cell>
          <x:cell r="F34">
            <x:v>1</x:v>
          </x:cell>
          <x:cell r="J34">
            <x:v>1</x:v>
          </x:cell>
          <x:cell r="K34">
            <x:v>3</x:v>
          </x:cell>
          <x:cell r="L34">
            <x:v>4</x:v>
          </x:cell>
          <x:cell r="M34">
            <x:v>8</x:v>
          </x:cell>
        </x:row>
        <x:row r="35">
          <x:cell r="C35" t="str">
            <x:v>장내중</x:v>
          </x:cell>
          <x:cell r="F35">
            <x:v>1</x:v>
          </x:cell>
          <x:cell r="J35">
            <x:v>3</x:v>
          </x:cell>
          <x:cell r="K35">
            <x:v>3</x:v>
          </x:cell>
          <x:cell r="L35">
            <x:v>3</x:v>
          </x:cell>
          <x:cell r="M35">
            <x:v>9</x:v>
          </x:cell>
        </x:row>
        <x:row r="36">
          <x:cell r="C36" t="str">
            <x:v>주곡중</x:v>
          </x:cell>
          <x:cell r="F36">
            <x:v>1</x:v>
          </x:cell>
          <x:cell r="J36">
            <x:v>1</x:v>
          </x:cell>
          <x:cell r="K36">
            <x:v>4</x:v>
          </x:cell>
          <x:cell r="L36">
            <x:v>2</x:v>
          </x:cell>
          <x:cell r="M36">
            <x:v>7</x:v>
          </x:cell>
        </x:row>
        <x:row r="37">
          <x:cell r="C37" t="str">
            <x:v>진건중</x:v>
          </x:cell>
          <x:cell r="F37">
            <x:v>2</x:v>
          </x:cell>
          <x:cell r="J37">
            <x:v>3</x:v>
          </x:cell>
          <x:cell r="K37">
            <x:v>2</x:v>
          </x:cell>
          <x:cell r="L37">
            <x:v>3</x:v>
          </x:cell>
          <x:cell r="M37">
            <x:v>8</x:v>
          </x:cell>
        </x:row>
        <x:row r="38">
          <x:cell r="C38" t="str">
            <x:v>진접중</x:v>
          </x:cell>
          <x:cell r="F38">
            <x:v>2</x:v>
          </x:cell>
          <x:cell r="J38">
            <x:v>3</x:v>
          </x:cell>
          <x:cell r="K38">
            <x:v>4</x:v>
          </x:cell>
          <x:cell r="L38">
            <x:v>6</x:v>
          </x:cell>
          <x:cell r="M38">
            <x:v>13</x:v>
          </x:cell>
        </x:row>
        <x:row r="39">
          <x:cell r="C39" t="str">
            <x:v>천마중</x:v>
          </x:cell>
          <x:cell r="F39">
            <x:v>1</x:v>
          </x:cell>
          <x:cell r="J39">
            <x:v>3</x:v>
          </x:cell>
          <x:cell r="K39">
            <x:v>0</x:v>
          </x:cell>
          <x:cell r="L39">
            <x:v>4</x:v>
          </x:cell>
          <x:cell r="M39">
            <x:v>7</x:v>
          </x:cell>
        </x:row>
        <x:row r="40">
          <x:cell r="C40" t="str">
            <x:v>퇴계원중</x:v>
          </x:cell>
          <x:cell r="F40">
            <x:v>3</x:v>
          </x:cell>
          <x:cell r="J40">
            <x:v>3</x:v>
          </x:cell>
          <x:cell r="K40">
            <x:v>3</x:v>
          </x:cell>
          <x:cell r="L40">
            <x:v>8</x:v>
          </x:cell>
          <x:cell r="M40">
            <x:v>14</x:v>
          </x:cell>
        </x:row>
        <x:row r="41">
          <x:cell r="C41" t="str">
            <x:v>판곡중</x:v>
          </x:cell>
          <x:cell r="F41">
            <x:v>1</x:v>
          </x:cell>
          <x:cell r="J41">
            <x:v>4</x:v>
          </x:cell>
          <x:cell r="K41">
            <x:v>3</x:v>
          </x:cell>
          <x:cell r="L41">
            <x:v>0</x:v>
          </x:cell>
          <x:cell r="M41">
            <x:v>7</x:v>
          </x:cell>
        </x:row>
        <x:row r="42">
          <x:cell r="C42" t="str">
            <x:v>평내중</x:v>
          </x:cell>
          <x:cell r="F42">
            <x:v>2</x:v>
          </x:cell>
          <x:cell r="G42">
            <x:v>1</x:v>
          </x:cell>
          <x:cell r="J42">
            <x:v>3</x:v>
          </x:cell>
          <x:cell r="K42">
            <x:v>6</x:v>
          </x:cell>
          <x:cell r="L42">
            <x:v>1</x:v>
          </x:cell>
          <x:cell r="M42">
            <x:v>10</x:v>
          </x:cell>
        </x:row>
        <x:row r="43">
          <x:cell r="J43">
            <x:v>0</x:v>
          </x:cell>
          <x:cell r="K43">
            <x:v>2</x:v>
          </x:cell>
          <x:cell r="L43">
            <x:v>2</x:v>
          </x:cell>
          <x:cell r="M43">
            <x:v>4</x:v>
          </x:cell>
        </x:row>
        <x:row r="44">
          <x:cell r="C44" t="str">
            <x:v>풍양중</x:v>
          </x:cell>
          <x:cell r="F44">
            <x:v>2</x:v>
          </x:cell>
          <x:cell r="J44">
            <x:v>4</x:v>
          </x:cell>
          <x:cell r="K44">
            <x:v>6</x:v>
          </x:cell>
          <x:cell r="L44">
            <x:v>4</x:v>
          </x:cell>
          <x:cell r="M44">
            <x:v>14</x:v>
          </x:cell>
        </x:row>
        <x:row r="45">
          <x:cell r="C45" t="str">
            <x:v>하랑중</x:v>
          </x:cell>
          <x:cell r="F45">
            <x:v>1</x:v>
          </x:cell>
          <x:cell r="J45">
            <x:v>3</x:v>
          </x:cell>
          <x:cell r="K45">
            <x:v>0</x:v>
          </x:cell>
          <x:cell r="L45">
            <x:v>1</x:v>
          </x:cell>
          <x:cell r="M45">
            <x:v>4</x:v>
          </x:cell>
        </x:row>
        <x:row r="46">
          <x:cell r="C46" t="str">
            <x:v>한별중</x:v>
          </x:cell>
          <x:cell r="F46">
            <x:v>2</x:v>
          </x:cell>
          <x:cell r="J46">
            <x:v>5</x:v>
          </x:cell>
          <x:cell r="K46">
            <x:v>3</x:v>
          </x:cell>
          <x:cell r="L46">
            <x:v>3</x:v>
          </x:cell>
          <x:cell r="M46">
            <x:v>11</x:v>
          </x:cell>
        </x:row>
        <x:row r="47">
          <x:cell r="C47" t="str">
            <x:v>호평중</x:v>
          </x:cell>
          <x:cell r="F47">
            <x:v>2</x:v>
          </x:cell>
          <x:cell r="J47">
            <x:v>5</x:v>
          </x:cell>
          <x:cell r="K47">
            <x:v>3</x:v>
          </x:cell>
          <x:cell r="L47">
            <x:v>1</x:v>
          </x:cell>
          <x:cell r="M47">
            <x:v>9</x:v>
          </x:cell>
        </x:row>
        <x:row r="48">
          <x:cell r="C48" t="str">
            <x:v>화접중</x:v>
          </x:cell>
          <x:cell r="F48">
            <x:v>2</x:v>
          </x:cell>
          <x:cell r="J48">
            <x:v>3</x:v>
          </x:cell>
          <x:cell r="K48">
            <x:v>4</x:v>
          </x:cell>
          <x:cell r="L48">
            <x:v>3</x:v>
          </x:cell>
          <x:cell r="M48">
            <x:v>10</x:v>
          </x:cell>
        </x:row>
      </x:sheetData>
      <x:sheetData sheetId="11" refreshError="0">
        <x:row r="7">
          <x:cell r="C7" t="str">
            <x:v>갈매고</x:v>
          </x:cell>
          <x:cell r="F7">
            <x:v>1</x:v>
          </x:cell>
          <x:cell r="K7">
            <x:v>2</x:v>
          </x:cell>
          <x:cell r="L7">
            <x:v>2</x:v>
          </x:cell>
          <x:cell r="M7">
            <x:v>1</x:v>
          </x:cell>
          <x:cell r="N7">
            <x:v>5</x:v>
          </x:cell>
        </x:row>
        <x:row r="8">
          <x:cell r="C8" t="str">
            <x:v>구리여자고</x:v>
          </x:cell>
          <x:cell r="F8">
            <x:v>2</x:v>
          </x:cell>
          <x:cell r="K8">
            <x:v>4</x:v>
          </x:cell>
          <x:cell r="L8">
            <x:v>4</x:v>
          </x:cell>
          <x:cell r="M8">
            <x:v>1</x:v>
          </x:cell>
          <x:cell r="N8">
            <x:v>9</x:v>
          </x:cell>
        </x:row>
        <x:row r="9">
          <x:cell r="C9" t="str">
            <x:v>수택고</x:v>
          </x:cell>
          <x:cell r="F9">
            <x:v>2</x:v>
          </x:cell>
          <x:cell r="H9">
            <x:v>2</x:v>
          </x:cell>
          <x:cell r="K9">
            <x:v>4</x:v>
          </x:cell>
          <x:cell r="L9">
            <x:v>2</x:v>
          </x:cell>
          <x:cell r="M9">
            <x:v>8</x:v>
          </x:cell>
          <x:cell r="N9">
            <x:v>14</x:v>
          </x:cell>
        </x:row>
        <x:row r="10">
          <x:cell r="K10">
            <x:v>1</x:v>
          </x:cell>
          <x:cell r="L10">
            <x:v>6</x:v>
          </x:cell>
          <x:cell r="M10">
            <x:v>1</x:v>
          </x:cell>
          <x:cell r="N10">
            <x:v>8</x:v>
          </x:cell>
        </x:row>
        <x:row r="11">
          <x:cell r="C11" t="str">
            <x:v>인창고</x:v>
          </x:cell>
          <x:cell r="F11">
            <x:v>2</x:v>
          </x:cell>
          <x:cell r="K11">
            <x:v>8</x:v>
          </x:cell>
          <x:cell r="L11">
            <x:v>2</x:v>
          </x:cell>
          <x:cell r="M11">
            <x:v>4</x:v>
          </x:cell>
          <x:cell r="N11">
            <x:v>14</x:v>
          </x:cell>
        </x:row>
        <x:row r="12">
          <x:cell r="C12" t="str">
            <x:v>토평고</x:v>
          </x:cell>
          <x:cell r="F12">
            <x:v>3</x:v>
          </x:cell>
          <x:cell r="K12">
            <x:v>8</x:v>
          </x:cell>
          <x:cell r="L12">
            <x:v>3</x:v>
          </x:cell>
          <x:cell r="M12">
            <x:v>5</x:v>
          </x:cell>
          <x:cell r="N12">
            <x:v>16</x:v>
          </x:cell>
        </x:row>
        <x:row r="13">
          <x:cell r="C13" t="str">
            <x:v>가운고</x:v>
          </x:cell>
          <x:cell r="F13">
            <x:v>1</x:v>
          </x:cell>
          <x:cell r="K13">
            <x:v>1</x:v>
          </x:cell>
          <x:cell r="L13">
            <x:v>4</x:v>
          </x:cell>
          <x:cell r="M13">
            <x:v>2</x:v>
          </x:cell>
          <x:cell r="N13">
            <x:v>7</x:v>
          </x:cell>
        </x:row>
        <x:row r="14">
          <x:cell r="C14" t="str">
            <x:v>남양주고</x:v>
          </x:cell>
          <x:cell r="F14">
            <x:v>2</x:v>
          </x:cell>
          <x:cell r="K14">
            <x:v>2</x:v>
          </x:cell>
          <x:cell r="L14">
            <x:v>7</x:v>
          </x:cell>
          <x:cell r="M14">
            <x:v>6</x:v>
          </x:cell>
          <x:cell r="N14">
            <x:v>15</x:v>
          </x:cell>
        </x:row>
        <x:row r="15">
          <x:cell r="C15" t="str">
            <x:v>남양주다산고</x:v>
          </x:cell>
          <x:cell r="F15">
            <x:v>2</x:v>
          </x:cell>
          <x:cell r="K15">
            <x:v>2</x:v>
          </x:cell>
          <x:cell r="L15">
            <x:v>4</x:v>
          </x:cell>
          <x:cell r="M15">
            <x:v>6</x:v>
          </x:cell>
          <x:cell r="N15">
            <x:v>12</x:v>
          </x:cell>
        </x:row>
        <x:row r="16">
          <x:cell r="C16" t="str">
            <x:v>도농고</x:v>
          </x:cell>
          <x:cell r="F16">
            <x:v>1</x:v>
          </x:cell>
          <x:cell r="G16">
            <x:v>1</x:v>
          </x:cell>
          <x:cell r="K16">
            <x:v>4</x:v>
          </x:cell>
          <x:cell r="L16">
            <x:v>1</x:v>
          </x:cell>
          <x:cell r="M16">
            <x:v>4</x:v>
          </x:cell>
          <x:cell r="N16">
            <x:v>9</x:v>
          </x:cell>
        </x:row>
        <x:row r="17">
          <x:cell r="K17">
            <x:v>0</x:v>
          </x:cell>
          <x:cell r="L17">
            <x:v>1</x:v>
          </x:cell>
          <x:cell r="M17">
            <x:v>3</x:v>
          </x:cell>
          <x:cell r="N17">
            <x:v>4</x:v>
          </x:cell>
        </x:row>
        <x:row r="18">
          <x:cell r="C18" t="str">
            <x:v>마석고</x:v>
          </x:cell>
          <x:cell r="F18">
            <x:v>3</x:v>
          </x:cell>
          <x:cell r="K18">
            <x:v>8</x:v>
          </x:cell>
          <x:cell r="L18">
            <x:v>6</x:v>
          </x:cell>
          <x:cell r="M18">
            <x:v>7</x:v>
          </x:cell>
          <x:cell r="N18">
            <x:v>21</x:v>
          </x:cell>
        </x:row>
        <x:row r="19">
          <x:cell r="C19" t="str">
            <x:v>별가람고</x:v>
          </x:cell>
          <x:cell r="F19">
            <x:v>2</x:v>
          </x:cell>
          <x:cell r="H19">
            <x:v>2</x:v>
          </x:cell>
          <x:cell r="K19">
            <x:v>3</x:v>
          </x:cell>
          <x:cell r="L19">
            <x:v>4</x:v>
          </x:cell>
          <x:cell r="M19">
            <x:v>5</x:v>
          </x:cell>
          <x:cell r="N19">
            <x:v>12</x:v>
          </x:cell>
        </x:row>
        <x:row r="20">
          <x:cell r="K20">
            <x:v>6</x:v>
          </x:cell>
          <x:cell r="L20">
            <x:v>0</x:v>
          </x:cell>
          <x:cell r="M20">
            <x:v>2</x:v>
          </x:cell>
          <x:cell r="N20">
            <x:v>8</x:v>
          </x:cell>
        </x:row>
        <x:row r="21">
          <x:cell r="C21" t="str">
            <x:v>별내고</x:v>
          </x:cell>
          <x:cell r="F21">
            <x:v>2</x:v>
          </x:cell>
          <x:cell r="K21">
            <x:v>4</x:v>
          </x:cell>
          <x:cell r="L21">
            <x:v>3</x:v>
          </x:cell>
          <x:cell r="M21">
            <x:v>2</x:v>
          </x:cell>
          <x:cell r="N21">
            <x:v>9</x:v>
          </x:cell>
        </x:row>
        <x:row r="22">
          <x:cell r="C22" t="str">
            <x:v>오남고</x:v>
          </x:cell>
          <x:cell r="F22">
            <x:v>3</x:v>
          </x:cell>
          <x:cell r="K22">
            <x:v>9</x:v>
          </x:cell>
          <x:cell r="L22">
            <x:v>4</x:v>
          </x:cell>
          <x:cell r="M22">
            <x:v>7</x:v>
          </x:cell>
          <x:cell r="N22">
            <x:v>20</x:v>
          </x:cell>
        </x:row>
        <x:row r="23">
          <x:cell r="C23" t="str">
            <x:v>와부고</x:v>
          </x:cell>
          <x:cell r="F23">
            <x:v>3</x:v>
          </x:cell>
          <x:cell r="K23">
            <x:v>10</x:v>
          </x:cell>
          <x:cell r="L23">
            <x:v>4</x:v>
          </x:cell>
          <x:cell r="M23">
            <x:v>9</x:v>
          </x:cell>
          <x:cell r="N23">
            <x:v>23</x:v>
          </x:cell>
        </x:row>
        <x:row r="24">
          <x:cell r="C24" t="str">
            <x:v>진건고</x:v>
          </x:cell>
          <x:cell r="F24">
            <x:v>2</x:v>
          </x:cell>
          <x:cell r="K24">
            <x:v>5</x:v>
          </x:cell>
          <x:cell r="L24">
            <x:v>3</x:v>
          </x:cell>
          <x:cell r="M24">
            <x:v>8</x:v>
          </x:cell>
          <x:cell r="N24">
            <x:v>16</x:v>
          </x:cell>
        </x:row>
        <x:row r="25">
          <x:cell r="C25" t="str">
            <x:v>진접고</x:v>
          </x:cell>
          <x:cell r="F25">
            <x:v>3</x:v>
          </x:cell>
          <x:cell r="K25">
            <x:v>8</x:v>
          </x:cell>
          <x:cell r="L25">
            <x:v>6</x:v>
          </x:cell>
          <x:cell r="M25">
            <x:v>7</x:v>
          </x:cell>
          <x:cell r="N25">
            <x:v>21</x:v>
          </x:cell>
        </x:row>
        <x:row r="26">
          <x:cell r="C26" t="str">
            <x:v>청학고</x:v>
          </x:cell>
          <x:cell r="F26">
            <x:v>1</x:v>
          </x:cell>
          <x:cell r="K26">
            <x:v>2</x:v>
          </x:cell>
          <x:cell r="L26">
            <x:v>0</x:v>
          </x:cell>
          <x:cell r="M26">
            <x:v>0</x:v>
          </x:cell>
          <x:cell r="N26">
            <x:v>2</x:v>
          </x:cell>
        </x:row>
        <x:row r="27">
          <x:cell r="C27" t="str">
            <x:v>퇴계원고</x:v>
          </x:cell>
          <x:cell r="F27">
            <x:v>2</x:v>
          </x:cell>
          <x:cell r="K27">
            <x:v>6</x:v>
          </x:cell>
          <x:cell r="L27">
            <x:v>4</x:v>
          </x:cell>
          <x:cell r="M27">
            <x:v>5</x:v>
          </x:cell>
          <x:cell r="N27">
            <x:v>15</x:v>
          </x:cell>
        </x:row>
        <x:row r="28">
          <x:cell r="C28" t="str">
            <x:v>판곡고</x:v>
          </x:cell>
          <x:cell r="F28">
            <x:v>2</x:v>
          </x:cell>
          <x:cell r="K28">
            <x:v>7</x:v>
          </x:cell>
          <x:cell r="L28">
            <x:v>4</x:v>
          </x:cell>
          <x:cell r="M28">
            <x:v>3</x:v>
          </x:cell>
          <x:cell r="N28">
            <x:v>14</x:v>
          </x:cell>
        </x:row>
        <x:row r="29">
          <x:cell r="C29" t="str">
            <x:v>평내고</x:v>
          </x:cell>
          <x:cell r="F29">
            <x:v>2</x:v>
          </x:cell>
          <x:cell r="K29">
            <x:v>5</x:v>
          </x:cell>
          <x:cell r="L29">
            <x:v>4</x:v>
          </x:cell>
          <x:cell r="M29">
            <x:v>7</x:v>
          </x:cell>
          <x:cell r="N29">
            <x:v>16</x:v>
          </x:cell>
        </x:row>
        <x:row r="30">
          <x:cell r="C30" t="str">
            <x:v>호평고</x:v>
          </x:cell>
          <x:cell r="F30">
            <x:v>3</x:v>
          </x:cell>
          <x:cell r="G30">
            <x:v>1</x:v>
          </x:cell>
          <x:cell r="K30">
            <x:v>7</x:v>
          </x:cell>
          <x:cell r="L30">
            <x:v>3</x:v>
          </x:cell>
          <x:cell r="M30">
            <x:v>5</x:v>
          </x:cell>
          <x:cell r="N30">
            <x:v>15</x:v>
          </x:cell>
        </x:row>
        <x:row r="31">
          <x:cell r="K31">
            <x:v>0</x:v>
          </x:cell>
          <x:cell r="L31">
            <x:v>0</x:v>
          </x:cell>
          <x:cell r="M31">
            <x:v>3</x:v>
          </x:cell>
          <x:cell r="N31">
            <x:v>3</x:v>
          </x:cell>
        </x:row>
      </x:sheetData>
      <x:sheetData sheetId="12" refreshError="0">
        <x:row r="7">
          <x:cell r="D7">
            <x:v>1</x:v>
          </x:cell>
        </x:row>
        <x:row r="8">
          <x:cell r="F8">
            <x:v>1</x:v>
          </x:cell>
          <x:cell r="G8">
            <x:v>0</x:v>
          </x:cell>
          <x:cell r="H8">
            <x:v>3</x:v>
          </x:cell>
        </x:row>
        <x:row r="9">
          <x:cell r="D9">
            <x:v>1</x:v>
          </x:cell>
        </x:row>
        <x:row r="10">
          <x:cell r="F10">
            <x:v>2</x:v>
          </x:cell>
          <x:cell r="G10">
            <x:v>2</x:v>
          </x:cell>
          <x:cell r="H10">
            <x:v>0</x:v>
          </x:cell>
        </x:row>
      </x:sheetData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8"/>
  <x:sheetViews>
    <x:sheetView topLeftCell="A16" zoomScaleNormal="100" zoomScaleSheetLayoutView="100" workbookViewId="0">
      <x:selection activeCell="A2" activeCellId="0" sqref="A2:N38"/>
    </x:sheetView>
  </x:sheetViews>
  <x:sheetFormatPr defaultColWidth="9.00390625" defaultRowHeight="16.39999999999999857891"/>
  <x:cols>
    <x:col min="1" max="1" width="19.10546875" bestFit="1" customWidth="1"/>
    <x:col min="2" max="2" width="8.6015625" bestFit="1" customWidth="1"/>
    <x:col min="3" max="3" width="7.3359375" bestFit="1" customWidth="1"/>
    <x:col min="4" max="6" width="13.79296875" bestFit="1" customWidth="1"/>
    <x:col min="8" max="10" width="13.79296875" bestFit="1" customWidth="1"/>
    <x:col min="12" max="14" width="13.79296875" bestFit="1" customWidth="1"/>
  </x:cols>
  <x:sheetData>
    <x:row r="1" spans="1:14" ht="32.75">
      <x:c r="A1" s="2" t="s">
        <x:v>70</x:v>
      </x:c>
      <x:c r="B1" s="2" t="s">
        <x:v>145</x:v>
      </x:c>
      <x:c r="C1" s="2" t="s">
        <x:v>140</x:v>
      </x:c>
      <x:c r="D1" s="8" t="s">
        <x:v>176</x:v>
      </x:c>
      <x:c r="E1" s="11" t="s">
        <x:v>179</x:v>
      </x:c>
      <x:c r="F1" s="11" t="s">
        <x:v>178</x:v>
      </x:c>
      <x:c r="H1" s="11" t="s">
        <x:v>182</x:v>
      </x:c>
      <x:c r="I1" s="11" t="s">
        <x:v>177</x:v>
      </x:c>
      <x:c r="J1" s="11" t="s">
        <x:v>180</x:v>
      </x:c>
      <x:c r="L1" s="11" t="s">
        <x:v>184</x:v>
      </x:c>
      <x:c r="M1" s="8" t="s">
        <x:v>175</x:v>
      </x:c>
      <x:c r="N1" s="8" t="s">
        <x:v>181</x:v>
      </x:c>
    </x:row>
    <x:row r="2" spans="1:14">
      <x:c r="A2" s="4" t="str">
        <x:f>'[1]26유(현황)'!C7</x:f>
        <x:v>갈매유</x:v>
      </x:c>
      <x:c r="B2" s="4" t="s">
        <x:v>126</x:v>
      </x:c>
      <x:c r="C2" s="4">
        <x:f>'[1]26유(현황)'!F7</x:f>
        <x:v>1</x:v>
      </x:c>
      <x:c r="D2" s="1">
        <x:f>4*'[1]26유(현황)'!F7-'[1]26유(현황)'!L7+'[1]26유(현황)'!K7</x:f>
        <x:v>2</x:v>
      </x:c>
      <x:c r="E2">
        <x:f>D2+'[1]26유(현황)'!J7</x:f>
        <x:v>3</x:v>
      </x:c>
      <x:c r="F2">
        <x:f>E2+'[1]26유(현황)'!I7</x:f>
        <x:v>4</x:v>
      </x:c>
      <x:c r="H2">
        <x:f>'[1]26유(현황)'!K7</x:f>
        <x:v>0</x:v>
      </x:c>
      <x:c r="I2">
        <x:f>SUM('[1]26유(현황)'!J7:K7)</x:f>
        <x:v>1</x:v>
      </x:c>
      <x:c r="J2">
        <x:f>SUM('[1]26유(현황)'!I7:K7)</x:f>
        <x:v>2</x:v>
      </x:c>
      <x:c r="M2">
        <x:f>'[1]26유(현황)'!J7</x:f>
        <x:v>1</x:v>
      </x:c>
      <x:c r="N2">
        <x:f>SUM('[1]26유(현황)'!I7:J7)</x:f>
        <x:v>2</x:v>
      </x:c>
    </x:row>
    <x:row r="3" spans="1:14">
      <x:c r="A3" s="4" t="str">
        <x:f>'[1]26유(현황)'!C8</x:f>
        <x:v>갈매초병설유</x:v>
      </x:c>
      <x:c r="B3" s="4" t="s">
        <x:v>126</x:v>
      </x:c>
      <x:c r="C3" s="4">
        <x:f>'[1]26유(현황)'!F8</x:f>
        <x:v>1</x:v>
      </x:c>
      <x:c r="D3" s="1">
        <x:f>4*'[1]26유(현황)'!F8-'[1]26유(현황)'!L8+'[1]26유(현황)'!K8</x:f>
        <x:v>3</x:v>
      </x:c>
      <x:c r="E3" s="10">
        <x:f>D3+'[1]26유(현황)'!J8</x:f>
        <x:v>3</x:v>
      </x:c>
      <x:c r="F3" s="10">
        <x:f>E3+'[1]26유(현황)'!I8</x:f>
        <x:v>4</x:v>
      </x:c>
      <x:c r="H3" s="10">
        <x:f>'[1]26유(현황)'!K8</x:f>
        <x:v>1</x:v>
      </x:c>
      <x:c r="I3" s="10">
        <x:f>SUM('[1]26유(현황)'!J8:K8)</x:f>
        <x:v>1</x:v>
      </x:c>
      <x:c r="J3" s="10">
        <x:f>SUM('[1]26유(현황)'!I8:K8)</x:f>
        <x:v>2</x:v>
      </x:c>
      <x:c r="M3" s="10">
        <x:f>'[1]26유(현황)'!J8</x:f>
        <x:v>0</x:v>
      </x:c>
      <x:c r="N3" s="10">
        <x:f>SUM('[1]26유(현황)'!I8:J8)</x:f>
        <x:v>1</x:v>
      </x:c>
    </x:row>
    <x:row r="4" spans="1:14">
      <x:c r="A4" s="4" t="str">
        <x:f>'[1]26유(현황)'!C9</x:f>
        <x:v>교문초병설유</x:v>
      </x:c>
      <x:c r="B4" s="4" t="s">
        <x:v>126</x:v>
      </x:c>
      <x:c r="C4" s="4">
        <x:f>'[1]26유(현황)'!F9</x:f>
        <x:v>1</x:v>
      </x:c>
      <x:c r="D4" s="1">
        <x:f>4*'[1]26유(현황)'!F9-'[1]26유(현황)'!L9+'[1]26유(현황)'!K9</x:f>
        <x:v>3</x:v>
      </x:c>
      <x:c r="E4" s="10">
        <x:f>D4+'[1]26유(현황)'!J9</x:f>
        <x:v>3</x:v>
      </x:c>
      <x:c r="F4" s="10">
        <x:f>E4+'[1]26유(현황)'!I9</x:f>
        <x:v>4</x:v>
      </x:c>
      <x:c r="H4" s="10">
        <x:f>'[1]26유(현황)'!K9</x:f>
        <x:v>1</x:v>
      </x:c>
      <x:c r="I4" s="10">
        <x:f>SUM('[1]26유(현황)'!J9:K9)</x:f>
        <x:v>1</x:v>
      </x:c>
      <x:c r="J4" s="10">
        <x:f>SUM('[1]26유(현황)'!I9:K9)</x:f>
        <x:v>2</x:v>
      </x:c>
      <x:c r="M4" s="10">
        <x:f>'[1]26유(현황)'!J9</x:f>
        <x:v>0</x:v>
      </x:c>
      <x:c r="N4" s="10">
        <x:f>SUM('[1]26유(현황)'!I9:J9)</x:f>
        <x:v>1</x:v>
      </x:c>
    </x:row>
    <x:row r="5" spans="1:14">
      <x:c r="A5" s="4" t="str">
        <x:f>'[1]26유(현황)'!C10</x:f>
        <x:v>구지초병설유</x:v>
      </x:c>
      <x:c r="B5" s="4" t="s">
        <x:v>126</x:v>
      </x:c>
      <x:c r="C5" s="4">
        <x:f>'[1]26유(현황)'!F10</x:f>
        <x:v>1</x:v>
      </x:c>
      <x:c r="D5" s="1">
        <x:f>4*'[1]26유(현황)'!F10-'[1]26유(현황)'!L10+'[1]26유(현황)'!K10</x:f>
        <x:v>2</x:v>
      </x:c>
      <x:c r="E5" s="10">
        <x:f>D5+'[1]26유(현황)'!J10</x:f>
        <x:v>3</x:v>
      </x:c>
      <x:c r="F5" s="10">
        <x:f>E5+'[1]26유(현황)'!I10</x:f>
        <x:v>4</x:v>
      </x:c>
      <x:c r="H5" s="10">
        <x:f>'[1]26유(현황)'!K10</x:f>
        <x:v>2</x:v>
      </x:c>
      <x:c r="I5" s="10">
        <x:f>SUM('[1]26유(현황)'!J10:K10)</x:f>
        <x:v>3</x:v>
      </x:c>
      <x:c r="J5" s="10">
        <x:f>SUM('[1]26유(현황)'!I10:K10)</x:f>
        <x:v>4</x:v>
      </x:c>
      <x:c r="M5" s="10">
        <x:f>'[1]26유(현황)'!J10</x:f>
        <x:v>1</x:v>
      </x:c>
      <x:c r="N5" s="10">
        <x:f>SUM('[1]26유(현황)'!I10:J10)</x:f>
        <x:v>2</x:v>
      </x:c>
    </x:row>
    <x:row r="6" spans="1:14">
      <x:c r="A6" s="5" t="str">
        <x:f>'[1]26유(현황)'!C10</x:f>
        <x:v>구지초병설유</x:v>
      </x:c>
      <x:c r="B6" s="6" t="s">
        <x:v>135</x:v>
      </x:c>
      <x:c r="C6" s="5">
        <x:f>'[1]26유(현황)'!G10</x:f>
        <x:v>1</x:v>
      </x:c>
      <x:c r="D6" s="3">
        <x:f>4*'[1]26유(현황)'!G10-'[1]26유(현황)'!L11+'[1]26유(현황)'!K11</x:f>
        <x:v>3</x:v>
      </x:c>
      <x:c r="E6" s="10">
        <x:f>D6+'[1]26유(현황)'!J11</x:f>
        <x:v>3</x:v>
      </x:c>
      <x:c r="F6" s="10">
        <x:f>E6+'[1]26유(현황)'!I11</x:f>
        <x:v>4</x:v>
      </x:c>
      <x:c r="H6" s="10">
        <x:f>'[1]26유(현황)'!K11</x:f>
        <x:v>0</x:v>
      </x:c>
      <x:c r="I6" s="10">
        <x:f>SUM('[1]26유(현황)'!J11:K11)</x:f>
        <x:v>0</x:v>
      </x:c>
      <x:c r="J6" s="10">
        <x:f>SUM('[1]26유(현황)'!I11:K11)</x:f>
        <x:v>1</x:v>
      </x:c>
      <x:c r="M6" s="10">
        <x:f>'[1]26유(현황)'!J11</x:f>
        <x:v>0</x:v>
      </x:c>
      <x:c r="N6" s="10">
        <x:f>SUM('[1]26유(현황)'!I11:J11)</x:f>
        <x:v>1</x:v>
      </x:c>
    </x:row>
    <x:row r="7" spans="1:14">
      <x:c r="A7" s="4" t="str">
        <x:f>'[1]26유(현황)'!C12</x:f>
        <x:v>산마루초병설유</x:v>
      </x:c>
      <x:c r="B7" s="4" t="s">
        <x:v>126</x:v>
      </x:c>
      <x:c r="C7" s="4">
        <x:f>'[1]26유(현황)'!F12</x:f>
        <x:v>1</x:v>
      </x:c>
      <x:c r="D7" s="1">
        <x:f>4*'[1]26유(현황)'!F12-'[1]26유(현황)'!L12+'[1]26유(현황)'!K12</x:f>
        <x:v>3</x:v>
      </x:c>
      <x:c r="E7" s="10">
        <x:f>D7+'[1]26유(현황)'!J12</x:f>
        <x:v>4</x:v>
      </x:c>
      <x:c r="F7" s="10">
        <x:f>E7+'[1]26유(현황)'!I12</x:f>
        <x:v>4</x:v>
      </x:c>
      <x:c r="H7" s="10">
        <x:f>'[1]26유(현황)'!K12</x:f>
        <x:v>3</x:v>
      </x:c>
      <x:c r="I7" s="10">
        <x:f>SUM('[1]26유(현황)'!J12:K12)</x:f>
        <x:v>4</x:v>
      </x:c>
      <x:c r="J7" s="10">
        <x:f>SUM('[1]26유(현황)'!I12:K12)</x:f>
        <x:v>4</x:v>
      </x:c>
      <x:c r="M7" s="10">
        <x:f>'[1]26유(현황)'!J12</x:f>
        <x:v>1</x:v>
      </x:c>
      <x:c r="N7" s="10">
        <x:f>SUM('[1]26유(현황)'!I12:J12)</x:f>
        <x:v>1</x:v>
      </x:c>
    </x:row>
    <x:row r="8" spans="1:14">
      <x:c r="A8" s="4" t="str">
        <x:f>'[1]26유(현황)'!C13</x:f>
        <x:v>인창유</x:v>
      </x:c>
      <x:c r="B8" s="4" t="s">
        <x:v>126</x:v>
      </x:c>
      <x:c r="C8" s="4">
        <x:f>'[1]26유(현황)'!F13</x:f>
        <x:v>1</x:v>
      </x:c>
      <x:c r="D8" s="1">
        <x:f>4*'[1]26유(현황)'!F13-'[1]26유(현황)'!L13+'[1]26유(현황)'!K13</x:f>
        <x:v>2</x:v>
      </x:c>
      <x:c r="E8" s="10">
        <x:f>D8+'[1]26유(현황)'!J13</x:f>
        <x:v>2</x:v>
      </x:c>
      <x:c r="F8" s="10">
        <x:f>E8+'[1]26유(현황)'!I13</x:f>
        <x:v>4</x:v>
      </x:c>
      <x:c r="H8" s="10">
        <x:f>'[1]26유(현황)'!K13</x:f>
        <x:v>0</x:v>
      </x:c>
      <x:c r="I8" s="10">
        <x:f>SUM('[1]26유(현황)'!J13:K13)</x:f>
        <x:v>0</x:v>
      </x:c>
      <x:c r="J8" s="10">
        <x:f>SUM('[1]26유(현황)'!I13:K13)</x:f>
        <x:v>2</x:v>
      </x:c>
      <x:c r="M8" s="10">
        <x:f>'[1]26유(현황)'!J13</x:f>
        <x:v>0</x:v>
      </x:c>
      <x:c r="N8" s="10">
        <x:f>SUM('[1]26유(현황)'!I13:J13)</x:f>
        <x:v>2</x:v>
      </x:c>
    </x:row>
    <x:row r="9" spans="1:14">
      <x:c r="A9" s="4" t="str">
        <x:f>'[1]26유(현황)'!C14</x:f>
        <x:v>남양주다산유</x:v>
      </x:c>
      <x:c r="B9" s="4" t="s">
        <x:v>126</x:v>
      </x:c>
      <x:c r="C9" s="4">
        <x:f>'[1]26유(현황)'!F14</x:f>
        <x:v>1</x:v>
      </x:c>
      <x:c r="D9" s="1">
        <x:f>4*'[1]26유(현황)'!F14-'[1]26유(현황)'!L14+'[1]26유(현황)'!K14</x:f>
        <x:v>1</x:v>
      </x:c>
      <x:c r="E9" s="10">
        <x:f>D9+'[1]26유(현황)'!J14</x:f>
        <x:v>3</x:v>
      </x:c>
      <x:c r="F9" s="10">
        <x:f>E9+'[1]26유(현황)'!I14</x:f>
        <x:v>4</x:v>
      </x:c>
      <x:c r="H9" s="10">
        <x:f>'[1]26유(현황)'!K14</x:f>
        <x:v>1</x:v>
      </x:c>
      <x:c r="I9" s="10">
        <x:f>SUM('[1]26유(현황)'!J14:K14)</x:f>
        <x:v>3</x:v>
      </x:c>
      <x:c r="J9" s="10">
        <x:f>SUM('[1]26유(현황)'!I14:K14)</x:f>
        <x:v>4</x:v>
      </x:c>
      <x:c r="M9" s="10">
        <x:f>'[1]26유(현황)'!J14</x:f>
        <x:v>2</x:v>
      </x:c>
      <x:c r="N9" s="10">
        <x:f>SUM('[1]26유(현황)'!I14:J14)</x:f>
        <x:v>3</x:v>
      </x:c>
    </x:row>
    <x:row r="10" spans="1:14">
      <x:c r="A10" s="4" t="str">
        <x:f>'[1]26유(현황)'!C15</x:f>
        <x:v>남양주다산초
병설유</x:v>
      </x:c>
      <x:c r="B10" s="4" t="s">
        <x:v>126</x:v>
      </x:c>
      <x:c r="C10" s="4">
        <x:f>'[1]26유(현황)'!F15</x:f>
        <x:v>1</x:v>
      </x:c>
      <x:c r="D10" s="1">
        <x:f>4*'[1]26유(현황)'!F15-'[1]26유(현황)'!L15+'[1]26유(현황)'!K15</x:f>
        <x:v>3</x:v>
      </x:c>
      <x:c r="E10" s="10">
        <x:f>D10+'[1]26유(현황)'!J15</x:f>
        <x:v>4</x:v>
      </x:c>
      <x:c r="F10" s="10">
        <x:f>E10+'[1]26유(현황)'!I15</x:f>
        <x:v>4</x:v>
      </x:c>
      <x:c r="H10" s="10">
        <x:f>'[1]26유(현황)'!K15</x:f>
        <x:v>1</x:v>
      </x:c>
      <x:c r="I10" s="10">
        <x:f>SUM('[1]26유(현황)'!J15:K15)</x:f>
        <x:v>2</x:v>
      </x:c>
      <x:c r="J10" s="10">
        <x:f>SUM('[1]26유(현황)'!I15:K15)</x:f>
        <x:v>2</x:v>
      </x:c>
      <x:c r="M10" s="10">
        <x:f>'[1]26유(현황)'!J15</x:f>
        <x:v>1</x:v>
      </x:c>
      <x:c r="N10" s="10">
        <x:f>SUM('[1]26유(현황)'!I15:J15)</x:f>
        <x:v>1</x:v>
      </x:c>
    </x:row>
    <x:row r="11" spans="1:14">
      <x:c r="A11" s="4" t="str">
        <x:f>'[1]26유(현황)'!C16</x:f>
        <x:v>남양주덕송초
병설유</x:v>
      </x:c>
      <x:c r="B11" s="4" t="s">
        <x:v>126</x:v>
      </x:c>
      <x:c r="C11" s="4">
        <x:f>'[1]26유(현황)'!F16</x:f>
        <x:v>1</x:v>
      </x:c>
      <x:c r="D11" s="1">
        <x:f>4*'[1]26유(현황)'!F16-'[1]26유(현황)'!L16+'[1]26유(현황)'!K16</x:f>
        <x:v>2</x:v>
      </x:c>
      <x:c r="E11" s="10">
        <x:f>D11+'[1]26유(현황)'!J16</x:f>
        <x:v>4</x:v>
      </x:c>
      <x:c r="F11" s="10">
        <x:f>E11+'[1]26유(현황)'!I16</x:f>
        <x:v>4</x:v>
      </x:c>
      <x:c r="H11" s="10">
        <x:f>'[1]26유(현황)'!K16</x:f>
        <x:v>1</x:v>
      </x:c>
      <x:c r="I11" s="10">
        <x:f>SUM('[1]26유(현황)'!J16:K16)</x:f>
        <x:v>3</x:v>
      </x:c>
      <x:c r="J11" s="10">
        <x:f>SUM('[1]26유(현황)'!I16:K16)</x:f>
        <x:v>3</x:v>
      </x:c>
      <x:c r="M11" s="10">
        <x:f>'[1]26유(현황)'!J16</x:f>
        <x:v>2</x:v>
      </x:c>
      <x:c r="N11" s="10">
        <x:f>SUM('[1]26유(현황)'!I16:J16)</x:f>
        <x:v>2</x:v>
      </x:c>
    </x:row>
    <x:row r="12" spans="1:14">
      <x:c r="A12" s="4" t="str">
        <x:f>'[1]26유(현황)'!C17</x:f>
        <x:v>남양주도곡초
병설유</x:v>
      </x:c>
      <x:c r="B12" s="4" t="s">
        <x:v>126</x:v>
      </x:c>
      <x:c r="C12" s="4">
        <x:f>'[1]26유(현황)'!F17</x:f>
        <x:v>1</x:v>
      </x:c>
      <x:c r="D12" s="1">
        <x:f>4*'[1]26유(현황)'!F17-'[1]26유(현황)'!L17+'[1]26유(현황)'!K17</x:f>
        <x:v>3</x:v>
      </x:c>
      <x:c r="E12" s="10">
        <x:f>D12+'[1]26유(현황)'!J17</x:f>
        <x:v>4</x:v>
      </x:c>
      <x:c r="F12" s="10">
        <x:f>E12+'[1]26유(현황)'!I17</x:f>
        <x:v>4</x:v>
      </x:c>
      <x:c r="H12" s="10">
        <x:f>'[1]26유(현황)'!K17</x:f>
        <x:v>0</x:v>
      </x:c>
      <x:c r="I12" s="10">
        <x:f>SUM('[1]26유(현황)'!J17:K17)</x:f>
        <x:v>1</x:v>
      </x:c>
      <x:c r="J12" s="10">
        <x:f>SUM('[1]26유(현황)'!I17:K17)</x:f>
        <x:v>1</x:v>
      </x:c>
      <x:c r="M12" s="10">
        <x:f>'[1]26유(현황)'!J17</x:f>
        <x:v>1</x:v>
      </x:c>
      <x:c r="N12" s="10">
        <x:f>SUM('[1]26유(현황)'!I17:J17)</x:f>
        <x:v>1</x:v>
      </x:c>
    </x:row>
    <x:row r="13" spans="1:14">
      <x:c r="A13" s="4" t="str">
        <x:f>'[1]26유(현황)'!C18</x:f>
        <x:v>남양주도담유</x:v>
      </x:c>
      <x:c r="B13" s="4" t="s">
        <x:v>126</x:v>
      </x:c>
      <x:c r="C13" s="4">
        <x:f>'[1]26유(현황)'!F18</x:f>
        <x:v>1</x:v>
      </x:c>
      <x:c r="D13" s="1">
        <x:f>4*'[1]26유(현황)'!F18-'[1]26유(현황)'!L18+'[1]26유(현황)'!K18</x:f>
        <x:v>3</x:v>
      </x:c>
      <x:c r="E13" s="10">
        <x:f>D13+'[1]26유(현황)'!J18</x:f>
        <x:v>4</x:v>
      </x:c>
      <x:c r="F13" s="10">
        <x:f>E13+'[1]26유(현황)'!I18</x:f>
        <x:v>4</x:v>
      </x:c>
      <x:c r="H13" s="10">
        <x:f>'[1]26유(현황)'!K18</x:f>
        <x:v>3</x:v>
      </x:c>
      <x:c r="I13" s="10">
        <x:f>SUM('[1]26유(현황)'!J18:K18)</x:f>
        <x:v>4</x:v>
      </x:c>
      <x:c r="J13" s="10">
        <x:f>SUM('[1]26유(현황)'!I18:K18)</x:f>
        <x:v>4</x:v>
      </x:c>
      <x:c r="M13" s="10">
        <x:f>'[1]26유(현황)'!J18</x:f>
        <x:v>1</x:v>
      </x:c>
      <x:c r="N13" s="10">
        <x:f>SUM('[1]26유(현황)'!I18:J18)</x:f>
        <x:v>1</x:v>
      </x:c>
    </x:row>
    <x:row r="14" spans="1:14">
      <x:c r="A14" s="4" t="str">
        <x:f>'[1]26유(현황)'!C19</x:f>
        <x:v>남양주별빛유</x:v>
      </x:c>
      <x:c r="B14" s="4" t="s">
        <x:v>126</x:v>
      </x:c>
      <x:c r="C14" s="4">
        <x:f>'[1]26유(현황)'!F19</x:f>
        <x:v>1</x:v>
      </x:c>
      <x:c r="D14" s="1">
        <x:f>4*'[1]26유(현황)'!F19-'[1]26유(현황)'!L19+'[1]26유(현황)'!K19</x:f>
        <x:v>2</x:v>
      </x:c>
      <x:c r="E14" s="10">
        <x:f>D14+'[1]26유(현황)'!J19</x:f>
        <x:v>2</x:v>
      </x:c>
      <x:c r="F14" s="10">
        <x:f>E14+'[1]26유(현황)'!I19</x:f>
        <x:v>4</x:v>
      </x:c>
      <x:c r="H14" s="10">
        <x:f>'[1]26유(현황)'!K19</x:f>
        <x:v>2</x:v>
      </x:c>
      <x:c r="I14" s="10">
        <x:f>SUM('[1]26유(현황)'!J19:K19)</x:f>
        <x:v>2</x:v>
      </x:c>
      <x:c r="J14" s="10">
        <x:f>SUM('[1]26유(현황)'!I19:K19)</x:f>
        <x:v>4</x:v>
      </x:c>
      <x:c r="M14" s="10">
        <x:f>'[1]26유(현황)'!J19</x:f>
        <x:v>0</x:v>
      </x:c>
      <x:c r="N14" s="10">
        <x:f>SUM('[1]26유(현황)'!I19:J19)</x:f>
        <x:v>2</x:v>
      </x:c>
    </x:row>
    <x:row r="15" spans="1:14">
      <x:c r="A15" s="4" t="str">
        <x:f>'[1]26유(현황)'!C20</x:f>
        <x:v>남양주송라초
병설유</x:v>
      </x:c>
      <x:c r="B15" s="4" t="s">
        <x:v>126</x:v>
      </x:c>
      <x:c r="C15" s="4">
        <x:f>'[1]26유(현황)'!F20</x:f>
        <x:v>1</x:v>
      </x:c>
      <x:c r="D15" s="1">
        <x:f>4*'[1]26유(현황)'!F20-'[1]26유(현황)'!L20+'[1]26유(현황)'!K20</x:f>
        <x:v>2</x:v>
      </x:c>
      <x:c r="E15" s="10">
        <x:f>D15+'[1]26유(현황)'!J20</x:f>
        <x:v>2</x:v>
      </x:c>
      <x:c r="F15" s="10">
        <x:f>E15+'[1]26유(현황)'!I20</x:f>
        <x:v>4</x:v>
      </x:c>
      <x:c r="H15" s="10">
        <x:f>'[1]26유(현황)'!K20</x:f>
        <x:v>1</x:v>
      </x:c>
      <x:c r="I15" s="10">
        <x:f>SUM('[1]26유(현황)'!J20:K20)</x:f>
        <x:v>1</x:v>
      </x:c>
      <x:c r="J15" s="10">
        <x:f>SUM('[1]26유(현황)'!I20:K20)</x:f>
        <x:v>3</x:v>
      </x:c>
      <x:c r="M15" s="10">
        <x:f>'[1]26유(현황)'!J20</x:f>
        <x:v>0</x:v>
      </x:c>
      <x:c r="N15" s="10">
        <x:f>SUM('[1]26유(현황)'!I20:J20)</x:f>
        <x:v>2</x:v>
      </x:c>
    </x:row>
    <x:row r="16" spans="1:14">
      <x:c r="A16" s="4" t="str">
        <x:f>'[1]26유(현황)'!C21</x:f>
        <x:v>남양주신촌초
병설유</x:v>
      </x:c>
      <x:c r="B16" s="4" t="s">
        <x:v>126</x:v>
      </x:c>
      <x:c r="C16" s="4">
        <x:f>'[1]26유(현황)'!F21</x:f>
        <x:v>1</x:v>
      </x:c>
      <x:c r="D16" s="1">
        <x:f>4*'[1]26유(현황)'!F21-'[1]26유(현황)'!L21+'[1]26유(현황)'!K21</x:f>
        <x:v>3</x:v>
      </x:c>
      <x:c r="E16" s="10">
        <x:f>D16+'[1]26유(현황)'!J21</x:f>
        <x:v>3</x:v>
      </x:c>
      <x:c r="F16" s="10">
        <x:f>E16+'[1]26유(현황)'!I21</x:f>
        <x:v>4</x:v>
      </x:c>
      <x:c r="H16" s="10">
        <x:f>'[1]26유(현황)'!K21</x:f>
        <x:v>1</x:v>
      </x:c>
      <x:c r="I16" s="10">
        <x:f>SUM('[1]26유(현황)'!J21:K21)</x:f>
        <x:v>1</x:v>
      </x:c>
      <x:c r="J16" s="10">
        <x:f>SUM('[1]26유(현황)'!I21:K21)</x:f>
        <x:v>2</x:v>
      </x:c>
      <x:c r="M16" s="10">
        <x:f>'[1]26유(현황)'!J21</x:f>
        <x:v>0</x:v>
      </x:c>
      <x:c r="N16" s="10">
        <x:f>SUM('[1]26유(현황)'!I21:J21)</x:f>
        <x:v>1</x:v>
      </x:c>
    </x:row>
    <x:row r="17" spans="1:14">
      <x:c r="A17" s="4" t="str">
        <x:f>'[1]26유(현황)'!C22</x:f>
        <x:v>남양주월산초
병설유</x:v>
      </x:c>
      <x:c r="B17" s="4" t="s">
        <x:v>126</x:v>
      </x:c>
      <x:c r="C17" s="4">
        <x:f>'[1]26유(현황)'!F22</x:f>
        <x:v>1</x:v>
      </x:c>
      <x:c r="D17" s="1">
        <x:f>4*'[1]26유(현황)'!F22-'[1]26유(현황)'!L22+'[1]26유(현황)'!K22</x:f>
        <x:v>3</x:v>
      </x:c>
      <x:c r="E17" s="10">
        <x:f>D17+'[1]26유(현황)'!J22</x:f>
        <x:v>4</x:v>
      </x:c>
      <x:c r="F17" s="10">
        <x:f>E17+'[1]26유(현황)'!I22</x:f>
        <x:v>4</x:v>
      </x:c>
      <x:c r="H17" s="10">
        <x:f>'[1]26유(현황)'!K22</x:f>
        <x:v>1</x:v>
      </x:c>
      <x:c r="I17" s="10">
        <x:f>SUM('[1]26유(현황)'!J22:K22)</x:f>
        <x:v>2</x:v>
      </x:c>
      <x:c r="J17" s="10">
        <x:f>SUM('[1]26유(현황)'!I22:K22)</x:f>
        <x:v>2</x:v>
      </x:c>
      <x:c r="M17" s="10">
        <x:f>'[1]26유(현황)'!J22</x:f>
        <x:v>1</x:v>
      </x:c>
      <x:c r="N17" s="10">
        <x:f>SUM('[1]26유(현황)'!I22:J22)</x:f>
        <x:v>1</x:v>
      </x:c>
    </x:row>
    <x:row r="18" spans="1:14">
      <x:c r="A18" s="4" t="str">
        <x:f>'[1]26유(현황)'!C23</x:f>
        <x:v>다산가람초병설유</x:v>
      </x:c>
      <x:c r="B18" s="4" t="s">
        <x:v>126</x:v>
      </x:c>
      <x:c r="C18" s="4">
        <x:f>'[1]26유(현황)'!F23</x:f>
        <x:v>1</x:v>
      </x:c>
      <x:c r="D18" s="1">
        <x:f>4*'[1]26유(현황)'!F23-'[1]26유(현황)'!L23+'[1]26유(현황)'!K23</x:f>
        <x:v>3</x:v>
      </x:c>
      <x:c r="E18" s="10">
        <x:f>D18+'[1]26유(현황)'!J23</x:f>
        <x:v>4</x:v>
      </x:c>
      <x:c r="F18" s="10">
        <x:f>E18+'[1]26유(현황)'!I23</x:f>
        <x:v>4</x:v>
      </x:c>
      <x:c r="H18" s="10">
        <x:f>'[1]26유(현황)'!K23</x:f>
        <x:v>0</x:v>
      </x:c>
      <x:c r="I18" s="10">
        <x:f>SUM('[1]26유(현황)'!J23:K23)</x:f>
        <x:v>1</x:v>
      </x:c>
      <x:c r="J18" s="10">
        <x:f>SUM('[1]26유(현황)'!I23:K23)</x:f>
        <x:v>1</x:v>
      </x:c>
      <x:c r="M18" s="10">
        <x:f>'[1]26유(현황)'!J23</x:f>
        <x:v>1</x:v>
      </x:c>
      <x:c r="N18" s="10">
        <x:f>SUM('[1]26유(현황)'!I23:J23)</x:f>
        <x:v>1</x:v>
      </x:c>
    </x:row>
    <x:row r="19" spans="1:14">
      <x:c r="A19" s="4" t="str">
        <x:f>'[1]26유(현황)'!C24</x:f>
        <x:v>다산꽃다비유</x:v>
      </x:c>
      <x:c r="B19" s="4" t="s">
        <x:v>126</x:v>
      </x:c>
      <x:c r="C19" s="4">
        <x:f>'[1]26유(현황)'!F24</x:f>
        <x:v>1</x:v>
      </x:c>
      <x:c r="D19" s="1">
        <x:f>4*'[1]26유(현황)'!F24-'[1]26유(현황)'!L24+'[1]26유(현황)'!K24</x:f>
        <x:v>2</x:v>
      </x:c>
      <x:c r="E19" s="10">
        <x:f>D19+'[1]26유(현황)'!J24</x:f>
        <x:v>3</x:v>
      </x:c>
      <x:c r="F19" s="10">
        <x:f>E19+'[1]26유(현황)'!I24</x:f>
        <x:v>4</x:v>
      </x:c>
      <x:c r="H19" s="10">
        <x:f>'[1]26유(현황)'!K24</x:f>
        <x:v>2</x:v>
      </x:c>
      <x:c r="I19" s="10">
        <x:f>SUM('[1]26유(현황)'!J24:K24)</x:f>
        <x:v>3</x:v>
      </x:c>
      <x:c r="J19" s="10">
        <x:f>SUM('[1]26유(현황)'!I24:K24)</x:f>
        <x:v>4</x:v>
      </x:c>
      <x:c r="M19" s="10">
        <x:f>'[1]26유(현황)'!J24</x:f>
        <x:v>1</x:v>
      </x:c>
      <x:c r="N19" s="10">
        <x:f>SUM('[1]26유(현황)'!I24:J24)</x:f>
        <x:v>2</x:v>
      </x:c>
    </x:row>
    <x:row r="20" spans="1:14">
      <x:c r="A20" s="4" t="str">
        <x:f>'[1]26유(현황)'!C25</x:f>
        <x:v>다산별빛초병유</x:v>
      </x:c>
      <x:c r="B20" s="4" t="s">
        <x:v>126</x:v>
      </x:c>
      <x:c r="C20" s="4">
        <x:f>'[1]26유(현황)'!F25</x:f>
        <x:v>1</x:v>
      </x:c>
      <x:c r="D20" s="1">
        <x:f>4*'[1]26유(현황)'!F25-'[1]26유(현황)'!L25+'[1]26유(현황)'!K25</x:f>
        <x:v>2</x:v>
      </x:c>
      <x:c r="E20" s="10">
        <x:f>D20+'[1]26유(현황)'!J25</x:f>
        <x:v>3</x:v>
      </x:c>
      <x:c r="F20" s="10">
        <x:f>E20+'[1]26유(현황)'!I25</x:f>
        <x:v>4</x:v>
      </x:c>
      <x:c r="H20" s="10">
        <x:f>'[1]26유(현황)'!K25</x:f>
        <x:v>0</x:v>
      </x:c>
      <x:c r="I20" s="10">
        <x:f>SUM('[1]26유(현황)'!J25:K25)</x:f>
        <x:v>1</x:v>
      </x:c>
      <x:c r="J20" s="10">
        <x:f>SUM('[1]26유(현황)'!I25:K25)</x:f>
        <x:v>2</x:v>
      </x:c>
      <x:c r="M20" s="10">
        <x:f>'[1]26유(현황)'!J25</x:f>
        <x:v>1</x:v>
      </x:c>
      <x:c r="N20" s="10">
        <x:f>SUM('[1]26유(현황)'!I25:J25)</x:f>
        <x:v>2</x:v>
      </x:c>
    </x:row>
    <x:row r="21" spans="1:14">
      <x:c r="A21" s="4" t="str">
        <x:f>'[1]26유(현황)'!C26</x:f>
        <x:v>다산새봄유</x:v>
      </x:c>
      <x:c r="B21" s="4" t="s">
        <x:v>126</x:v>
      </x:c>
      <x:c r="C21" s="4">
        <x:f>'[1]26유(현황)'!F26</x:f>
        <x:v>1</x:v>
      </x:c>
      <x:c r="D21" s="1">
        <x:f>4*'[1]26유(현황)'!F26-'[1]26유(현황)'!L26+'[1]26유(현황)'!K26</x:f>
        <x:v>2</x:v>
      </x:c>
      <x:c r="E21" s="10">
        <x:f>D21+'[1]26유(현황)'!J26</x:f>
        <x:v>4</x:v>
      </x:c>
      <x:c r="F21" s="10">
        <x:f>E21+'[1]26유(현황)'!I26</x:f>
        <x:v>4</x:v>
      </x:c>
      <x:c r="H21" s="10">
        <x:f>'[1]26유(현황)'!K26</x:f>
        <x:v>1</x:v>
      </x:c>
      <x:c r="I21" s="10">
        <x:f>SUM('[1]26유(현황)'!J26:K26)</x:f>
        <x:v>3</x:v>
      </x:c>
      <x:c r="J21" s="10">
        <x:f>SUM('[1]26유(현황)'!I26:K26)</x:f>
        <x:v>3</x:v>
      </x:c>
      <x:c r="M21" s="10">
        <x:f>'[1]26유(현황)'!J26</x:f>
        <x:v>2</x:v>
      </x:c>
      <x:c r="N21" s="10">
        <x:f>SUM('[1]26유(현황)'!I26:J26)</x:f>
        <x:v>2</x:v>
      </x:c>
    </x:row>
    <x:row r="22" spans="1:14">
      <x:c r="A22" s="4" t="str">
        <x:f>'[1]26유(현황)'!C27</x:f>
        <x:v>다산새봄초병설유</x:v>
      </x:c>
      <x:c r="B22" s="4" t="s">
        <x:v>126</x:v>
      </x:c>
      <x:c r="C22" s="4">
        <x:f>'[1]26유(현황)'!F27</x:f>
        <x:v>1</x:v>
      </x:c>
      <x:c r="D22" s="1">
        <x:f>4*'[1]26유(현황)'!F27-'[1]26유(현황)'!L27+'[1]26유(현황)'!K27</x:f>
        <x:v>4</x:v>
      </x:c>
      <x:c r="E22" s="10">
        <x:f>D22+'[1]26유(현황)'!J27</x:f>
        <x:v>4</x:v>
      </x:c>
      <x:c r="F22" s="10">
        <x:f>E22+'[1]26유(현황)'!I27</x:f>
        <x:v>4</x:v>
      </x:c>
      <x:c r="H22" s="10">
        <x:f>'[1]26유(현황)'!K27</x:f>
        <x:v>3</x:v>
      </x:c>
      <x:c r="I22" s="10">
        <x:f>SUM('[1]26유(현황)'!J27:K27)</x:f>
        <x:v>3</x:v>
      </x:c>
      <x:c r="J22" s="10">
        <x:f>SUM('[1]26유(현황)'!I27:K27)</x:f>
        <x:v>3</x:v>
      </x:c>
      <x:c r="M22" s="10">
        <x:f>'[1]26유(현황)'!J27</x:f>
        <x:v>0</x:v>
      </x:c>
      <x:c r="N22" s="10">
        <x:f>SUM('[1]26유(현황)'!I27:J27)</x:f>
        <x:v>0</x:v>
      </x:c>
    </x:row>
    <x:row r="23" spans="1:14">
      <x:c r="A23" s="4" t="str">
        <x:f>'[1]26유(현황)'!C28</x:f>
        <x:v>다산하늘빛유</x:v>
      </x:c>
      <x:c r="B23" s="4" t="s">
        <x:v>126</x:v>
      </x:c>
      <x:c r="C23" s="4">
        <x:f>'[1]26유(현황)'!F28</x:f>
        <x:v>1</x:v>
      </x:c>
      <x:c r="D23" s="1">
        <x:f>4*'[1]26유(현황)'!F28-'[1]26유(현황)'!L28+'[1]26유(현황)'!K28</x:f>
        <x:v>4</x:v>
      </x:c>
      <x:c r="E23" s="10">
        <x:f>D23+'[1]26유(현황)'!J28</x:f>
        <x:v>4</x:v>
      </x:c>
      <x:c r="F23" s="10">
        <x:f>E23+'[1]26유(현황)'!I28</x:f>
        <x:v>4</x:v>
      </x:c>
      <x:c r="H23" s="10">
        <x:f>'[1]26유(현황)'!K28</x:f>
        <x:v>4</x:v>
      </x:c>
      <x:c r="I23" s="10">
        <x:f>SUM('[1]26유(현황)'!J28:K28)</x:f>
        <x:v>4</x:v>
      </x:c>
      <x:c r="J23" s="10">
        <x:f>SUM('[1]26유(현황)'!I28:K28)</x:f>
        <x:v>4</x:v>
      </x:c>
      <x:c r="M23" s="10">
        <x:f>'[1]26유(현황)'!J28</x:f>
        <x:v>0</x:v>
      </x:c>
      <x:c r="N23" s="10">
        <x:f>SUM('[1]26유(현황)'!I28:J28)</x:f>
        <x:v>0</x:v>
      </x:c>
    </x:row>
    <x:row r="24" spans="1:14">
      <x:c r="A24" s="4" t="str">
        <x:f>'[1]26유(현황)'!C29</x:f>
        <x:v>다산하늘초
병설유</x:v>
      </x:c>
      <x:c r="B24" s="4" t="s">
        <x:v>126</x:v>
      </x:c>
      <x:c r="C24" s="4">
        <x:f>'[1]26유(현황)'!F29</x:f>
        <x:v>1</x:v>
      </x:c>
      <x:c r="D24" s="1">
        <x:f>4*'[1]26유(현황)'!F29-'[1]26유(현황)'!L29+'[1]26유(현황)'!K29</x:f>
        <x:v>2</x:v>
      </x:c>
      <x:c r="E24" s="10">
        <x:f>D24+'[1]26유(현황)'!J29</x:f>
        <x:v>2</x:v>
      </x:c>
      <x:c r="F24" s="10">
        <x:f>E24+'[1]26유(현황)'!I29</x:f>
        <x:v>4</x:v>
      </x:c>
      <x:c r="H24" s="10">
        <x:f>'[1]26유(현황)'!K29</x:f>
        <x:v>2</x:v>
      </x:c>
      <x:c r="I24" s="10">
        <x:f>SUM('[1]26유(현황)'!J29:K29)</x:f>
        <x:v>2</x:v>
      </x:c>
      <x:c r="J24" s="10">
        <x:f>SUM('[1]26유(현황)'!I29:K29)</x:f>
        <x:v>4</x:v>
      </x:c>
      <x:c r="M24" s="10">
        <x:f>'[1]26유(현황)'!J29</x:f>
        <x:v>0</x:v>
      </x:c>
      <x:c r="N24" s="10">
        <x:f>SUM('[1]26유(현황)'!I29:J29)</x:f>
        <x:v>2</x:v>
      </x:c>
    </x:row>
    <x:row r="25" spans="1:14">
      <x:c r="A25" s="4" t="str">
        <x:f>'[1]26유(현황)'!C30</x:f>
        <x:v>다산한강유</x:v>
      </x:c>
      <x:c r="B25" s="4" t="s">
        <x:v>126</x:v>
      </x:c>
      <x:c r="C25" s="4">
        <x:f>'[1]26유(현황)'!F30</x:f>
        <x:v>2</x:v>
      </x:c>
      <x:c r="D25" s="1">
        <x:f>4*'[1]26유(현황)'!F30-'[1]26유(현황)'!L30+'[1]26유(현황)'!K30</x:f>
        <x:v>5</x:v>
      </x:c>
      <x:c r="E25" s="10">
        <x:f>D25+'[1]26유(현황)'!J30</x:f>
        <x:v>7</x:v>
      </x:c>
      <x:c r="F25" s="10">
        <x:f>E25+'[1]26유(현황)'!I30</x:f>
        <x:v>8</x:v>
      </x:c>
      <x:c r="H25" s="10">
        <x:f>'[1]26유(현황)'!K30</x:f>
        <x:v>3</x:v>
      </x:c>
      <x:c r="I25" s="10">
        <x:f>SUM('[1]26유(현황)'!J30:K30)</x:f>
        <x:v>5</x:v>
      </x:c>
      <x:c r="J25" s="10">
        <x:f>SUM('[1]26유(현황)'!I30:K30)</x:f>
        <x:v>6</x:v>
      </x:c>
      <x:c r="M25" s="10">
        <x:f>'[1]26유(현황)'!J30</x:f>
        <x:v>2</x:v>
      </x:c>
      <x:c r="N25" s="10">
        <x:f>SUM('[1]26유(현황)'!I30:J30)</x:f>
        <x:v>3</x:v>
      </x:c>
    </x:row>
    <x:row r="26" spans="1:14">
      <x:c r="A26" s="4" t="str">
        <x:f>'[1]26유(현황)'!C31</x:f>
        <x:v>다산한강초병설유</x:v>
      </x:c>
      <x:c r="B26" s="4" t="s">
        <x:v>126</x:v>
      </x:c>
      <x:c r="C26" s="4">
        <x:f>'[1]26유(현황)'!F31</x:f>
        <x:v>1</x:v>
      </x:c>
      <x:c r="D26" s="1">
        <x:f>4*'[1]26유(현황)'!F31-'[1]26유(현황)'!L31+'[1]26유(현황)'!K31</x:f>
        <x:v>3</x:v>
      </x:c>
      <x:c r="E26" s="10">
        <x:f>D26+'[1]26유(현황)'!J31</x:f>
        <x:v>4</x:v>
      </x:c>
      <x:c r="F26" s="10">
        <x:f>E26+'[1]26유(현황)'!I31</x:f>
        <x:v>4</x:v>
      </x:c>
      <x:c r="H26" s="10">
        <x:f>'[1]26유(현황)'!K31</x:f>
        <x:v>0</x:v>
      </x:c>
      <x:c r="I26" s="10">
        <x:f>SUM('[1]26유(현황)'!J31:K31)</x:f>
        <x:v>1</x:v>
      </x:c>
      <x:c r="J26" s="10">
        <x:f>SUM('[1]26유(현황)'!I31:K31)</x:f>
        <x:v>1</x:v>
      </x:c>
      <x:c r="M26" s="10">
        <x:f>'[1]26유(현황)'!J31</x:f>
        <x:v>1</x:v>
      </x:c>
      <x:c r="N26" s="10">
        <x:f>SUM('[1]26유(현황)'!I31:J31)</x:f>
        <x:v>1</x:v>
      </x:c>
    </x:row>
    <x:row r="27" spans="1:14">
      <x:c r="A27" s="4" t="str">
        <x:f>'[1]26유(현황)'!C32</x:f>
        <x:v>별가람유</x:v>
      </x:c>
      <x:c r="B27" s="4" t="s">
        <x:v>126</x:v>
      </x:c>
      <x:c r="C27" s="4">
        <x:f>'[1]26유(현황)'!F32</x:f>
        <x:v>1</x:v>
      </x:c>
      <x:c r="D27" s="1">
        <x:f>4*'[1]26유(현황)'!F32-'[1]26유(현황)'!L32+'[1]26유(현황)'!K32</x:f>
        <x:v>1</x:v>
      </x:c>
      <x:c r="E27" s="10">
        <x:f>D27+'[1]26유(현황)'!J32</x:f>
        <x:v>4</x:v>
      </x:c>
      <x:c r="F27" s="10">
        <x:f>E27+'[1]26유(현황)'!I32</x:f>
        <x:v>4</x:v>
      </x:c>
      <x:c r="H27" s="10">
        <x:f>'[1]26유(현황)'!K32</x:f>
        <x:v>1</x:v>
      </x:c>
      <x:c r="I27" s="10">
        <x:f>SUM('[1]26유(현황)'!J32:K32)</x:f>
        <x:v>4</x:v>
      </x:c>
      <x:c r="J27" s="10">
        <x:f>SUM('[1]26유(현황)'!I32:K32)</x:f>
        <x:v>4</x:v>
      </x:c>
      <x:c r="M27" s="10">
        <x:f>'[1]26유(현황)'!J32</x:f>
        <x:v>3</x:v>
      </x:c>
      <x:c r="N27" s="10">
        <x:f>SUM('[1]26유(현황)'!I32:J32)</x:f>
        <x:v>3</x:v>
      </x:c>
    </x:row>
    <x:row r="28" spans="1:14">
      <x:c r="A28" s="4" t="str">
        <x:f>'[1]26유(현황)'!C33</x:f>
        <x:v>별가람초병설유</x:v>
      </x:c>
      <x:c r="B28" s="4" t="s">
        <x:v>126</x:v>
      </x:c>
      <x:c r="C28" s="4">
        <x:f>'[1]26유(현황)'!F33</x:f>
        <x:v>1</x:v>
      </x:c>
      <x:c r="D28" s="1">
        <x:f>4*'[1]26유(현황)'!F33-'[1]26유(현황)'!L33+'[1]26유(현황)'!K33</x:f>
        <x:v>1</x:v>
      </x:c>
      <x:c r="E28" s="10">
        <x:f>D28+'[1]26유(현황)'!J33</x:f>
        <x:v>3</x:v>
      </x:c>
      <x:c r="F28" s="10">
        <x:f>E28+'[1]26유(현황)'!I33</x:f>
        <x:v>4</x:v>
      </x:c>
      <x:c r="H28" s="10">
        <x:f>'[1]26유(현황)'!K33</x:f>
        <x:v>0</x:v>
      </x:c>
      <x:c r="I28" s="10">
        <x:f>SUM('[1]26유(현황)'!J33:K33)</x:f>
        <x:v>2</x:v>
      </x:c>
      <x:c r="J28" s="10">
        <x:f>SUM('[1]26유(현황)'!I33:K33)</x:f>
        <x:v>3</x:v>
      </x:c>
      <x:c r="M28" s="10">
        <x:f>'[1]26유(현황)'!J33</x:f>
        <x:v>2</x:v>
      </x:c>
      <x:c r="N28" s="10">
        <x:f>SUM('[1]26유(현황)'!I33:J33)</x:f>
        <x:v>3</x:v>
      </x:c>
    </x:row>
    <x:row r="29" spans="1:14">
      <x:c r="A29" s="4" t="str">
        <x:f>'[1]26유(현황)'!C34</x:f>
        <x:v>부평초병설유</x:v>
      </x:c>
      <x:c r="B29" s="4" t="s">
        <x:v>126</x:v>
      </x:c>
      <x:c r="C29" s="4">
        <x:f>'[1]26유(현황)'!F34</x:f>
        <x:v>1</x:v>
      </x:c>
      <x:c r="D29" s="1">
        <x:f>4*'[1]26유(현황)'!F34-'[1]26유(현황)'!L34+'[1]26유(현황)'!K34</x:f>
        <x:v>4</x:v>
      </x:c>
      <x:c r="E29" s="10">
        <x:f>D29+'[1]26유(현황)'!J34</x:f>
        <x:v>4</x:v>
      </x:c>
      <x:c r="F29" s="10">
        <x:f>E29+'[1]26유(현황)'!I34</x:f>
        <x:v>4</x:v>
      </x:c>
      <x:c r="H29" s="10">
        <x:f>'[1]26유(현황)'!K34</x:f>
        <x:v>3</x:v>
      </x:c>
      <x:c r="I29" s="10">
        <x:f>SUM('[1]26유(현황)'!J34:K34)</x:f>
        <x:v>3</x:v>
      </x:c>
      <x:c r="J29" s="10">
        <x:f>SUM('[1]26유(현황)'!I34:K34)</x:f>
        <x:v>3</x:v>
      </x:c>
      <x:c r="M29" s="10">
        <x:f>'[1]26유(현황)'!J34</x:f>
        <x:v>0</x:v>
      </x:c>
      <x:c r="N29" s="10">
        <x:f>SUM('[1]26유(현황)'!I34:J34)</x:f>
        <x:v>0</x:v>
      </x:c>
    </x:row>
    <x:row r="30" spans="1:14">
      <x:c r="A30" s="4" t="str">
        <x:f>'[1]26유(현황)'!C35</x:f>
        <x:v>예봉초병설유</x:v>
      </x:c>
      <x:c r="B30" s="4" t="s">
        <x:v>126</x:v>
      </x:c>
      <x:c r="C30" s="4">
        <x:f>'[1]26유(현황)'!F35</x:f>
        <x:v>1</x:v>
      </x:c>
      <x:c r="D30" s="1">
        <x:f>4*'[1]26유(현황)'!F35-'[1]26유(현황)'!L35+'[1]26유(현황)'!K35</x:f>
        <x:v>3</x:v>
      </x:c>
      <x:c r="E30" s="10">
        <x:f>D30+'[1]26유(현황)'!J35</x:f>
        <x:v>4</x:v>
      </x:c>
      <x:c r="F30" s="10">
        <x:f>E30+'[1]26유(현황)'!I35</x:f>
        <x:v>4</x:v>
      </x:c>
      <x:c r="H30" s="10">
        <x:f>'[1]26유(현황)'!K35</x:f>
        <x:v>1</x:v>
      </x:c>
      <x:c r="I30" s="10">
        <x:f>SUM('[1]26유(현황)'!J35:K35)</x:f>
        <x:v>2</x:v>
      </x:c>
      <x:c r="J30" s="10">
        <x:f>SUM('[1]26유(현황)'!I35:K35)</x:f>
        <x:v>2</x:v>
      </x:c>
      <x:c r="M30" s="10">
        <x:f>'[1]26유(현황)'!J35</x:f>
        <x:v>1</x:v>
      </x:c>
      <x:c r="N30" s="10">
        <x:f>SUM('[1]26유(현황)'!I35:J35)</x:f>
        <x:v>1</x:v>
      </x:c>
    </x:row>
    <x:row r="31" spans="1:14">
      <x:c r="A31" s="4" t="str">
        <x:f>'[1]26유(현황)'!C36</x:f>
        <x:v>오남초병설유</x:v>
      </x:c>
      <x:c r="B31" s="4" t="s">
        <x:v>126</x:v>
      </x:c>
      <x:c r="C31" s="4">
        <x:f>'[1]26유(현황)'!F36</x:f>
        <x:v>1</x:v>
      </x:c>
      <x:c r="D31" s="1">
        <x:f>4*'[1]26유(현황)'!F36-'[1]26유(현황)'!L36+'[1]26유(현황)'!K36</x:f>
        <x:v>4</x:v>
      </x:c>
      <x:c r="E31" s="10">
        <x:f>D31+'[1]26유(현황)'!J36</x:f>
        <x:v>4</x:v>
      </x:c>
      <x:c r="F31" s="10">
        <x:f>E31+'[1]26유(현황)'!I36</x:f>
        <x:v>4</x:v>
      </x:c>
      <x:c r="H31" s="10">
        <x:f>'[1]26유(현황)'!K36</x:f>
        <x:v>1</x:v>
      </x:c>
      <x:c r="I31" s="10">
        <x:f>SUM('[1]26유(현황)'!J36:K36)</x:f>
        <x:v>1</x:v>
      </x:c>
      <x:c r="J31" s="10">
        <x:f>SUM('[1]26유(현황)'!I36:K36)</x:f>
        <x:v>1</x:v>
      </x:c>
      <x:c r="M31" s="10">
        <x:f>'[1]26유(현황)'!J36</x:f>
        <x:v>0</x:v>
      </x:c>
      <x:c r="N31" s="10">
        <x:f>SUM('[1]26유(현황)'!I36:J36)</x:f>
        <x:v>0</x:v>
      </x:c>
    </x:row>
    <x:row r="32" spans="1:14">
      <x:c r="A32" s="4" t="str">
        <x:f>'[1]26유(현황)'!C37</x:f>
        <x:v>창현유</x:v>
      </x:c>
      <x:c r="B32" s="4" t="s">
        <x:v>126</x:v>
      </x:c>
      <x:c r="C32" s="4">
        <x:f>'[1]26유(현황)'!F37</x:f>
        <x:v>1</x:v>
      </x:c>
      <x:c r="D32" s="1">
        <x:f>4*'[1]26유(현황)'!F37-'[1]26유(현황)'!L37+'[1]26유(현황)'!K37</x:f>
        <x:v>4</x:v>
      </x:c>
      <x:c r="E32" s="10">
        <x:f>D32+'[1]26유(현황)'!J37</x:f>
        <x:v>4</x:v>
      </x:c>
      <x:c r="F32" s="10">
        <x:f>E32+'[1]26유(현황)'!I37</x:f>
        <x:v>4</x:v>
      </x:c>
      <x:c r="H32" s="10">
        <x:f>'[1]26유(현황)'!K37</x:f>
        <x:v>3</x:v>
      </x:c>
      <x:c r="I32" s="10">
        <x:f>SUM('[1]26유(현황)'!J37:K37)</x:f>
        <x:v>3</x:v>
      </x:c>
      <x:c r="J32" s="10">
        <x:f>SUM('[1]26유(현황)'!I37:K37)</x:f>
        <x:v>3</x:v>
      </x:c>
      <x:c r="M32" s="10">
        <x:f>'[1]26유(현황)'!J37</x:f>
        <x:v>0</x:v>
      </x:c>
      <x:c r="N32" s="10">
        <x:f>SUM('[1]26유(현황)'!I37:J37)</x:f>
        <x:v>0</x:v>
      </x:c>
    </x:row>
    <x:row r="33" spans="1:14">
      <x:c r="A33" s="4" t="str">
        <x:f>'[1]26유(현황)'!C38</x:f>
        <x:v>평내초병설유</x:v>
      </x:c>
      <x:c r="B33" s="4" t="s">
        <x:v>126</x:v>
      </x:c>
      <x:c r="C33" s="4">
        <x:f>'[1]26유(현황)'!F38</x:f>
        <x:v>1</x:v>
      </x:c>
      <x:c r="D33" s="1">
        <x:f>4*'[1]26유(현황)'!F38-'[1]26유(현황)'!L38+'[1]26유(현황)'!K38</x:f>
        <x:v>3</x:v>
      </x:c>
      <x:c r="E33" s="10">
        <x:f>D33+'[1]26유(현황)'!J38</x:f>
        <x:v>4</x:v>
      </x:c>
      <x:c r="F33" s="10">
        <x:f>E33+'[1]26유(현황)'!I38</x:f>
        <x:v>4</x:v>
      </x:c>
      <x:c r="H33" s="10">
        <x:f>'[1]26유(현황)'!K38</x:f>
        <x:v>0</x:v>
      </x:c>
      <x:c r="I33" s="10">
        <x:f>SUM('[1]26유(현황)'!J38:K38)</x:f>
        <x:v>1</x:v>
      </x:c>
      <x:c r="J33" s="10">
        <x:f>SUM('[1]26유(현황)'!I38:K38)</x:f>
        <x:v>1</x:v>
      </x:c>
      <x:c r="M33" s="10">
        <x:f>'[1]26유(현황)'!J38</x:f>
        <x:v>1</x:v>
      </x:c>
      <x:c r="N33" s="10">
        <x:f>SUM('[1]26유(현황)'!I38:J38)</x:f>
        <x:v>1</x:v>
      </x:c>
    </x:row>
    <x:row r="34" spans="1:14">
      <x:c r="A34" s="5" t="str">
        <x:f>'[1]26유(현황)'!C38</x:f>
        <x:v>평내초병설유</x:v>
      </x:c>
      <x:c r="B34" s="6" t="s">
        <x:v>135</x:v>
      </x:c>
      <x:c r="C34" s="5">
        <x:f>'[1]26유(현황)'!G38</x:f>
        <x:v>1</x:v>
      </x:c>
      <x:c r="D34" s="3">
        <x:f>4*'[1]26유(현황)'!G38-'[1]26유(현황)'!L39+'[1]26유(현황)'!K39</x:f>
        <x:v>4</x:v>
      </x:c>
      <x:c r="E34" s="10">
        <x:f>D34+'[1]26유(현황)'!J39</x:f>
        <x:v>4</x:v>
      </x:c>
      <x:c r="F34" s="10">
        <x:f>E34+'[1]26유(현황)'!I39</x:f>
        <x:v>4</x:v>
      </x:c>
      <x:c r="H34" s="10">
        <x:f>'[1]26유(현황)'!K39</x:f>
        <x:v>1</x:v>
      </x:c>
      <x:c r="I34" s="10">
        <x:f>SUM('[1]26유(현황)'!J39:K39)</x:f>
        <x:v>1</x:v>
      </x:c>
      <x:c r="J34" s="10">
        <x:f>SUM('[1]26유(현황)'!I39:K39)</x:f>
        <x:v>1</x:v>
      </x:c>
      <x:c r="M34" s="10">
        <x:f>'[1]26유(현황)'!J39</x:f>
        <x:v>0</x:v>
      </x:c>
      <x:c r="N34" s="10">
        <x:f>SUM('[1]26유(현황)'!I39:J39)</x:f>
        <x:v>0</x:v>
      </x:c>
    </x:row>
    <x:row r="35" spans="1:14">
      <x:c r="A35" s="4" t="str">
        <x:f>'[1]26유(현황)'!C40</x:f>
        <x:v>하랑초병유</x:v>
      </x:c>
      <x:c r="B35" s="4" t="s">
        <x:v>126</x:v>
      </x:c>
      <x:c r="C35" s="4">
        <x:f>'[1]26유(현황)'!F40</x:f>
        <x:v>1</x:v>
      </x:c>
      <x:c r="D35" s="1">
        <x:f>4*'[1]26유(현황)'!F40-'[1]26유(현황)'!L40+'[1]26유(현황)'!K40</x:f>
        <x:v>3</x:v>
      </x:c>
      <x:c r="E35" s="10">
        <x:f>D35+'[1]26유(현황)'!J40</x:f>
        <x:v>4</x:v>
      </x:c>
      <x:c r="F35" s="10">
        <x:f>E35+'[1]26유(현황)'!I40</x:f>
        <x:v>4</x:v>
      </x:c>
      <x:c r="H35" s="10">
        <x:f>'[1]26유(현황)'!K40</x:f>
        <x:v>0</x:v>
      </x:c>
      <x:c r="I35" s="10">
        <x:f>SUM('[1]26유(현황)'!J40:K40)</x:f>
        <x:v>1</x:v>
      </x:c>
      <x:c r="J35" s="10">
        <x:f>SUM('[1]26유(현황)'!I40:K40)</x:f>
        <x:v>1</x:v>
      </x:c>
      <x:c r="M35" s="10">
        <x:f>'[1]26유(현황)'!J40</x:f>
        <x:v>1</x:v>
      </x:c>
      <x:c r="N35" s="10">
        <x:f>SUM('[1]26유(현황)'!I40:J40)</x:f>
        <x:v>1</x:v>
      </x:c>
    </x:row>
    <x:row r="36" spans="1:14">
      <x:c r="A36" s="4" t="str">
        <x:f>'[1]26유(현황)'!C41</x:f>
        <x:v>해밀초병설유</x:v>
      </x:c>
      <x:c r="B36" s="4" t="s">
        <x:v>126</x:v>
      </x:c>
      <x:c r="C36" s="4">
        <x:f>'[1]26유(현황)'!F41</x:f>
        <x:v>1</x:v>
      </x:c>
      <x:c r="D36" s="1">
        <x:f>4*'[1]26유(현황)'!F41-'[1]26유(현황)'!L41+'[1]26유(현황)'!K41</x:f>
        <x:v>4</x:v>
      </x:c>
      <x:c r="E36" s="10">
        <x:f>D36+'[1]26유(현황)'!J41</x:f>
        <x:v>4</x:v>
      </x:c>
      <x:c r="F36" s="10">
        <x:f>E36+'[1]26유(현황)'!I41</x:f>
        <x:v>4</x:v>
      </x:c>
      <x:c r="H36" s="10">
        <x:f>'[1]26유(현황)'!K41</x:f>
        <x:v>2</x:v>
      </x:c>
      <x:c r="I36" s="10">
        <x:f>SUM('[1]26유(현황)'!J41:K41)</x:f>
        <x:v>2</x:v>
      </x:c>
      <x:c r="J36" s="10">
        <x:f>SUM('[1]26유(현황)'!I41:K41)</x:f>
        <x:v>2</x:v>
      </x:c>
      <x:c r="M36" s="10">
        <x:f>'[1]26유(현황)'!J41</x:f>
        <x:v>0</x:v>
      </x:c>
      <x:c r="N36" s="10">
        <x:f>SUM('[1]26유(현황)'!I41:J41)</x:f>
        <x:v>0</x:v>
      </x:c>
    </x:row>
    <x:row r="37" spans="1:14">
      <x:c r="A37" s="4" t="str">
        <x:f>'[1]26유(현황)'!C42</x:f>
        <x:v>호평유</x:v>
      </x:c>
      <x:c r="B37" s="4" t="s">
        <x:v>126</x:v>
      </x:c>
      <x:c r="C37" s="4">
        <x:f>'[1]26유(현황)'!F42</x:f>
        <x:v>1</x:v>
      </x:c>
      <x:c r="D37" s="1">
        <x:f>4*'[1]26유(현황)'!F42-'[1]26유(현황)'!L42+'[1]26유(현황)'!K42</x:f>
        <x:v>3</x:v>
      </x:c>
      <x:c r="E37" s="10">
        <x:f>D37+'[1]26유(현황)'!J42</x:f>
        <x:v>3</x:v>
      </x:c>
      <x:c r="F37" s="10">
        <x:f>E37+'[1]26유(현황)'!I42</x:f>
        <x:v>4</x:v>
      </x:c>
      <x:c r="H37" s="10">
        <x:f>'[1]26유(현황)'!K42</x:f>
        <x:v>1</x:v>
      </x:c>
      <x:c r="I37" s="10">
        <x:f>SUM('[1]26유(현황)'!J42:K42)</x:f>
        <x:v>1</x:v>
      </x:c>
      <x:c r="J37" s="10">
        <x:f>SUM('[1]26유(현황)'!I42:K42)</x:f>
        <x:v>2</x:v>
      </x:c>
      <x:c r="M37" s="10">
        <x:f>'[1]26유(현황)'!J42</x:f>
        <x:v>0</x:v>
      </x:c>
      <x:c r="N37" s="10">
        <x:f>SUM('[1]26유(현황)'!I42:J42)</x:f>
        <x:v>1</x:v>
      </x:c>
    </x:row>
    <x:row r="38" spans="1:14">
      <x:c r="A38" s="4" t="str">
        <x:f>'[1]26유(현황)'!C43</x:f>
        <x:v>화도은솔유</x:v>
      </x:c>
      <x:c r="B38" s="4" t="s">
        <x:v>126</x:v>
      </x:c>
      <x:c r="C38" s="4">
        <x:f>'[1]26유(현황)'!F43</x:f>
        <x:v>5</x:v>
      </x:c>
      <x:c r="D38" s="1">
        <x:f>4*'[1]26유(현황)'!F43-'[1]26유(현황)'!L43+'[1]26유(현황)'!K43</x:f>
        <x:v>12</x:v>
      </x:c>
      <x:c r="E38" s="10">
        <x:f>D38+'[1]26유(현황)'!J43</x:f>
        <x:v>18</x:v>
      </x:c>
      <x:c r="F38" s="10">
        <x:f>E38+'[1]26유(현황)'!I43</x:f>
        <x:v>20</x:v>
      </x:c>
      <x:c r="H38" s="10">
        <x:f>'[1]26유(현황)'!K43</x:f>
        <x:v>7</x:v>
      </x:c>
      <x:c r="I38" s="10">
        <x:f>SUM('[1]26유(현황)'!J43:K43)</x:f>
        <x:v>13</x:v>
      </x:c>
      <x:c r="J38" s="10">
        <x:f>SUM('[1]26유(현황)'!I43:K43)</x:f>
        <x:v>15</x:v>
      </x:c>
      <x:c r="M38" s="10">
        <x:f>'[1]26유(현황)'!J43</x:f>
        <x:v>6</x:v>
      </x:c>
      <x:c r="N38" s="10">
        <x:f>SUM('[1]26유(현황)'!I43:J43)</x:f>
        <x:v>8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N84"/>
  <x:sheetViews>
    <x:sheetView topLeftCell="A60" zoomScale="90" zoomScaleNormal="90" zoomScaleSheetLayoutView="90" workbookViewId="0">
      <x:selection activeCell="A2" activeCellId="0" sqref="A2:N84"/>
    </x:sheetView>
  </x:sheetViews>
  <x:sheetFormatPr defaultColWidth="9.00390625" defaultRowHeight="16.39999999999999857891"/>
  <x:cols>
    <x:col min="1" max="1" width="23.3671875" bestFit="1" customWidth="1"/>
    <x:col min="2" max="2" width="12.0234375" bestFit="1" customWidth="1"/>
    <x:col min="3" max="3" width="7.19921875" bestFit="1" customWidth="1"/>
    <x:col min="4" max="4" width="13.51953125" bestFit="1" customWidth="1"/>
    <x:col min="5" max="6" width="13.57421875" bestFit="1" customWidth="1"/>
    <x:col min="8" max="10" width="13.57421875" bestFit="1" customWidth="1"/>
    <x:col min="12" max="14" width="13.57421875" bestFit="1" customWidth="1"/>
  </x:cols>
  <x:sheetData>
    <x:row r="1" spans="1:14" ht="32.75">
      <x:c r="A1" s="2" t="s">
        <x:v>70</x:v>
      </x:c>
      <x:c r="B1" s="2" t="s">
        <x:v>145</x:v>
      </x:c>
      <x:c r="C1" s="2" t="s">
        <x:v>140</x:v>
      </x:c>
      <x:c r="D1" s="8" t="s">
        <x:v>176</x:v>
      </x:c>
      <x:c r="E1" s="11" t="s">
        <x:v>179</x:v>
      </x:c>
      <x:c r="F1" s="11" t="s">
        <x:v>178</x:v>
      </x:c>
      <x:c r="H1" s="11" t="s">
        <x:v>182</x:v>
      </x:c>
      <x:c r="I1" s="11" t="s">
        <x:v>177</x:v>
      </x:c>
      <x:c r="J1" s="11" t="s">
        <x:v>180</x:v>
      </x:c>
      <x:c r="L1" s="11" t="s">
        <x:v>184</x:v>
      </x:c>
      <x:c r="M1" s="8" t="s">
        <x:v>175</x:v>
      </x:c>
      <x:c r="N1" s="8" t="s">
        <x:v>181</x:v>
      </x:c>
    </x:row>
    <x:row r="2" spans="1:14">
      <x:c r="A2" t="str">
        <x:f>'[1]26초(현황)'!C7</x:f>
        <x:v>갈매초</x:v>
      </x:c>
      <x:c r="B2" t="s">
        <x:v>126</x:v>
      </x:c>
      <x:c r="C2">
        <x:f>'[1]26초(현황)'!F7</x:f>
        <x:v>3</x:v>
      </x:c>
      <x:c r="D2">
        <x:f>6*'[1]26초(현황)'!F7-'[1]26초(현황)'!P7+'[1]26초(현황)'!O7</x:f>
        <x:v>4</x:v>
      </x:c>
      <x:c r="E2">
        <x:f>D2+'[1]26초(현황)'!N7</x:f>
        <x:v>6</x:v>
      </x:c>
      <x:c r="F2">
        <x:f>E2+'[1]26초(현황)'!M7</x:f>
        <x:v>7</x:v>
      </x:c>
      <x:c r="H2">
        <x:f>'[1]26초(현황)'!O7</x:f>
        <x:v>5</x:v>
      </x:c>
      <x:c r="I2">
        <x:f>SUM('[1]26초(현황)'!N7:O7)</x:f>
        <x:v>7</x:v>
      </x:c>
      <x:c r="J2">
        <x:f>SUM('[1]26초(현황)'!M7:O7)</x:f>
        <x:v>8</x:v>
      </x:c>
      <x:c r="M2">
        <x:f>'[1]26초(현황)'!N7</x:f>
        <x:v>2</x:v>
      </x:c>
      <x:c r="N2">
        <x:f>SUM('[1]26초(현황)'!M7:N7)</x:f>
        <x:v>3</x:v>
      </x:c>
    </x:row>
    <x:row r="3" spans="1:14">
      <x:c r="A3" t="str">
        <x:f>'[1]26초(현황)'!C8</x:f>
        <x:v>건원초</x:v>
      </x:c>
      <x:c r="B3" t="s">
        <x:v>126</x:v>
      </x:c>
      <x:c r="C3">
        <x:f>'[1]26초(현황)'!F8</x:f>
        <x:v>2</x:v>
      </x:c>
      <x:c r="D3">
        <x:f>6*'[1]26초(현황)'!F8-'[1]26초(현황)'!P8+'[1]26초(현황)'!O8</x:f>
        <x:v>1</x:v>
      </x:c>
      <x:c r="E3" s="10">
        <x:f>D3+'[1]26초(현황)'!N8</x:f>
        <x:v>3</x:v>
      </x:c>
      <x:c r="F3" s="10">
        <x:f>E3+'[1]26초(현황)'!M8</x:f>
        <x:v>4</x:v>
      </x:c>
      <x:c r="H3" s="10">
        <x:f>'[1]26초(현황)'!O8</x:f>
        <x:v>1</x:v>
      </x:c>
      <x:c r="I3" s="10">
        <x:f>SUM('[1]26초(현황)'!N8:O8)</x:f>
        <x:v>3</x:v>
      </x:c>
      <x:c r="J3" s="10">
        <x:f>SUM('[1]26초(현황)'!M8:O8)</x:f>
        <x:v>4</x:v>
      </x:c>
      <x:c r="M3" s="10">
        <x:f>'[1]26초(현황)'!N8</x:f>
        <x:v>2</x:v>
      </x:c>
      <x:c r="N3" s="10">
        <x:f>SUM('[1]26초(현황)'!M8:N8)</x:f>
        <x:v>3</x:v>
      </x:c>
    </x:row>
    <x:row r="4" spans="1:14">
      <x:c r="A4" t="str">
        <x:f>'[1]26초(현황)'!C9</x:f>
        <x:v>교문초</x:v>
      </x:c>
      <x:c r="B4" t="s">
        <x:v>126</x:v>
      </x:c>
      <x:c r="C4">
        <x:f>'[1]26초(현황)'!F9</x:f>
        <x:v>2</x:v>
      </x:c>
      <x:c r="D4">
        <x:f>6*'[1]26초(현황)'!F9-'[1]26초(현황)'!P9+'[1]26초(현황)'!O9</x:f>
        <x:v>0</x:v>
      </x:c>
      <x:c r="E4" s="10">
        <x:f>D4+'[1]26초(현황)'!N9</x:f>
        <x:v>2</x:v>
      </x:c>
      <x:c r="F4" s="10">
        <x:f>E4+'[1]26초(현황)'!M9</x:f>
        <x:v>4</x:v>
      </x:c>
      <x:c r="H4" s="10">
        <x:f>'[1]26초(현황)'!O9</x:f>
        <x:v>2</x:v>
      </x:c>
      <x:c r="I4" s="10">
        <x:f>SUM('[1]26초(현황)'!N9:O9)</x:f>
        <x:v>4</x:v>
      </x:c>
      <x:c r="J4" s="10">
        <x:f>SUM('[1]26초(현황)'!M9:O9)</x:f>
        <x:v>6</x:v>
      </x:c>
      <x:c r="M4" s="10">
        <x:f>'[1]26초(현황)'!N9</x:f>
        <x:v>2</x:v>
      </x:c>
      <x:c r="N4" s="10">
        <x:f>SUM('[1]26초(현황)'!M9:N9)</x:f>
        <x:v>4</x:v>
      </x:c>
    </x:row>
    <x:row r="5" spans="1:14">
      <x:c r="A5" t="str">
        <x:f>'[1]26초(현황)'!C10</x:f>
        <x:v>구리초</x:v>
      </x:c>
      <x:c r="B5" t="s">
        <x:v>126</x:v>
      </x:c>
      <x:c r="C5">
        <x:f>'[1]26초(현황)'!F10</x:f>
        <x:v>2</x:v>
      </x:c>
      <x:c r="D5">
        <x:f>6*'[1]26초(현황)'!F10-'[1]26초(현황)'!P10+'[1]26초(현황)'!O10</x:f>
        <x:v>5</x:v>
      </x:c>
      <x:c r="E5" s="10">
        <x:f>D5+'[1]26초(현황)'!N10</x:f>
        <x:v>9</x:v>
      </x:c>
      <x:c r="F5" s="10">
        <x:f>E5+'[1]26초(현황)'!M10</x:f>
        <x:v>11</x:v>
      </x:c>
      <x:c r="H5" s="10">
        <x:f>'[1]26초(현황)'!O10</x:f>
        <x:v>2</x:v>
      </x:c>
      <x:c r="I5" s="10">
        <x:f>SUM('[1]26초(현황)'!N10:O10)</x:f>
        <x:v>6</x:v>
      </x:c>
      <x:c r="J5" s="10">
        <x:f>SUM('[1]26초(현황)'!M10:O10)</x:f>
        <x:v>8</x:v>
      </x:c>
      <x:c r="M5" s="10">
        <x:f>'[1]26초(현황)'!N10</x:f>
        <x:v>4</x:v>
      </x:c>
      <x:c r="N5" s="10">
        <x:f>SUM('[1]26초(현황)'!M10:N10)</x:f>
        <x:v>6</x:v>
      </x:c>
    </x:row>
    <x:row r="6" spans="1:14">
      <x:c r="A6" t="str">
        <x:f>'[1]26초(현황)'!C11</x:f>
        <x:v>구지초</x:v>
      </x:c>
      <x:c r="B6" t="s">
        <x:v>126</x:v>
      </x:c>
      <x:c r="C6">
        <x:f>'[1]26초(현황)'!F11</x:f>
        <x:v>1</x:v>
      </x:c>
      <x:c r="D6">
        <x:f>6*'[1]26초(현황)'!F11-'[1]26초(현황)'!P11+'[1]26초(현황)'!O11</x:f>
        <x:v>5</x:v>
      </x:c>
      <x:c r="E6" s="10">
        <x:f>D6+'[1]26초(현황)'!N11</x:f>
        <x:v>5</x:v>
      </x:c>
      <x:c r="F6" s="10">
        <x:f>E6+'[1]26초(현황)'!M11</x:f>
        <x:v>6</x:v>
      </x:c>
      <x:c r="H6" s="10">
        <x:f>'[1]26초(현황)'!O11</x:f>
        <x:v>0</x:v>
      </x:c>
      <x:c r="I6" s="10">
        <x:f>SUM('[1]26초(현황)'!N11:O11)</x:f>
        <x:v>0</x:v>
      </x:c>
      <x:c r="J6" s="10">
        <x:f>SUM('[1]26초(현황)'!M11:O11)</x:f>
        <x:v>1</x:v>
      </x:c>
      <x:c r="M6" s="10">
        <x:f>'[1]26초(현황)'!N11</x:f>
        <x:v>0</x:v>
      </x:c>
      <x:c r="N6" s="10">
        <x:f>SUM('[1]26초(현황)'!M11:N11)</x:f>
        <x:v>1</x:v>
      </x:c>
    </x:row>
    <x:row r="7" spans="1:14">
      <x:c r="A7" t="str">
        <x:f>'[1]26초(현황)'!C12</x:f>
        <x:v>내양초</x:v>
      </x:c>
      <x:c r="B7" t="s">
        <x:v>126</x:v>
      </x:c>
      <x:c r="C7">
        <x:f>'[1]26초(현황)'!F12</x:f>
        <x:v>1</x:v>
      </x:c>
      <x:c r="D7">
        <x:f>6*'[1]26초(현황)'!F12-'[1]26초(현황)'!P12+'[1]26초(현황)'!O12</x:f>
        <x:v>0</x:v>
      </x:c>
      <x:c r="E7" s="10">
        <x:f>D7+'[1]26초(현황)'!N12</x:f>
        <x:v>2</x:v>
      </x:c>
      <x:c r="F7" s="10">
        <x:f>E7+'[1]26초(현황)'!M12</x:f>
        <x:v>3</x:v>
      </x:c>
      <x:c r="H7" s="10">
        <x:f>'[1]26초(현황)'!O12</x:f>
        <x:v>0</x:v>
      </x:c>
      <x:c r="I7" s="10">
        <x:f>SUM('[1]26초(현황)'!N12:O12)</x:f>
        <x:v>2</x:v>
      </x:c>
      <x:c r="J7" s="10">
        <x:f>SUM('[1]26초(현황)'!M12:O12)</x:f>
        <x:v>3</x:v>
      </x:c>
      <x:c r="M7" s="10">
        <x:f>'[1]26초(현황)'!N12</x:f>
        <x:v>2</x:v>
      </x:c>
      <x:c r="N7" s="10">
        <x:f>SUM('[1]26초(현황)'!M12:N12)</x:f>
        <x:v>3</x:v>
      </x:c>
    </x:row>
    <x:row r="8" spans="1:14">
      <x:c r="A8" t="str">
        <x:f>'[1]26초(현황)'!C13</x:f>
        <x:v>도림초</x:v>
      </x:c>
      <x:c r="B8" t="s">
        <x:v>126</x:v>
      </x:c>
      <x:c r="C8">
        <x:f>'[1]26초(현황)'!F13</x:f>
        <x:v>2</x:v>
      </x:c>
      <x:c r="D8">
        <x:f>6*'[1]26초(현황)'!F13-'[1]26초(현황)'!P13+'[1]26초(현황)'!O13</x:f>
        <x:v>5</x:v>
      </x:c>
      <x:c r="E8" s="10">
        <x:f>D8+'[1]26초(현황)'!N13</x:f>
        <x:v>9</x:v>
      </x:c>
      <x:c r="F8" s="10">
        <x:f>E8+'[1]26초(현황)'!M13</x:f>
        <x:v>10</x:v>
      </x:c>
      <x:c r="H8" s="10">
        <x:f>'[1]26초(현황)'!O13</x:f>
        <x:v>1</x:v>
      </x:c>
      <x:c r="I8" s="10">
        <x:f>SUM('[1]26초(현황)'!N13:O13)</x:f>
        <x:v>5</x:v>
      </x:c>
      <x:c r="J8" s="10">
        <x:f>SUM('[1]26초(현황)'!M13:O13)</x:f>
        <x:v>6</x:v>
      </x:c>
      <x:c r="M8" s="10">
        <x:f>'[1]26초(현황)'!N13</x:f>
        <x:v>4</x:v>
      </x:c>
      <x:c r="N8" s="10">
        <x:f>SUM('[1]26초(현황)'!M13:N13)</x:f>
        <x:v>5</x:v>
      </x:c>
    </x:row>
    <x:row r="9" spans="1:14">
      <x:c r="A9" t="str">
        <x:f>'[1]26초(현황)'!C14</x:f>
        <x:v>동구초</x:v>
      </x:c>
      <x:c r="B9" t="s">
        <x:v>126</x:v>
      </x:c>
      <x:c r="C9">
        <x:f>'[1]26초(현황)'!F14</x:f>
        <x:v>1</x:v>
      </x:c>
      <x:c r="D9">
        <x:f>6*'[1]26초(현황)'!F14-'[1]26초(현황)'!P14+'[1]26초(현황)'!O14</x:f>
        <x:v>3</x:v>
      </x:c>
      <x:c r="E9" s="10">
        <x:f>D9+'[1]26초(현황)'!N14</x:f>
        <x:v>3</x:v>
      </x:c>
      <x:c r="F9" s="10">
        <x:f>E9+'[1]26초(현황)'!M14</x:f>
        <x:v>3</x:v>
      </x:c>
      <x:c r="H9" s="10">
        <x:f>'[1]26초(현황)'!O14</x:f>
        <x:v>0</x:v>
      </x:c>
      <x:c r="I9" s="10">
        <x:f>SUM('[1]26초(현황)'!N14:O14)</x:f>
        <x:v>0</x:v>
      </x:c>
      <x:c r="J9" s="10">
        <x:f>SUM('[1]26초(현황)'!M14:O14)</x:f>
        <x:v>0</x:v>
      </x:c>
      <x:c r="M9" s="10">
        <x:f>'[1]26초(현황)'!N14</x:f>
        <x:v>0</x:v>
      </x:c>
      <x:c r="N9" s="10">
        <x:f>SUM('[1]26초(현황)'!M14:N14)</x:f>
        <x:v>0</x:v>
      </x:c>
    </x:row>
    <x:row r="10" spans="1:14">
      <x:c r="A10" t="str">
        <x:f>'[1]26초(현황)'!C15</x:f>
        <x:v>동인초</x:v>
      </x:c>
      <x:c r="B10" t="s">
        <x:v>126</x:v>
      </x:c>
      <x:c r="C10">
        <x:f>'[1]26초(현황)'!F15</x:f>
        <x:v>2</x:v>
      </x:c>
      <x:c r="D10">
        <x:f>6*'[1]26초(현황)'!F15-'[1]26초(현황)'!P15+'[1]26초(현황)'!O15</x:f>
        <x:v>5</x:v>
      </x:c>
      <x:c r="E10" s="10">
        <x:f>D10+'[1]26초(현황)'!N15</x:f>
        <x:v>9</x:v>
      </x:c>
      <x:c r="F10" s="10">
        <x:f>E10+'[1]26초(현황)'!M15</x:f>
        <x:v>9</x:v>
      </x:c>
      <x:c r="H10" s="10">
        <x:f>'[1]26초(현황)'!O15</x:f>
        <x:v>2</x:v>
      </x:c>
      <x:c r="I10" s="10">
        <x:f>SUM('[1]26초(현황)'!N15:O15)</x:f>
        <x:v>6</x:v>
      </x:c>
      <x:c r="J10" s="10">
        <x:f>SUM('[1]26초(현황)'!M15:O15)</x:f>
        <x:v>6</x:v>
      </x:c>
      <x:c r="M10" s="10">
        <x:f>'[1]26초(현황)'!N15</x:f>
        <x:v>4</x:v>
      </x:c>
      <x:c r="N10" s="10">
        <x:f>SUM('[1]26초(현황)'!M15:N15)</x:f>
        <x:v>4</x:v>
      </x:c>
    </x:row>
    <x:row r="11" spans="1:14">
      <x:c r="A11" t="str">
        <x:f>'[1]26초(현황)'!C16</x:f>
        <x:v>백문초</x:v>
      </x:c>
      <x:c r="B11" t="s">
        <x:v>126</x:v>
      </x:c>
      <x:c r="C11">
        <x:f>'[1]26초(현황)'!F16</x:f>
        <x:v>2</x:v>
      </x:c>
      <x:c r="D11">
        <x:f>6*'[1]26초(현황)'!F16-'[1]26초(현황)'!P16+'[1]26초(현황)'!O16</x:f>
        <x:v>6</x:v>
      </x:c>
      <x:c r="E11" s="10">
        <x:f>D11+'[1]26초(현황)'!N16</x:f>
        <x:v>7</x:v>
      </x:c>
      <x:c r="F11" s="10">
        <x:f>E11+'[1]26초(현황)'!M16</x:f>
        <x:v>8</x:v>
      </x:c>
      <x:c r="H11" s="10">
        <x:f>'[1]26초(현황)'!O16</x:f>
        <x:v>2</x:v>
      </x:c>
      <x:c r="I11" s="10">
        <x:f>SUM('[1]26초(현황)'!N16:O16)</x:f>
        <x:v>3</x:v>
      </x:c>
      <x:c r="J11" s="10">
        <x:f>SUM('[1]26초(현황)'!M16:O16)</x:f>
        <x:v>4</x:v>
      </x:c>
      <x:c r="M11" s="10">
        <x:f>'[1]26초(현황)'!N16</x:f>
        <x:v>1</x:v>
      </x:c>
      <x:c r="N11" s="10">
        <x:f>SUM('[1]26초(현황)'!M16:N16)</x:f>
        <x:v>2</x:v>
      </x:c>
    </x:row>
    <x:row r="12" spans="1:14">
      <x:c r="A12" t="str">
        <x:f>'[1]26초(현황)'!C17</x:f>
        <x:v>부양초</x:v>
      </x:c>
      <x:c r="B12" t="s">
        <x:v>126</x:v>
      </x:c>
      <x:c r="C12">
        <x:f>'[1]26초(현황)'!F17</x:f>
        <x:v>3</x:v>
      </x:c>
      <x:c r="D12">
        <x:f>6*'[1]26초(현황)'!F17-'[1]26초(현황)'!P17+'[1]26초(현황)'!O17</x:f>
        <x:v>3</x:v>
      </x:c>
      <x:c r="E12" s="10">
        <x:f>D12+'[1]26초(현황)'!N17</x:f>
        <x:v>5</x:v>
      </x:c>
      <x:c r="F12" s="10">
        <x:f>E12+'[1]26초(현황)'!M17</x:f>
        <x:v>8</x:v>
      </x:c>
      <x:c r="H12" s="10">
        <x:f>'[1]26초(현황)'!O17</x:f>
        <x:v>0</x:v>
      </x:c>
      <x:c r="I12" s="10">
        <x:f>SUM('[1]26초(현황)'!N17:O17)</x:f>
        <x:v>2</x:v>
      </x:c>
      <x:c r="J12" s="10">
        <x:f>SUM('[1]26초(현황)'!M17:O17)</x:f>
        <x:v>5</x:v>
      </x:c>
      <x:c r="M12" s="10">
        <x:f>'[1]26초(현황)'!N17</x:f>
        <x:v>2</x:v>
      </x:c>
      <x:c r="N12" s="10">
        <x:f>SUM('[1]26초(현황)'!M17:N17)</x:f>
        <x:v>5</x:v>
      </x:c>
    </x:row>
    <x:row r="13" spans="1:14">
      <x:c r="A13" t="str">
        <x:f>'[1]26초(현황)'!C18</x:f>
        <x:v>산마루초</x:v>
      </x:c>
      <x:c r="B13" t="s">
        <x:v>126</x:v>
      </x:c>
      <x:c r="C13">
        <x:f>'[1]26초(현황)'!F18</x:f>
        <x:v>3</x:v>
      </x:c>
      <x:c r="D13">
        <x:f>6*'[1]26초(현황)'!F18-'[1]26초(현황)'!P18+'[1]26초(현황)'!O18</x:f>
        <x:v>3</x:v>
      </x:c>
      <x:c r="E13" s="10">
        <x:f>D13+'[1]26초(현황)'!N18</x:f>
        <x:v>6</x:v>
      </x:c>
      <x:c r="F13" s="10">
        <x:f>E13+'[1]26초(현황)'!M18</x:f>
        <x:v>8</x:v>
      </x:c>
      <x:c r="H13" s="10">
        <x:f>'[1]26초(현황)'!O18</x:f>
        <x:v>4</x:v>
      </x:c>
      <x:c r="I13" s="10">
        <x:f>SUM('[1]26초(현황)'!N18:O18)</x:f>
        <x:v>7</x:v>
      </x:c>
      <x:c r="J13" s="10">
        <x:f>SUM('[1]26초(현황)'!M18:O18)</x:f>
        <x:v>9</x:v>
      </x:c>
      <x:c r="M13" s="10">
        <x:f>'[1]26초(현황)'!N18</x:f>
        <x:v>3</x:v>
      </x:c>
      <x:c r="N13" s="10">
        <x:f>SUM('[1]26초(현황)'!M18:N18)</x:f>
        <x:v>5</x:v>
      </x:c>
    </x:row>
    <x:row r="14" spans="1:14">
      <x:c r="A14" t="str">
        <x:f>'[1]26초(현황)'!C19</x:f>
        <x:v>수택초</x:v>
      </x:c>
      <x:c r="B14" t="s">
        <x:v>126</x:v>
      </x:c>
      <x:c r="C14">
        <x:f>'[1]26초(현황)'!F19</x:f>
        <x:v>1</x:v>
      </x:c>
      <x:c r="D14">
        <x:f>6*'[1]26초(현황)'!F19-'[1]26초(현황)'!P19+'[1]26초(현황)'!O19</x:f>
        <x:v>2</x:v>
      </x:c>
      <x:c r="E14" s="10">
        <x:f>D14+'[1]26초(현황)'!N19</x:f>
        <x:v>3</x:v>
      </x:c>
      <x:c r="F14" s="10">
        <x:f>E14+'[1]26초(현황)'!M19</x:f>
        <x:v>3</x:v>
      </x:c>
      <x:c r="H14" s="10">
        <x:f>'[1]26초(현황)'!O19</x:f>
        <x:v>2</x:v>
      </x:c>
      <x:c r="I14" s="10">
        <x:f>SUM('[1]26초(현황)'!N19:O19)</x:f>
        <x:v>3</x:v>
      </x:c>
      <x:c r="J14" s="10">
        <x:f>SUM('[1]26초(현황)'!M19:O19)</x:f>
        <x:v>3</x:v>
      </x:c>
      <x:c r="M14" s="10">
        <x:f>'[1]26초(현황)'!N19</x:f>
        <x:v>1</x:v>
      </x:c>
      <x:c r="N14" s="10">
        <x:f>SUM('[1]26초(현황)'!M19:N19)</x:f>
        <x:v>1</x:v>
      </x:c>
    </x:row>
    <x:row r="15" spans="1:14">
      <x:c r="A15" t="str">
        <x:f>'[1]26초(현황)'!C20</x:f>
        <x:v>인창초</x:v>
      </x:c>
      <x:c r="B15" t="s">
        <x:v>126</x:v>
      </x:c>
      <x:c r="C15">
        <x:f>'[1]26초(현황)'!F20</x:f>
        <x:v>2</x:v>
      </x:c>
      <x:c r="D15">
        <x:f>6*'[1]26초(현황)'!F20-'[1]26초(현황)'!P20+'[1]26초(현황)'!O20</x:f>
        <x:v>1</x:v>
      </x:c>
      <x:c r="E15" s="10">
        <x:f>D15+'[1]26초(현황)'!N20</x:f>
        <x:v>2</x:v>
      </x:c>
      <x:c r="F15" s="10">
        <x:f>E15+'[1]26초(현황)'!M20</x:f>
        <x:v>4</x:v>
      </x:c>
      <x:c r="H15" s="10">
        <x:f>'[1]26초(현황)'!O20</x:f>
        <x:v>2</x:v>
      </x:c>
      <x:c r="I15" s="10">
        <x:f>SUM('[1]26초(현황)'!N20:O20)</x:f>
        <x:v>3</x:v>
      </x:c>
      <x:c r="J15" s="10">
        <x:f>SUM('[1]26초(현황)'!M20:O20)</x:f>
        <x:v>5</x:v>
      </x:c>
      <x:c r="M15" s="10">
        <x:f>'[1]26초(현황)'!N20</x:f>
        <x:v>1</x:v>
      </x:c>
      <x:c r="N15" s="10">
        <x:f>SUM('[1]26초(현황)'!M20:N20)</x:f>
        <x:v>3</x:v>
      </x:c>
    </x:row>
    <x:row r="16" spans="1:14">
      <x:c r="A16" t="str">
        <x:f>'[1]26초(현황)'!C21</x:f>
        <x:v>토평초</x:v>
      </x:c>
      <x:c r="B16" t="s">
        <x:v>126</x:v>
      </x:c>
      <x:c r="C16">
        <x:f>'[1]26초(현황)'!F21</x:f>
        <x:v>2</x:v>
      </x:c>
      <x:c r="D16">
        <x:f>6*'[1]26초(현황)'!F21-'[1]26초(현황)'!P21+'[1]26초(현황)'!O21</x:f>
        <x:v>1</x:v>
      </x:c>
      <x:c r="E16" s="10">
        <x:f>D16+'[1]26초(현황)'!N21</x:f>
        <x:v>4</x:v>
      </x:c>
      <x:c r="F16" s="10">
        <x:f>E16+'[1]26초(현황)'!M21</x:f>
        <x:v>7</x:v>
      </x:c>
      <x:c r="H16" s="10">
        <x:f>'[1]26초(현황)'!O21</x:f>
        <x:v>0</x:v>
      </x:c>
      <x:c r="I16" s="10">
        <x:f>SUM('[1]26초(현황)'!N21:O21)</x:f>
        <x:v>3</x:v>
      </x:c>
      <x:c r="J16" s="10">
        <x:f>SUM('[1]26초(현황)'!M21:O21)</x:f>
        <x:v>6</x:v>
      </x:c>
      <x:c r="M16" s="10">
        <x:f>'[1]26초(현황)'!N21</x:f>
        <x:v>3</x:v>
      </x:c>
      <x:c r="N16" s="10">
        <x:f>SUM('[1]26초(현황)'!M21:N21)</x:f>
        <x:v>6</x:v>
      </x:c>
    </x:row>
    <x:row r="17" spans="1:14">
      <x:c r="A17" s="7" t="str">
        <x:f>'[1]26초(현황)'!C21</x:f>
        <x:v>토평초</x:v>
      </x:c>
      <x:c r="B17" s="7" t="s">
        <x:v>135</x:v>
      </x:c>
      <x:c r="C17" s="7">
        <x:f>'[1]26초(현황)'!G21</x:f>
        <x:v>1</x:v>
      </x:c>
      <x:c r="D17" s="7">
        <x:f>4*'[1]26초(현황)'!G21-'[1]26초(현황)'!P22+'[1]26초(현황)'!O22</x:f>
        <x:v>0</x:v>
      </x:c>
      <x:c r="E17" s="10">
        <x:f>D17+'[1]26초(현황)'!N22</x:f>
        <x:v>2</x:v>
      </x:c>
      <x:c r="F17" s="10">
        <x:f>E17+'[1]26초(현황)'!M22</x:f>
        <x:v>2</x:v>
      </x:c>
      <x:c r="H17" s="10">
        <x:f>'[1]26초(현황)'!O22</x:f>
        <x:v>0</x:v>
      </x:c>
      <x:c r="I17" s="10">
        <x:f>SUM('[1]26초(현황)'!N22:O22)</x:f>
        <x:v>2</x:v>
      </x:c>
      <x:c r="J17" s="10">
        <x:f>SUM('[1]26초(현황)'!M22:O22)</x:f>
        <x:v>2</x:v>
      </x:c>
      <x:c r="M17" s="10">
        <x:f>'[1]26초(현황)'!N22</x:f>
        <x:v>2</x:v>
      </x:c>
      <x:c r="N17" s="10">
        <x:f>SUM('[1]26초(현황)'!M22:N22)</x:f>
        <x:v>2</x:v>
      </x:c>
    </x:row>
    <x:row r="18" spans="1:14">
      <x:c r="A18" t="str">
        <x:f>'[1]26초(현황)'!C23</x:f>
        <x:v>가곡초</x:v>
      </x:c>
      <x:c r="B18" t="s">
        <x:v>126</x:v>
      </x:c>
      <x:c r="C18">
        <x:f>'[1]26초(현황)'!F23</x:f>
        <x:v>2</x:v>
      </x:c>
      <x:c r="D18">
        <x:f>6*'[1]26초(현황)'!F23-'[1]26초(현황)'!P23+'[1]26초(현황)'!O23</x:f>
        <x:v>1</x:v>
      </x:c>
      <x:c r="E18" s="10">
        <x:f>D18+'[1]26초(현황)'!N23</x:f>
        <x:v>3</x:v>
      </x:c>
      <x:c r="F18" s="10">
        <x:f>E18+'[1]26초(현황)'!M23</x:f>
        <x:v>6</x:v>
      </x:c>
      <x:c r="H18" s="10">
        <x:f>'[1]26초(현황)'!O23</x:f>
        <x:v>1</x:v>
      </x:c>
      <x:c r="I18" s="10">
        <x:f>SUM('[1]26초(현황)'!N23:O23)</x:f>
        <x:v>3</x:v>
      </x:c>
      <x:c r="J18" s="10">
        <x:f>SUM('[1]26초(현황)'!M23:O23)</x:f>
        <x:v>6</x:v>
      </x:c>
      <x:c r="M18" s="10">
        <x:f>'[1]26초(현황)'!N23</x:f>
        <x:v>2</x:v>
      </x:c>
      <x:c r="N18" s="10">
        <x:f>SUM('[1]26초(현황)'!M23:N23)</x:f>
        <x:v>5</x:v>
      </x:c>
    </x:row>
    <x:row r="19" spans="1:14">
      <x:c r="A19" t="str">
        <x:f>'[1]26초(현황)'!C24</x:f>
        <x:v>가운초</x:v>
      </x:c>
      <x:c r="B19" t="s">
        <x:v>126</x:v>
      </x:c>
      <x:c r="C19">
        <x:f>'[1]26초(현황)'!F24</x:f>
        <x:v>1</x:v>
      </x:c>
      <x:c r="D19">
        <x:f>6*'[1]26초(현황)'!F24-'[1]26초(현황)'!P24+'[1]26초(현황)'!O24</x:f>
        <x:v>0</x:v>
      </x:c>
      <x:c r="E19" s="10">
        <x:f>D19+'[1]26초(현황)'!N24</x:f>
        <x:v>0</x:v>
      </x:c>
      <x:c r="F19" s="10">
        <x:f>E19+'[1]26초(현황)'!M24</x:f>
        <x:v>1</x:v>
      </x:c>
      <x:c r="H19" s="10">
        <x:f>'[1]26초(현황)'!O24</x:f>
        <x:v>0</x:v>
      </x:c>
      <x:c r="I19" s="10">
        <x:f>SUM('[1]26초(현황)'!N24:O24)</x:f>
        <x:v>0</x:v>
      </x:c>
      <x:c r="J19" s="10">
        <x:f>SUM('[1]26초(현황)'!M24:O24)</x:f>
        <x:v>1</x:v>
      </x:c>
      <x:c r="M19" s="10">
        <x:f>'[1]26초(현황)'!N24</x:f>
        <x:v>0</x:v>
      </x:c>
      <x:c r="N19" s="10">
        <x:f>SUM('[1]26초(현황)'!M24:N24)</x:f>
        <x:v>1</x:v>
      </x:c>
    </x:row>
    <x:row r="20" spans="1:14">
      <x:c r="A20" t="str">
        <x:f>'[1]26초(현황)'!C25</x:f>
        <x:v>광릉초</x:v>
      </x:c>
      <x:c r="B20" t="s">
        <x:v>126</x:v>
      </x:c>
      <x:c r="C20">
        <x:f>'[1]26초(현황)'!F25</x:f>
        <x:v>2</x:v>
      </x:c>
      <x:c r="D20">
        <x:f>6*'[1]26초(현황)'!F25-'[1]26초(현황)'!P25+'[1]26초(현황)'!O25</x:f>
        <x:v>7</x:v>
      </x:c>
      <x:c r="E20" s="10">
        <x:f>D20+'[1]26초(현황)'!N25</x:f>
        <x:v>7</x:v>
      </x:c>
      <x:c r="F20" s="10">
        <x:f>E20+'[1]26초(현황)'!M25</x:f>
        <x:v>10</x:v>
      </x:c>
      <x:c r="H20" s="10">
        <x:f>'[1]26초(현황)'!O25</x:f>
        <x:v>2</x:v>
      </x:c>
      <x:c r="I20" s="10">
        <x:f>SUM('[1]26초(현황)'!N25:O25)</x:f>
        <x:v>2</x:v>
      </x:c>
      <x:c r="J20" s="10">
        <x:f>SUM('[1]26초(현황)'!M25:O25)</x:f>
        <x:v>5</x:v>
      </x:c>
      <x:c r="M20" s="10">
        <x:f>'[1]26초(현황)'!N25</x:f>
        <x:v>0</x:v>
      </x:c>
      <x:c r="N20" s="10">
        <x:f>SUM('[1]26초(현황)'!M25:N25)</x:f>
        <x:v>3</x:v>
      </x:c>
    </x:row>
    <x:row r="21" spans="1:14">
      <x:c r="A21" t="str">
        <x:f>'[1]26초(현황)'!C26</x:f>
        <x:v>구룡초</x:v>
      </x:c>
      <x:c r="B21" t="s">
        <x:v>126</x:v>
      </x:c>
      <x:c r="C21">
        <x:f>'[1]26초(현황)'!F26</x:f>
        <x:v>2</x:v>
      </x:c>
      <x:c r="D21">
        <x:f>6*'[1]26초(현황)'!F26-'[1]26초(현황)'!P26+'[1]26초(현황)'!O26</x:f>
        <x:v>4</x:v>
      </x:c>
      <x:c r="E21" s="10">
        <x:f>D21+'[1]26초(현황)'!N26</x:f>
        <x:v>4</x:v>
      </x:c>
      <x:c r="F21" s="10">
        <x:f>E21+'[1]26초(현황)'!M26</x:f>
        <x:v>4</x:v>
      </x:c>
      <x:c r="H21" s="10">
        <x:f>'[1]26초(현황)'!O26</x:f>
        <x:v>2</x:v>
      </x:c>
      <x:c r="I21" s="10">
        <x:f>SUM('[1]26초(현황)'!N26:O26)</x:f>
        <x:v>2</x:v>
      </x:c>
      <x:c r="J21" s="10">
        <x:f>SUM('[1]26초(현황)'!M26:O26)</x:f>
        <x:v>2</x:v>
      </x:c>
      <x:c r="M21" s="10">
        <x:f>'[1]26초(현황)'!N26</x:f>
        <x:v>0</x:v>
      </x:c>
      <x:c r="N21" s="10">
        <x:f>SUM('[1]26초(현황)'!M26:N26)</x:f>
        <x:v>0</x:v>
      </x:c>
    </x:row>
    <x:row r="22" spans="1:14">
      <x:c r="A22" t="str">
        <x:f>'[1]26초(현황)'!C27</x:f>
        <x:v>금교초</x:v>
      </x:c>
      <x:c r="B22" t="s">
        <x:v>126</x:v>
      </x:c>
      <x:c r="C22">
        <x:f>'[1]26초(현황)'!F27</x:f>
        <x:v>1</x:v>
      </x:c>
      <x:c r="D22">
        <x:f>6*'[1]26초(현황)'!F27-'[1]26초(현황)'!P27+'[1]26초(현황)'!O27</x:f>
        <x:v>2</x:v>
      </x:c>
      <x:c r="E22" s="10">
        <x:f>D22+'[1]26초(현황)'!N27</x:f>
        <x:v>3</x:v>
      </x:c>
      <x:c r="F22" s="10">
        <x:f>E22+'[1]26초(현황)'!M27</x:f>
        <x:v>4</x:v>
      </x:c>
      <x:c r="H22" s="10">
        <x:f>'[1]26초(현황)'!O27</x:f>
        <x:v>0</x:v>
      </x:c>
      <x:c r="I22" s="10">
        <x:f>SUM('[1]26초(현황)'!N27:O27)</x:f>
        <x:v>1</x:v>
      </x:c>
      <x:c r="J22" s="10">
        <x:f>SUM('[1]26초(현황)'!M27:O27)</x:f>
        <x:v>2</x:v>
      </x:c>
      <x:c r="M22" s="10">
        <x:f>'[1]26초(현황)'!N27</x:f>
        <x:v>1</x:v>
      </x:c>
      <x:c r="N22" s="10">
        <x:f>SUM('[1]26초(현황)'!M27:N27)</x:f>
        <x:v>2</x:v>
      </x:c>
    </x:row>
    <x:row r="23" spans="1:14">
      <x:c r="A23" t="str">
        <x:f>'[1]26초(현황)'!C28</x:f>
        <x:v>금남초</x:v>
      </x:c>
      <x:c r="B23" t="s">
        <x:v>126</x:v>
      </x:c>
      <x:c r="C23">
        <x:f>'[1]26초(현황)'!F28</x:f>
        <x:v>1</x:v>
      </x:c>
      <x:c r="D23">
        <x:f>6*'[1]26초(현황)'!F28-'[1]26초(현황)'!P28+'[1]26초(현황)'!O28</x:f>
        <x:v>2</x:v>
      </x:c>
      <x:c r="E23" s="10">
        <x:f>D23+'[1]26초(현황)'!N28</x:f>
        <x:v>4</x:v>
      </x:c>
      <x:c r="F23" s="10">
        <x:f>E23+'[1]26초(현황)'!M28</x:f>
        <x:v>4</x:v>
      </x:c>
      <x:c r="H23" s="10">
        <x:f>'[1]26초(현황)'!O28</x:f>
        <x:v>0</x:v>
      </x:c>
      <x:c r="I23" s="10">
        <x:f>SUM('[1]26초(현황)'!N28:O28)</x:f>
        <x:v>2</x:v>
      </x:c>
      <x:c r="J23" s="10">
        <x:f>SUM('[1]26초(현황)'!M28:O28)</x:f>
        <x:v>2</x:v>
      </x:c>
      <x:c r="M23" s="10">
        <x:f>'[1]26초(현황)'!N28</x:f>
        <x:v>2</x:v>
      </x:c>
      <x:c r="N23" s="10">
        <x:f>SUM('[1]26초(현황)'!M28:N28)</x:f>
        <x:v>2</x:v>
      </x:c>
    </x:row>
    <x:row r="24" spans="1:14">
      <x:c r="A24" t="str">
        <x:f>'[1]26초(현황)'!C29</x:f>
        <x:v xml:space="preserve">남양주금곡초 </x:v>
      </x:c>
      <x:c r="B24" t="s">
        <x:v>126</x:v>
      </x:c>
      <x:c r="C24">
        <x:f>'[1]26초(현황)'!F29</x:f>
        <x:v>1</x:v>
      </x:c>
      <x:c r="D24">
        <x:f>6*'[1]26초(현황)'!F29-'[1]26초(현황)'!P29+'[1]26초(현황)'!O29</x:f>
        <x:v>2</x:v>
      </x:c>
      <x:c r="E24" s="10">
        <x:f>D24+'[1]26초(현황)'!N29</x:f>
        <x:v>3</x:v>
      </x:c>
      <x:c r="F24" s="10">
        <x:f>E24+'[1]26초(현황)'!M29</x:f>
        <x:v>3</x:v>
      </x:c>
      <x:c r="H24" s="10">
        <x:f>'[1]26초(현황)'!O29</x:f>
        <x:v>2</x:v>
      </x:c>
      <x:c r="I24" s="10">
        <x:f>SUM('[1]26초(현황)'!N29:O29)</x:f>
        <x:v>3</x:v>
      </x:c>
      <x:c r="J24" s="10">
        <x:f>SUM('[1]26초(현황)'!M29:O29)</x:f>
        <x:v>3</x:v>
      </x:c>
      <x:c r="M24" s="10">
        <x:f>'[1]26초(현황)'!N29</x:f>
        <x:v>1</x:v>
      </x:c>
      <x:c r="N24" s="10">
        <x:f>SUM('[1]26초(현황)'!M29:N29)</x:f>
        <x:v>1</x:v>
      </x:c>
    </x:row>
    <x:row r="25" spans="1:14">
      <x:c r="A25" t="str">
        <x:f>'[1]26초(현황)'!C30</x:f>
        <x:v>남양주다산초</x:v>
      </x:c>
      <x:c r="B25" t="s">
        <x:v>126</x:v>
      </x:c>
      <x:c r="C25">
        <x:f>'[1]26초(현황)'!F30</x:f>
        <x:v>2</x:v>
      </x:c>
      <x:c r="D25">
        <x:f>6*'[1]26초(현황)'!F30-'[1]26초(현황)'!P30+'[1]26초(현황)'!O30</x:f>
        <x:v>0</x:v>
      </x:c>
      <x:c r="E25" s="10">
        <x:f>D25+'[1]26초(현황)'!N30</x:f>
        <x:v>3</x:v>
      </x:c>
      <x:c r="F25" s="10">
        <x:f>E25+'[1]26초(현황)'!M30</x:f>
        <x:v>5</x:v>
      </x:c>
      <x:c r="H25" s="10">
        <x:f>'[1]26초(현황)'!O30</x:f>
        <x:v>2</x:v>
      </x:c>
      <x:c r="I25" s="10">
        <x:f>SUM('[1]26초(현황)'!N30:O30)</x:f>
        <x:v>5</x:v>
      </x:c>
      <x:c r="J25" s="10">
        <x:f>SUM('[1]26초(현황)'!M30:O30)</x:f>
        <x:v>7</x:v>
      </x:c>
      <x:c r="M25" s="10">
        <x:f>'[1]26초(현황)'!N30</x:f>
        <x:v>3</x:v>
      </x:c>
      <x:c r="N25" s="10">
        <x:f>SUM('[1]26초(현황)'!M30:N30)</x:f>
        <x:v>5</x:v>
      </x:c>
    </x:row>
    <x:row r="26" spans="1:14">
      <x:c r="A26" t="str">
        <x:f>'[1]26초(현황)'!C31</x:f>
        <x:v>남양주덕송초</x:v>
      </x:c>
      <x:c r="B26" t="s">
        <x:v>126</x:v>
      </x:c>
      <x:c r="C26">
        <x:f>'[1]26초(현황)'!F31</x:f>
        <x:v>2</x:v>
      </x:c>
      <x:c r="D26">
        <x:f>6*'[1]26초(현황)'!F31-'[1]26초(현황)'!P31+'[1]26초(현황)'!O31</x:f>
        <x:v>5</x:v>
      </x:c>
      <x:c r="E26" s="10">
        <x:f>D26+'[1]26초(현황)'!N31</x:f>
        <x:v>8</x:v>
      </x:c>
      <x:c r="F26" s="10">
        <x:f>E26+'[1]26초(현황)'!M31</x:f>
        <x:v>9</x:v>
      </x:c>
      <x:c r="H26" s="10">
        <x:f>'[1]26초(현황)'!O31</x:f>
        <x:v>5</x:v>
      </x:c>
      <x:c r="I26" s="10">
        <x:f>SUM('[1]26초(현황)'!N31:O31)</x:f>
        <x:v>8</x:v>
      </x:c>
      <x:c r="J26" s="10">
        <x:f>SUM('[1]26초(현황)'!M31:O31)</x:f>
        <x:v>9</x:v>
      </x:c>
      <x:c r="M26" s="10">
        <x:f>'[1]26초(현황)'!N31</x:f>
        <x:v>3</x:v>
      </x:c>
      <x:c r="N26" s="10">
        <x:f>SUM('[1]26초(현황)'!M31:N31)</x:f>
        <x:v>4</x:v>
      </x:c>
    </x:row>
    <x:row r="27" spans="1:14">
      <x:c r="A27" t="str">
        <x:f>'[1]26초(현황)'!C32</x:f>
        <x:v>남양주도곡초</x:v>
      </x:c>
      <x:c r="B27" t="s">
        <x:v>126</x:v>
      </x:c>
      <x:c r="C27">
        <x:f>'[1]26초(현황)'!F32</x:f>
        <x:v>2</x:v>
      </x:c>
      <x:c r="D27">
        <x:f>6*'[1]26초(현황)'!F32-'[1]26초(현황)'!P32+'[1]26초(현황)'!O32</x:f>
        <x:v>6</x:v>
      </x:c>
      <x:c r="E27" s="10">
        <x:f>D27+'[1]26초(현황)'!N32</x:f>
        <x:v>7</x:v>
      </x:c>
      <x:c r="F27" s="10">
        <x:f>E27+'[1]26초(현황)'!M32</x:f>
        <x:v>8</x:v>
      </x:c>
      <x:c r="H27" s="10">
        <x:f>'[1]26초(현황)'!O32</x:f>
        <x:v>1</x:v>
      </x:c>
      <x:c r="I27" s="10">
        <x:f>SUM('[1]26초(현황)'!N32:O32)</x:f>
        <x:v>2</x:v>
      </x:c>
      <x:c r="J27" s="10">
        <x:f>SUM('[1]26초(현황)'!M32:O32)</x:f>
        <x:v>3</x:v>
      </x:c>
      <x:c r="M27" s="10">
        <x:f>'[1]26초(현황)'!N32</x:f>
        <x:v>1</x:v>
      </x:c>
      <x:c r="N27" s="10">
        <x:f>SUM('[1]26초(현황)'!M32:N32)</x:f>
        <x:v>2</x:v>
      </x:c>
    </x:row>
    <x:row r="28" spans="1:14">
      <x:c r="A28" t="str">
        <x:f>'[1]26초(현황)'!C33</x:f>
        <x:v>남양주동곡초</x:v>
      </x:c>
      <x:c r="B28" t="s">
        <x:v>126</x:v>
      </x:c>
      <x:c r="C28">
        <x:f>'[1]26초(현황)'!F33</x:f>
        <x:v>1</x:v>
      </x:c>
      <x:c r="D28">
        <x:f>6*'[1]26초(현황)'!F33-'[1]26초(현황)'!P33+'[1]26초(현황)'!O33</x:f>
        <x:v>1</x:v>
      </x:c>
      <x:c r="E28" s="10">
        <x:f>D28+'[1]26초(현황)'!N33</x:f>
        <x:v>2</x:v>
      </x:c>
      <x:c r="F28" s="10">
        <x:f>E28+'[1]26초(현황)'!M33</x:f>
        <x:v>2</x:v>
      </x:c>
      <x:c r="H28" s="10">
        <x:f>'[1]26초(현황)'!O33</x:f>
        <x:v>0</x:v>
      </x:c>
      <x:c r="I28" s="10">
        <x:f>SUM('[1]26초(현황)'!N33:O33)</x:f>
        <x:v>1</x:v>
      </x:c>
      <x:c r="J28" s="10">
        <x:f>SUM('[1]26초(현황)'!M33:O33)</x:f>
        <x:v>1</x:v>
      </x:c>
      <x:c r="M28" s="10">
        <x:f>'[1]26초(현황)'!N33</x:f>
        <x:v>1</x:v>
      </x:c>
      <x:c r="N28" s="10">
        <x:f>SUM('[1]26초(현황)'!M33:N33)</x:f>
        <x:v>1</x:v>
      </x:c>
    </x:row>
    <x:row r="29" spans="1:14">
      <x:c r="A29" s="7" t="str">
        <x:f>'[1]26초(현황)'!C33</x:f>
        <x:v>남양주동곡초</x:v>
      </x:c>
      <x:c r="B29" s="7" t="s">
        <x:v>135</x:v>
      </x:c>
      <x:c r="C29" s="7">
        <x:f>'[1]26초(현황)'!G33</x:f>
        <x:v>1</x:v>
      </x:c>
      <x:c r="D29" s="7">
        <x:f>4*'[1]26초(현황)'!G33-'[1]26초(현황)'!P34+'[1]26초(현황)'!O34</x:f>
        <x:v>1</x:v>
      </x:c>
      <x:c r="E29" s="10">
        <x:f>D29+'[1]26초(현황)'!N34</x:f>
        <x:v>1</x:v>
      </x:c>
      <x:c r="F29" s="10">
        <x:f>E29+'[1]26초(현황)'!M34</x:f>
        <x:v>1</x:v>
      </x:c>
      <x:c r="H29" s="10">
        <x:f>'[1]26초(현황)'!O34</x:f>
        <x:v>1</x:v>
      </x:c>
      <x:c r="I29" s="10">
        <x:f>SUM('[1]26초(현황)'!N34:O34)</x:f>
        <x:v>1</x:v>
      </x:c>
      <x:c r="J29" s="10">
        <x:f>SUM('[1]26초(현황)'!M34:O34)</x:f>
        <x:v>1</x:v>
      </x:c>
      <x:c r="M29" s="10">
        <x:f>'[1]26초(현황)'!N34</x:f>
        <x:v>0</x:v>
      </x:c>
      <x:c r="N29" s="10">
        <x:f>SUM('[1]26초(현황)'!M34:N34)</x:f>
        <x:v>0</x:v>
      </x:c>
    </x:row>
    <x:row r="30" spans="1:14">
      <x:c r="A30" t="str">
        <x:f>'[1]26초(현황)'!C35</x:f>
        <x:v>남양주미금초</x:v>
      </x:c>
      <x:c r="B30" t="s">
        <x:v>126</x:v>
      </x:c>
      <x:c r="C30">
        <x:f>'[1]26초(현황)'!F35</x:f>
        <x:v>1</x:v>
      </x:c>
      <x:c r="D30">
        <x:f>6*'[1]26초(현황)'!F35-'[1]26초(현황)'!P35+'[1]26초(현황)'!O35</x:f>
        <x:v>2</x:v>
      </x:c>
      <x:c r="E30" s="10">
        <x:f>D30+'[1]26초(현황)'!N35</x:f>
        <x:v>3</x:v>
      </x:c>
      <x:c r="F30" s="10">
        <x:f>E30+'[1]26초(현황)'!M35</x:f>
        <x:v>3</x:v>
      </x:c>
      <x:c r="H30" s="10">
        <x:f>'[1]26초(현황)'!O35</x:f>
        <x:v>0</x:v>
      </x:c>
      <x:c r="I30" s="10">
        <x:f>SUM('[1]26초(현황)'!N35:O35)</x:f>
        <x:v>1</x:v>
      </x:c>
      <x:c r="J30" s="10">
        <x:f>SUM('[1]26초(현황)'!M35:O35)</x:f>
        <x:v>1</x:v>
      </x:c>
      <x:c r="M30" s="10">
        <x:f>'[1]26초(현황)'!N35</x:f>
        <x:v>1</x:v>
      </x:c>
      <x:c r="N30" s="10">
        <x:f>SUM('[1]26초(현황)'!M35:N35)</x:f>
        <x:v>1</x:v>
      </x:c>
    </x:row>
    <x:row r="31" spans="1:14">
      <x:c r="A31" t="str">
        <x:f>'[1]26초(현황)'!C36</x:f>
        <x:v>남양주백봉초</x:v>
      </x:c>
      <x:c r="B31" t="s">
        <x:v>126</x:v>
      </x:c>
      <x:c r="C31">
        <x:f>'[1]26초(현황)'!F36</x:f>
        <x:v>1</x:v>
      </x:c>
      <x:c r="D31">
        <x:f>6*'[1]26초(현황)'!F36-'[1]26초(현황)'!P36+'[1]26초(현황)'!O36</x:f>
        <x:v>3</x:v>
      </x:c>
      <x:c r="E31" s="10">
        <x:f>D31+'[1]26초(현황)'!N36</x:f>
        <x:v>4</x:v>
      </x:c>
      <x:c r="F31" s="10">
        <x:f>E31+'[1]26초(현황)'!M36</x:f>
        <x:v>4</x:v>
      </x:c>
      <x:c r="H31" s="10">
        <x:f>'[1]26초(현황)'!O36</x:f>
        <x:v>0</x:v>
      </x:c>
      <x:c r="I31" s="10">
        <x:f>SUM('[1]26초(현황)'!N36:O36)</x:f>
        <x:v>1</x:v>
      </x:c>
      <x:c r="J31" s="10">
        <x:f>SUM('[1]26초(현황)'!M36:O36)</x:f>
        <x:v>1</x:v>
      </x:c>
      <x:c r="M31" s="10">
        <x:f>'[1]26초(현황)'!N36</x:f>
        <x:v>1</x:v>
      </x:c>
      <x:c r="N31" s="10">
        <x:f>SUM('[1]26초(현황)'!M36:N36)</x:f>
        <x:v>1</x:v>
      </x:c>
    </x:row>
    <x:row r="32" spans="1:14">
      <x:c r="A32" t="str">
        <x:f>'[1]26초(현황)'!C37</x:f>
        <x:v>남양주샛별초</x:v>
      </x:c>
      <x:c r="B32" t="s">
        <x:v>126</x:v>
      </x:c>
      <x:c r="C32">
        <x:f>'[1]26초(현황)'!F37</x:f>
        <x:v>2</x:v>
      </x:c>
      <x:c r="D32">
        <x:f>6*'[1]26초(현황)'!F37-'[1]26초(현황)'!P37+'[1]26초(현황)'!O37</x:f>
        <x:v>1</x:v>
      </x:c>
      <x:c r="E32" s="10">
        <x:f>D32+'[1]26초(현황)'!N37</x:f>
        <x:v>3</x:v>
      </x:c>
      <x:c r="F32" s="10">
        <x:f>E32+'[1]26초(현황)'!M37</x:f>
        <x:v>9</x:v>
      </x:c>
      <x:c r="H32" s="10">
        <x:f>'[1]26초(현황)'!O37</x:f>
        <x:v>1</x:v>
      </x:c>
      <x:c r="I32" s="10">
        <x:f>SUM('[1]26초(현황)'!N37:O37)</x:f>
        <x:v>3</x:v>
      </x:c>
      <x:c r="J32" s="10">
        <x:f>SUM('[1]26초(현황)'!M37:O37)</x:f>
        <x:v>9</x:v>
      </x:c>
      <x:c r="M32" s="10">
        <x:f>'[1]26초(현황)'!N37</x:f>
        <x:v>2</x:v>
      </x:c>
      <x:c r="N32" s="10">
        <x:f>SUM('[1]26초(현황)'!M37:N37)</x:f>
        <x:v>8</x:v>
      </x:c>
    </x:row>
    <x:row r="33" spans="1:14">
      <x:c r="A33" t="str">
        <x:f>'[1]26초(현황)'!C38</x:f>
        <x:v>남양주송라초</x:v>
      </x:c>
      <x:c r="B33" t="s">
        <x:v>126</x:v>
      </x:c>
      <x:c r="C33">
        <x:f>'[1]26초(현황)'!F38</x:f>
        <x:v>2</x:v>
      </x:c>
      <x:c r="D33">
        <x:f>6*'[1]26초(현황)'!F38-'[1]26초(현황)'!P38+'[1]26초(현황)'!O38</x:f>
        <x:v>1</x:v>
      </x:c>
      <x:c r="E33" s="10">
        <x:f>D33+'[1]26초(현황)'!N38</x:f>
        <x:v>2</x:v>
      </x:c>
      <x:c r="F33" s="10">
        <x:f>E33+'[1]26초(현황)'!M38</x:f>
        <x:v>5</x:v>
      </x:c>
      <x:c r="H33" s="10">
        <x:f>'[1]26초(현황)'!O38</x:f>
        <x:v>3</x:v>
      </x:c>
      <x:c r="I33" s="10">
        <x:f>SUM('[1]26초(현황)'!N38:O38)</x:f>
        <x:v>4</x:v>
      </x:c>
      <x:c r="J33" s="10">
        <x:f>SUM('[1]26초(현황)'!M38:O38)</x:f>
        <x:v>7</x:v>
      </x:c>
      <x:c r="M33" s="10">
        <x:f>'[1]26초(현황)'!N38</x:f>
        <x:v>1</x:v>
      </x:c>
      <x:c r="N33" s="10">
        <x:f>SUM('[1]26초(현황)'!M38:N38)</x:f>
        <x:v>4</x:v>
      </x:c>
    </x:row>
    <x:row r="34" spans="1:14">
      <x:c r="A34" t="str">
        <x:f>'[1]26초(현황)'!C39</x:f>
        <x:v>남양주신촌초</x:v>
      </x:c>
      <x:c r="B34" t="s">
        <x:v>126</x:v>
      </x:c>
      <x:c r="C34">
        <x:f>'[1]26초(현황)'!F39</x:f>
        <x:v>1</x:v>
      </x:c>
      <x:c r="D34">
        <x:f>6*'[1]26초(현황)'!F39-'[1]26초(현황)'!P39+'[1]26초(현황)'!O39</x:f>
        <x:v>0</x:v>
      </x:c>
      <x:c r="E34" s="10">
        <x:f>D34+'[1]26초(현황)'!N39</x:f>
        <x:v>2</x:v>
      </x:c>
      <x:c r="F34" s="10">
        <x:f>E34+'[1]26초(현황)'!M39</x:f>
        <x:v>2</x:v>
      </x:c>
      <x:c r="H34" s="10">
        <x:f>'[1]26초(현황)'!O39</x:f>
        <x:v>0</x:v>
      </x:c>
      <x:c r="I34" s="10">
        <x:f>SUM('[1]26초(현황)'!N39:O39)</x:f>
        <x:v>2</x:v>
      </x:c>
      <x:c r="J34" s="10">
        <x:f>SUM('[1]26초(현황)'!M39:O39)</x:f>
        <x:v>2</x:v>
      </x:c>
      <x:c r="M34" s="10">
        <x:f>'[1]26초(현황)'!N39</x:f>
        <x:v>2</x:v>
      </x:c>
      <x:c r="N34" s="10">
        <x:f>SUM('[1]26초(현황)'!M39:N39)</x:f>
        <x:v>2</x:v>
      </x:c>
    </x:row>
    <x:row r="35" spans="1:14">
      <x:c r="A35" t="str">
        <x:f>'[1]26초(현황)'!C40</x:f>
        <x:v>남양주양정초</x:v>
      </x:c>
      <x:c r="B35" t="s">
        <x:v>126</x:v>
      </x:c>
      <x:c r="C35">
        <x:f>'[1]26초(현황)'!F40</x:f>
        <x:v>1</x:v>
      </x:c>
      <x:c r="D35">
        <x:f>6*'[1]26초(현황)'!F40-'[1]26초(현황)'!P40+'[1]26초(현황)'!O40</x:f>
        <x:v>1</x:v>
      </x:c>
      <x:c r="E35" s="10">
        <x:f>D35+'[1]26초(현황)'!N40</x:f>
        <x:v>1</x:v>
      </x:c>
      <x:c r="F35" s="10">
        <x:f>E35+'[1]26초(현황)'!M40</x:f>
        <x:v>2</x:v>
      </x:c>
      <x:c r="H35" s="10">
        <x:f>'[1]26초(현황)'!O40</x:f>
        <x:v>1</x:v>
      </x:c>
      <x:c r="I35" s="10">
        <x:f>SUM('[1]26초(현황)'!N40:O40)</x:f>
        <x:v>1</x:v>
      </x:c>
      <x:c r="J35" s="10">
        <x:f>SUM('[1]26초(현황)'!M40:O40)</x:f>
        <x:v>2</x:v>
      </x:c>
      <x:c r="M35" s="10">
        <x:f>'[1]26초(현황)'!N40</x:f>
        <x:v>0</x:v>
      </x:c>
      <x:c r="N35" s="10">
        <x:f>SUM('[1]26초(현황)'!M40:N40)</x:f>
        <x:v>1</x:v>
      </x:c>
    </x:row>
    <x:row r="36" spans="1:14">
      <x:c r="A36" t="str">
        <x:f>'[1]26초(현황)'!C41</x:f>
        <x:v>남양주양지초</x:v>
      </x:c>
      <x:c r="B36" t="s">
        <x:v>126</x:v>
      </x:c>
      <x:c r="C36">
        <x:f>'[1]26초(현황)'!F41</x:f>
        <x:v>1</x:v>
      </x:c>
      <x:c r="D36">
        <x:f>6*'[1]26초(현황)'!F41-'[1]26초(현황)'!P41+'[1]26초(현황)'!O41</x:f>
        <x:v>1</x:v>
      </x:c>
      <x:c r="E36" s="10">
        <x:f>D36+'[1]26초(현황)'!N41</x:f>
        <x:v>2</x:v>
      </x:c>
      <x:c r="F36" s="10">
        <x:f>E36+'[1]26초(현황)'!M41</x:f>
        <x:v>2</x:v>
      </x:c>
      <x:c r="H36" s="10">
        <x:f>'[1]26초(현황)'!O41</x:f>
        <x:v>1</x:v>
      </x:c>
      <x:c r="I36" s="10">
        <x:f>SUM('[1]26초(현황)'!N41:O41)</x:f>
        <x:v>2</x:v>
      </x:c>
      <x:c r="J36" s="10">
        <x:f>SUM('[1]26초(현황)'!M41:O41)</x:f>
        <x:v>2</x:v>
      </x:c>
      <x:c r="M36" s="10">
        <x:f>'[1]26초(현황)'!N41</x:f>
        <x:v>1</x:v>
      </x:c>
      <x:c r="N36" s="10">
        <x:f>SUM('[1]26초(현황)'!M41:N41)</x:f>
        <x:v>1</x:v>
      </x:c>
    </x:row>
    <x:row r="37" spans="1:14">
      <x:c r="A37" t="str">
        <x:f>'[1]26초(현황)'!C42</x:f>
        <x:v>남양주월산초</x:v>
      </x:c>
      <x:c r="B37" t="s">
        <x:v>126</x:v>
      </x:c>
      <x:c r="C37">
        <x:f>'[1]26초(현황)'!F42</x:f>
        <x:v>2</x:v>
      </x:c>
      <x:c r="D37">
        <x:f>6*'[1]26초(현황)'!F42-'[1]26초(현황)'!P42+'[1]26초(현황)'!O42</x:f>
        <x:v>3</x:v>
      </x:c>
      <x:c r="E37" s="10">
        <x:f>D37+'[1]26초(현황)'!N42</x:f>
        <x:v>4</x:v>
      </x:c>
      <x:c r="F37" s="10">
        <x:f>E37+'[1]26초(현황)'!M42</x:f>
        <x:v>8</x:v>
      </x:c>
      <x:c r="H37" s="10">
        <x:f>'[1]26초(현황)'!O42</x:f>
        <x:v>1</x:v>
      </x:c>
      <x:c r="I37" s="10">
        <x:f>SUM('[1]26초(현황)'!N42:O42)</x:f>
        <x:v>2</x:v>
      </x:c>
      <x:c r="J37" s="10">
        <x:f>SUM('[1]26초(현황)'!M42:O42)</x:f>
        <x:v>6</x:v>
      </x:c>
      <x:c r="M37" s="10">
        <x:f>'[1]26초(현황)'!N42</x:f>
        <x:v>1</x:v>
      </x:c>
      <x:c r="N37" s="10">
        <x:f>SUM('[1]26초(현황)'!M42:N42)</x:f>
        <x:v>5</x:v>
      </x:c>
    </x:row>
    <x:row r="38" spans="1:14">
      <x:c r="A38" t="str">
        <x:f>'[1]26초(현황)'!C43</x:f>
        <x:v>다산가람초</x:v>
      </x:c>
      <x:c r="B38" t="s">
        <x:v>126</x:v>
      </x:c>
      <x:c r="C38">
        <x:f>'[1]26초(현황)'!F43</x:f>
        <x:v>2</x:v>
      </x:c>
      <x:c r="D38">
        <x:f>6*'[1]26초(현황)'!F43-'[1]26초(현황)'!P43+'[1]26초(현황)'!O43</x:f>
        <x:v>2</x:v>
      </x:c>
      <x:c r="E38" s="10">
        <x:f>D38+'[1]26초(현황)'!N43</x:f>
        <x:v>4</x:v>
      </x:c>
      <x:c r="F38" s="10">
        <x:f>E38+'[1]26초(현황)'!M43</x:f>
        <x:v>6</x:v>
      </x:c>
      <x:c r="H38" s="10">
        <x:f>'[1]26초(현황)'!O43</x:f>
        <x:v>3</x:v>
      </x:c>
      <x:c r="I38" s="10">
        <x:f>SUM('[1]26초(현황)'!N43:O43)</x:f>
        <x:v>5</x:v>
      </x:c>
      <x:c r="J38" s="10">
        <x:f>SUM('[1]26초(현황)'!M43:O43)</x:f>
        <x:v>7</x:v>
      </x:c>
      <x:c r="M38" s="10">
        <x:f>'[1]26초(현황)'!N43</x:f>
        <x:v>2</x:v>
      </x:c>
      <x:c r="N38" s="10">
        <x:f>SUM('[1]26초(현황)'!M43:N43)</x:f>
        <x:v>4</x:v>
      </x:c>
    </x:row>
    <x:row r="39" spans="1:14">
      <x:c r="A39" t="str">
        <x:f>'[1]26초(현황)'!C44</x:f>
        <x:v>다산별빛초</x:v>
      </x:c>
      <x:c r="B39" t="s">
        <x:v>126</x:v>
      </x:c>
      <x:c r="C39">
        <x:f>'[1]26초(현황)'!F44</x:f>
        <x:v>3</x:v>
      </x:c>
      <x:c r="D39">
        <x:f>6*'[1]26초(현황)'!F44-'[1]26초(현황)'!P44+'[1]26초(현황)'!O44</x:f>
        <x:v>2</x:v>
      </x:c>
      <x:c r="E39" s="10">
        <x:f>D39+'[1]26초(현황)'!N44</x:f>
        <x:v>4</x:v>
      </x:c>
      <x:c r="F39" s="10">
        <x:f>E39+'[1]26초(현황)'!M44</x:f>
        <x:v>7</x:v>
      </x:c>
      <x:c r="H39" s="10">
        <x:f>'[1]26초(현황)'!O44</x:f>
        <x:v>2</x:v>
      </x:c>
      <x:c r="I39" s="10">
        <x:f>SUM('[1]26초(현황)'!N44:O44)</x:f>
        <x:v>4</x:v>
      </x:c>
      <x:c r="J39" s="10">
        <x:f>SUM('[1]26초(현황)'!M44:O44)</x:f>
        <x:v>7</x:v>
      </x:c>
      <x:c r="M39" s="10">
        <x:f>'[1]26초(현황)'!N44</x:f>
        <x:v>2</x:v>
      </x:c>
      <x:c r="N39" s="10">
        <x:f>SUM('[1]26초(현황)'!M44:N44)</x:f>
        <x:v>5</x:v>
      </x:c>
    </x:row>
    <x:row r="40" spans="1:14">
      <x:c r="A40" t="str">
        <x:f>'[1]26초(현황)'!C45</x:f>
        <x:v>다산새봄초</x:v>
      </x:c>
      <x:c r="B40" t="s">
        <x:v>126</x:v>
      </x:c>
      <x:c r="C40">
        <x:f>'[1]26초(현황)'!F45</x:f>
        <x:v>3</x:v>
      </x:c>
      <x:c r="D40">
        <x:f>6*'[1]26초(현황)'!F45-'[1]26초(현황)'!P45+'[1]26초(현황)'!O45</x:f>
        <x:v>-1</x:v>
      </x:c>
      <x:c r="E40" s="10">
        <x:f>D40+'[1]26초(현황)'!N45</x:f>
        <x:v>3</x:v>
      </x:c>
      <x:c r="F40" s="10">
        <x:f>E40+'[1]26초(현황)'!M45</x:f>
        <x:v>7</x:v>
      </x:c>
      <x:c r="H40" s="10">
        <x:f>'[1]26초(현황)'!O45</x:f>
        <x:v>1</x:v>
      </x:c>
      <x:c r="I40" s="10">
        <x:f>SUM('[1]26초(현황)'!N45:O45)</x:f>
        <x:v>5</x:v>
      </x:c>
      <x:c r="J40" s="10">
        <x:f>SUM('[1]26초(현황)'!M45:O45)</x:f>
        <x:v>9</x:v>
      </x:c>
      <x:c r="M40" s="10">
        <x:f>'[1]26초(현황)'!N45</x:f>
        <x:v>4</x:v>
      </x:c>
      <x:c r="N40" s="10">
        <x:f>SUM('[1]26초(현황)'!M45:N45)</x:f>
        <x:v>8</x:v>
      </x:c>
    </x:row>
    <x:row r="41" spans="1:14">
      <x:c r="A41" t="str">
        <x:f>'[1]26초(현황)'!C46</x:f>
        <x:v>다산하늘초</x:v>
      </x:c>
      <x:c r="B41" t="s">
        <x:v>126</x:v>
      </x:c>
      <x:c r="C41">
        <x:f>'[1]26초(현황)'!F46</x:f>
        <x:v>3</x:v>
      </x:c>
      <x:c r="D41">
        <x:f>6*'[1]26초(현황)'!F46-'[1]26초(현황)'!P46+'[1]26초(현황)'!O46</x:f>
        <x:v>5</x:v>
      </x:c>
      <x:c r="E41" s="10">
        <x:f>D41+'[1]26초(현황)'!N46</x:f>
        <x:v>6</x:v>
      </x:c>
      <x:c r="F41" s="10">
        <x:f>E41+'[1]26초(현황)'!M46</x:f>
        <x:v>7</x:v>
      </x:c>
      <x:c r="H41" s="10">
        <x:f>'[1]26초(현황)'!O46</x:f>
        <x:v>3</x:v>
      </x:c>
      <x:c r="I41" s="10">
        <x:f>SUM('[1]26초(현황)'!N46:O46)</x:f>
        <x:v>4</x:v>
      </x:c>
      <x:c r="J41" s="10">
        <x:f>SUM('[1]26초(현황)'!M46:O46)</x:f>
        <x:v>5</x:v>
      </x:c>
      <x:c r="M41" s="10">
        <x:f>'[1]26초(현황)'!N46</x:f>
        <x:v>1</x:v>
      </x:c>
      <x:c r="N41" s="10">
        <x:f>SUM('[1]26초(현황)'!M46:N46)</x:f>
        <x:v>2</x:v>
      </x:c>
    </x:row>
    <x:row r="42" spans="1:14">
      <x:c r="A42" t="str">
        <x:f>'[1]26초(현황)'!C47</x:f>
        <x:v>다산한강초</x:v>
      </x:c>
      <x:c r="B42" t="s">
        <x:v>126</x:v>
      </x:c>
      <x:c r="C42">
        <x:f>'[1]26초(현황)'!F47</x:f>
        <x:v>3</x:v>
      </x:c>
      <x:c r="D42">
        <x:f>6*'[1]26초(현황)'!F47-'[1]26초(현황)'!P47+'[1]26초(현황)'!O47</x:f>
        <x:v>0</x:v>
      </x:c>
      <x:c r="E42" s="10">
        <x:f>D42+'[1]26초(현황)'!N47</x:f>
        <x:v>6</x:v>
      </x:c>
      <x:c r="F42" s="10">
        <x:f>E42+'[1]26초(현황)'!M47</x:f>
        <x:v>7</x:v>
      </x:c>
      <x:c r="H42" s="10">
        <x:f>'[1]26초(현황)'!O47</x:f>
        <x:v>2</x:v>
      </x:c>
      <x:c r="I42" s="10">
        <x:f>SUM('[1]26초(현황)'!N47:O47)</x:f>
        <x:v>8</x:v>
      </x:c>
      <x:c r="J42" s="10">
        <x:f>SUM('[1]26초(현황)'!M47:O47)</x:f>
        <x:v>9</x:v>
      </x:c>
      <x:c r="M42" s="10">
        <x:f>'[1]26초(현황)'!N47</x:f>
        <x:v>6</x:v>
      </x:c>
      <x:c r="N42" s="10">
        <x:f>SUM('[1]26초(현황)'!M47:N47)</x:f>
        <x:v>7</x:v>
      </x:c>
    </x:row>
    <x:row r="43" spans="1:14">
      <x:c r="A43" t="str">
        <x:f>'[1]26초(현황)'!C48</x:f>
        <x:v>덕소초</x:v>
      </x:c>
      <x:c r="B43" t="s">
        <x:v>126</x:v>
      </x:c>
      <x:c r="C43">
        <x:f>'[1]26초(현황)'!F48</x:f>
        <x:v>2</x:v>
      </x:c>
      <x:c r="D43">
        <x:f>6*'[1]26초(현황)'!F48-'[1]26초(현황)'!P48+'[1]26초(현황)'!O48</x:f>
        <x:v>6</x:v>
      </x:c>
      <x:c r="E43" s="10">
        <x:f>D43+'[1]26초(현황)'!N48</x:f>
        <x:v>7</x:v>
      </x:c>
      <x:c r="F43" s="10">
        <x:f>E43+'[1]26초(현황)'!M48</x:f>
        <x:v>8</x:v>
      </x:c>
      <x:c r="H43" s="10">
        <x:f>'[1]26초(현황)'!O48</x:f>
        <x:v>3</x:v>
      </x:c>
      <x:c r="I43" s="10">
        <x:f>SUM('[1]26초(현황)'!N48:O48)</x:f>
        <x:v>4</x:v>
      </x:c>
      <x:c r="J43" s="10">
        <x:f>SUM('[1]26초(현황)'!M48:O48)</x:f>
        <x:v>5</x:v>
      </x:c>
      <x:c r="M43" s="10">
        <x:f>'[1]26초(현황)'!N48</x:f>
        <x:v>1</x:v>
      </x:c>
      <x:c r="N43" s="10">
        <x:f>SUM('[1]26초(현황)'!M48:N48)</x:f>
        <x:v>2</x:v>
      </x:c>
    </x:row>
    <x:row r="44" spans="1:14">
      <x:c r="A44" t="str">
        <x:f>'[1]26초(현황)'!C49</x:f>
        <x:v>도농초</x:v>
      </x:c>
      <x:c r="B44" t="s">
        <x:v>126</x:v>
      </x:c>
      <x:c r="C44">
        <x:f>'[1]26초(현황)'!F49</x:f>
        <x:v>1</x:v>
      </x:c>
      <x:c r="D44">
        <x:f>6*'[1]26초(현황)'!F49-'[1]26초(현황)'!P49+'[1]26초(현황)'!O49</x:f>
        <x:v>4</x:v>
      </x:c>
      <x:c r="E44" s="10">
        <x:f>D44+'[1]26초(현황)'!N49</x:f>
        <x:v>4</x:v>
      </x:c>
      <x:c r="F44" s="10">
        <x:f>E44+'[1]26초(현황)'!M49</x:f>
        <x:v>5</x:v>
      </x:c>
      <x:c r="H44" s="10">
        <x:f>'[1]26초(현황)'!O49</x:f>
        <x:v>1</x:v>
      </x:c>
      <x:c r="I44" s="10">
        <x:f>SUM('[1]26초(현황)'!N49:O49)</x:f>
        <x:v>1</x:v>
      </x:c>
      <x:c r="J44" s="10">
        <x:f>SUM('[1]26초(현황)'!M49:O49)</x:f>
        <x:v>2</x:v>
      </x:c>
      <x:c r="M44" s="10">
        <x:f>'[1]26초(현황)'!N49</x:f>
        <x:v>0</x:v>
      </x:c>
      <x:c r="N44" s="10">
        <x:f>SUM('[1]26초(현황)'!M49:N49)</x:f>
        <x:v>1</x:v>
      </x:c>
    </x:row>
    <x:row r="45" spans="1:14">
      <x:c r="A45" t="str">
        <x:f>'[1]26초(현황)'!C50</x:f>
        <x:v>도심초</x:v>
      </x:c>
      <x:c r="B45" t="s">
        <x:v>126</x:v>
      </x:c>
      <x:c r="C45">
        <x:f>'[1]26초(현황)'!F50</x:f>
        <x:v>1</x:v>
      </x:c>
      <x:c r="D45">
        <x:f>6*'[1]26초(현황)'!F50-'[1]26초(현황)'!P50+'[1]26초(현황)'!O50</x:f>
        <x:v>3</x:v>
      </x:c>
      <x:c r="E45" s="10">
        <x:f>D45+'[1]26초(현황)'!N50</x:f>
        <x:v>3</x:v>
      </x:c>
      <x:c r="F45" s="10">
        <x:f>E45+'[1]26초(현황)'!M50</x:f>
        <x:v>4</x:v>
      </x:c>
      <x:c r="H45" s="10">
        <x:f>'[1]26초(현황)'!O50</x:f>
        <x:v>1</x:v>
      </x:c>
      <x:c r="I45" s="10">
        <x:f>SUM('[1]26초(현황)'!N50:O50)</x:f>
        <x:v>1</x:v>
      </x:c>
      <x:c r="J45" s="10">
        <x:f>SUM('[1]26초(현황)'!M50:O50)</x:f>
        <x:v>2</x:v>
      </x:c>
      <x:c r="M45" s="10">
        <x:f>'[1]26초(현황)'!N50</x:f>
        <x:v>0</x:v>
      </x:c>
      <x:c r="N45" s="10">
        <x:f>SUM('[1]26초(현황)'!M50:N50)</x:f>
        <x:v>1</x:v>
      </x:c>
    </x:row>
    <x:row r="46" spans="1:14">
      <x:c r="A46" t="str">
        <x:f>'[1]26초(현황)'!C51</x:f>
        <x:v>도제원초</x:v>
      </x:c>
      <x:c r="B46" t="s">
        <x:v>126</x:v>
      </x:c>
      <x:c r="C46">
        <x:f>'[1]26초(현황)'!F51</x:f>
        <x:v>1</x:v>
      </x:c>
      <x:c r="D46">
        <x:f>6*'[1]26초(현황)'!F51-'[1]26초(현황)'!P51+'[1]26초(현황)'!O51</x:f>
        <x:v>2</x:v>
      </x:c>
      <x:c r="E46" s="10">
        <x:f>D46+'[1]26초(현황)'!N51</x:f>
        <x:v>3</x:v>
      </x:c>
      <x:c r="F46" s="10">
        <x:f>E46+'[1]26초(현황)'!M51</x:f>
        <x:v>3</x:v>
      </x:c>
      <x:c r="H46" s="10">
        <x:f>'[1]26초(현황)'!O51</x:f>
        <x:v>2</x:v>
      </x:c>
      <x:c r="I46" s="10">
        <x:f>SUM('[1]26초(현황)'!N51:O51)</x:f>
        <x:v>3</x:v>
      </x:c>
      <x:c r="J46" s="10">
        <x:f>SUM('[1]26초(현황)'!M51:O51)</x:f>
        <x:v>3</x:v>
      </x:c>
      <x:c r="M46" s="10">
        <x:f>'[1]26초(현황)'!N51</x:f>
        <x:v>1</x:v>
      </x:c>
      <x:c r="N46" s="10">
        <x:f>SUM('[1]26초(현황)'!M51:N51)</x:f>
        <x:v>1</x:v>
      </x:c>
    </x:row>
    <x:row r="47" spans="1:14">
      <x:c r="A47" t="str">
        <x:f>'[1]26초(현황)'!C52</x:f>
        <x:v>마석초</x:v>
      </x:c>
      <x:c r="B47" t="s">
        <x:v>126</x:v>
      </x:c>
      <x:c r="C47">
        <x:f>'[1]26초(현황)'!F52</x:f>
        <x:v>1</x:v>
      </x:c>
      <x:c r="D47">
        <x:f>6*'[1]26초(현황)'!F52-'[1]26초(현황)'!P52+'[1]26초(현황)'!O52</x:f>
        <x:v>-1</x:v>
      </x:c>
      <x:c r="E47" s="10">
        <x:f>D47+'[1]26초(현황)'!N52</x:f>
        <x:v>0</x:v>
      </x:c>
      <x:c r="F47" s="10">
        <x:f>E47+'[1]26초(현황)'!M52</x:f>
        <x:v>1</x:v>
      </x:c>
      <x:c r="H47" s="10">
        <x:f>'[1]26초(현황)'!O52</x:f>
        <x:v>0</x:v>
      </x:c>
      <x:c r="I47" s="10">
        <x:f>SUM('[1]26초(현황)'!N52:O52)</x:f>
        <x:v>1</x:v>
      </x:c>
      <x:c r="J47" s="10">
        <x:f>SUM('[1]26초(현황)'!M52:O52)</x:f>
        <x:v>2</x:v>
      </x:c>
      <x:c r="M47" s="10">
        <x:f>'[1]26초(현황)'!N52</x:f>
        <x:v>1</x:v>
      </x:c>
      <x:c r="N47" s="10">
        <x:f>SUM('[1]26초(현황)'!M52:N52)</x:f>
        <x:v>2</x:v>
      </x:c>
    </x:row>
    <x:row r="48" spans="1:14">
      <x:c r="A48" s="7" t="str">
        <x:f>'[1]26초(현황)'!C52</x:f>
        <x:v>마석초</x:v>
      </x:c>
      <x:c r="B48" s="7" t="s">
        <x:v>135</x:v>
      </x:c>
      <x:c r="C48" s="7">
        <x:f>'[1]26초(현황)'!G52</x:f>
        <x:v>1</x:v>
      </x:c>
      <x:c r="D48" s="7">
        <x:f>4*'[1]26초(현황)'!G52-'[1]26초(현황)'!P53+'[1]26초(현황)'!O53</x:f>
        <x:v>3</x:v>
      </x:c>
      <x:c r="E48" s="10">
        <x:f>D48+'[1]26초(현황)'!N53</x:f>
        <x:v>4</x:v>
      </x:c>
      <x:c r="F48" s="10">
        <x:f>E48+'[1]26초(현황)'!M53</x:f>
        <x:v>4</x:v>
      </x:c>
      <x:c r="H48" s="10">
        <x:f>'[1]26초(현황)'!O53</x:f>
        <x:v>2</x:v>
      </x:c>
      <x:c r="I48" s="10">
        <x:f>SUM('[1]26초(현황)'!N53:O53)</x:f>
        <x:v>3</x:v>
      </x:c>
      <x:c r="J48" s="10">
        <x:f>SUM('[1]26초(현황)'!M53:O53)</x:f>
        <x:v>3</x:v>
      </x:c>
      <x:c r="M48" s="10">
        <x:f>'[1]26초(현황)'!N53</x:f>
        <x:v>1</x:v>
      </x:c>
      <x:c r="N48" s="10">
        <x:f>SUM('[1]26초(현황)'!M53:N53)</x:f>
        <x:v>1</x:v>
      </x:c>
    </x:row>
    <x:row r="49" spans="1:14">
      <x:c r="A49" t="str">
        <x:f>'[1]26초(현황)'!C54</x:f>
        <x:v>별가람초</x:v>
      </x:c>
      <x:c r="B49" t="s">
        <x:v>126</x:v>
      </x:c>
      <x:c r="C49">
        <x:f>'[1]26초(현황)'!F54</x:f>
        <x:v>2</x:v>
      </x:c>
      <x:c r="D49">
        <x:f>6*'[1]26초(현황)'!F54-'[1]26초(현황)'!P54+'[1]26초(현황)'!O54</x:f>
        <x:v>0</x:v>
      </x:c>
      <x:c r="E49" s="10">
        <x:f>D49+'[1]26초(현황)'!N54</x:f>
        <x:v>3</x:v>
      </x:c>
      <x:c r="F49" s="10">
        <x:f>E49+'[1]26초(현황)'!M54</x:f>
        <x:v>6</x:v>
      </x:c>
      <x:c r="H49" s="10">
        <x:f>'[1]26초(현황)'!O54</x:f>
        <x:v>2</x:v>
      </x:c>
      <x:c r="I49" s="10">
        <x:f>SUM('[1]26초(현황)'!N54:O54)</x:f>
        <x:v>5</x:v>
      </x:c>
      <x:c r="J49" s="10">
        <x:f>SUM('[1]26초(현황)'!M54:O54)</x:f>
        <x:v>8</x:v>
      </x:c>
      <x:c r="M49" s="10">
        <x:f>'[1]26초(현황)'!N54</x:f>
        <x:v>3</x:v>
      </x:c>
      <x:c r="N49" s="10">
        <x:f>SUM('[1]26초(현황)'!M54:N54)</x:f>
        <x:v>6</x:v>
      </x:c>
    </x:row>
    <x:row r="50" spans="1:14">
      <x:c r="A50" t="str">
        <x:f>'[1]26초(현황)'!C55</x:f>
        <x:v>별내초</x:v>
      </x:c>
      <x:c r="B50" t="s">
        <x:v>126</x:v>
      </x:c>
      <x:c r="C50">
        <x:f>'[1]26초(현황)'!F55</x:f>
        <x:v>2</x:v>
      </x:c>
      <x:c r="D50">
        <x:f>6*'[1]26초(현황)'!F55-'[1]26초(현황)'!P55+'[1]26초(현황)'!O55</x:f>
        <x:v>6</x:v>
      </x:c>
      <x:c r="E50" s="10">
        <x:f>D50+'[1]26초(현황)'!N55</x:f>
        <x:v>7</x:v>
      </x:c>
      <x:c r="F50" s="10">
        <x:f>E50+'[1]26초(현황)'!M55</x:f>
        <x:v>8</x:v>
      </x:c>
      <x:c r="H50" s="10">
        <x:f>'[1]26초(현황)'!O55</x:f>
        <x:v>3</x:v>
      </x:c>
      <x:c r="I50" s="10">
        <x:f>SUM('[1]26초(현황)'!N55:O55)</x:f>
        <x:v>4</x:v>
      </x:c>
      <x:c r="J50" s="10">
        <x:f>SUM('[1]26초(현황)'!M55:O55)</x:f>
        <x:v>5</x:v>
      </x:c>
      <x:c r="M50" s="10">
        <x:f>'[1]26초(현황)'!N55</x:f>
        <x:v>1</x:v>
      </x:c>
      <x:c r="N50" s="10">
        <x:f>SUM('[1]26초(현황)'!M55:N55)</x:f>
        <x:v>2</x:v>
      </x:c>
    </x:row>
    <x:row r="51" spans="1:14">
      <x:c r="A51" t="str">
        <x:f>'[1]26초(현황)'!C56</x:f>
        <x:v>부평초</x:v>
      </x:c>
      <x:c r="B51" t="s">
        <x:v>126</x:v>
      </x:c>
      <x:c r="C51">
        <x:f>'[1]26초(현황)'!F56</x:f>
        <x:v>2</x:v>
      </x:c>
      <x:c r="D51">
        <x:f>6*'[1]26초(현황)'!F56-'[1]26초(현황)'!P56+'[1]26초(현황)'!O56</x:f>
        <x:v>5</x:v>
      </x:c>
      <x:c r="E51" s="10">
        <x:f>D51+'[1]26초(현황)'!N56</x:f>
        <x:v>5</x:v>
      </x:c>
      <x:c r="F51" s="10">
        <x:f>E51+'[1]26초(현황)'!M56</x:f>
        <x:v>6</x:v>
      </x:c>
      <x:c r="H51" s="10">
        <x:f>'[1]26초(현황)'!O56</x:f>
        <x:v>3</x:v>
      </x:c>
      <x:c r="I51" s="10">
        <x:f>SUM('[1]26초(현황)'!N56:O56)</x:f>
        <x:v>3</x:v>
      </x:c>
      <x:c r="J51" s="10">
        <x:f>SUM('[1]26초(현황)'!M56:O56)</x:f>
        <x:v>4</x:v>
      </x:c>
      <x:c r="M51" s="10">
        <x:f>'[1]26초(현황)'!N56</x:f>
        <x:v>0</x:v>
      </x:c>
      <x:c r="N51" s="10">
        <x:f>SUM('[1]26초(현황)'!M56:N56)</x:f>
        <x:v>1</x:v>
      </x:c>
    </x:row>
    <x:row r="52" spans="1:14">
      <x:c r="A52" t="str">
        <x:f>'[1]26초(현황)'!C57</x:f>
        <x:v>사능초(시간)
(시간제)</x:v>
      </x:c>
      <x:c r="B52" t="s">
        <x:v>126</x:v>
      </x:c>
      <x:c r="C52">
        <x:f>'[1]26초(현황)'!F57</x:f>
        <x:v>1</x:v>
      </x:c>
      <x:c r="D52">
        <x:f>6*'[1]26초(현황)'!F57-'[1]26초(현황)'!P57+'[1]26초(현황)'!O57</x:f>
        <x:v>3</x:v>
      </x:c>
      <x:c r="E52" s="10">
        <x:f>D52+'[1]26초(현황)'!N57</x:f>
        <x:v>4</x:v>
      </x:c>
      <x:c r="F52" s="10">
        <x:f>E52+'[1]26초(현황)'!M57</x:f>
        <x:v>6</x:v>
      </x:c>
      <x:c r="H52" s="10">
        <x:f>'[1]26초(현황)'!O57</x:f>
        <x:v>0</x:v>
      </x:c>
      <x:c r="I52" s="10">
        <x:f>SUM('[1]26초(현황)'!N57:O57)</x:f>
        <x:v>1</x:v>
      </x:c>
      <x:c r="J52" s="10">
        <x:f>SUM('[1]26초(현황)'!M57:O57)</x:f>
        <x:v>3</x:v>
      </x:c>
      <x:c r="M52" s="10">
        <x:f>'[1]26초(현황)'!N57</x:f>
        <x:v>1</x:v>
      </x:c>
      <x:c r="N52" s="10">
        <x:f>SUM('[1]26초(현황)'!M57:N57)</x:f>
        <x:v>3</x:v>
      </x:c>
    </x:row>
    <x:row r="53" spans="1:14">
      <x:c r="A53" s="9" t="str">
        <x:f>'[1]26초(현황)'!C58</x:f>
        <x:v>사능초(복합)
(전일제_복합)</x:v>
      </x:c>
      <x:c r="B53" s="9" t="s">
        <x:v>150</x:v>
      </x:c>
      <x:c r="C53" s="9">
        <x:f>'[1]26초(현황)'!H57</x:f>
        <x:v>2</x:v>
      </x:c>
      <x:c r="D53" s="9">
        <x:f>4*'[1]26초(현황)'!H57-'[1]26초(현황)'!P58+'[1]26초(현황)'!O58</x:f>
        <x:v>0</x:v>
      </x:c>
      <x:c r="E53" s="10">
        <x:f>D53+'[1]26초(현황)'!N58</x:f>
        <x:v>0</x:v>
      </x:c>
      <x:c r="F53" s="10">
        <x:f>E53+'[1]26초(현황)'!M58</x:f>
        <x:v>1</x:v>
      </x:c>
      <x:c r="H53" s="10">
        <x:f>'[1]26초(현황)'!O58</x:f>
        <x:v>0</x:v>
      </x:c>
      <x:c r="I53" s="10">
        <x:f>SUM('[1]26초(현황)'!N58:O58)</x:f>
        <x:v>0</x:v>
      </x:c>
      <x:c r="J53" s="10">
        <x:f>SUM('[1]26초(현황)'!M58:O58)</x:f>
        <x:v>1</x:v>
      </x:c>
      <x:c r="M53" s="10">
        <x:f>'[1]26초(현황)'!N58</x:f>
        <x:v>0</x:v>
      </x:c>
      <x:c r="N53" s="10">
        <x:f>SUM('[1]26초(현황)'!M58:N58)</x:f>
        <x:v>1</x:v>
      </x:c>
    </x:row>
    <x:row r="54" spans="1:14">
      <x:c r="A54" t="str">
        <x:f>'[1]26초(현황)'!C59</x:f>
        <x:v>수동초</x:v>
      </x:c>
      <x:c r="B54" t="s">
        <x:v>126</x:v>
      </x:c>
      <x:c r="C54">
        <x:f>'[1]26초(현황)'!F59</x:f>
        <x:v>1</x:v>
      </x:c>
      <x:c r="D54">
        <x:f>6*'[1]26초(현황)'!F59-'[1]26초(현황)'!P59+'[1]26초(현황)'!O59</x:f>
        <x:v>4</x:v>
      </x:c>
      <x:c r="E54" s="10">
        <x:f>D54+'[1]26초(현황)'!N59</x:f>
        <x:v>4</x:v>
      </x:c>
      <x:c r="F54" s="10">
        <x:f>E54+'[1]26초(현황)'!M59</x:f>
        <x:v>5</x:v>
      </x:c>
      <x:c r="H54" s="10">
        <x:f>'[1]26초(현황)'!O59</x:f>
        <x:v>0</x:v>
      </x:c>
      <x:c r="I54" s="10">
        <x:f>SUM('[1]26초(현황)'!N59:O59)</x:f>
        <x:v>0</x:v>
      </x:c>
      <x:c r="J54" s="10">
        <x:f>SUM('[1]26초(현황)'!M59:O59)</x:f>
        <x:v>1</x:v>
      </x:c>
      <x:c r="M54" s="10">
        <x:f>'[1]26초(현황)'!N59</x:f>
        <x:v>0</x:v>
      </x:c>
      <x:c r="N54" s="10">
        <x:f>SUM('[1]26초(현황)'!M59:N59)</x:f>
        <x:v>1</x:v>
      </x:c>
    </x:row>
    <x:row r="55" spans="1:14">
      <x:c r="A55" t="str">
        <x:f>'[1]26초(현황)'!C60</x:f>
        <x:v>수동초
송천분교</x:v>
      </x:c>
      <x:c r="B55" t="s">
        <x:v>126</x:v>
      </x:c>
      <x:c r="C55">
        <x:f>'[1]26초(현황)'!F60</x:f>
        <x:v>1</x:v>
      </x:c>
      <x:c r="D55">
        <x:f>6*'[1]26초(현황)'!F60-'[1]26초(현황)'!P60+'[1]26초(현황)'!O60</x:f>
        <x:v>4</x:v>
      </x:c>
      <x:c r="E55" s="10">
        <x:f>D55+'[1]26초(현황)'!N60</x:f>
        <x:v>5</x:v>
      </x:c>
      <x:c r="F55" s="10">
        <x:f>E55+'[1]26초(현황)'!M60</x:f>
        <x:v>6</x:v>
      </x:c>
      <x:c r="H55" s="10">
        <x:f>'[1]26초(현황)'!O60</x:f>
        <x:v>0</x:v>
      </x:c>
      <x:c r="I55" s="10">
        <x:f>SUM('[1]26초(현황)'!N60:O60)</x:f>
        <x:v>1</x:v>
      </x:c>
      <x:c r="J55" s="10">
        <x:f>SUM('[1]26초(현황)'!M60:O60)</x:f>
        <x:v>2</x:v>
      </x:c>
      <x:c r="M55" s="10">
        <x:f>'[1]26초(현황)'!N60</x:f>
        <x:v>1</x:v>
      </x:c>
      <x:c r="N55" s="10">
        <x:f>SUM('[1]26초(현황)'!M60:N60)</x:f>
        <x:v>2</x:v>
      </x:c>
    </x:row>
    <x:row r="56" spans="1:14">
      <x:c r="A56" t="str">
        <x:f>'[1]26초(현황)'!C61</x:f>
        <x:v>양오초</x:v>
      </x:c>
      <x:c r="B56" t="s">
        <x:v>126</x:v>
      </x:c>
      <x:c r="C56">
        <x:f>'[1]26초(현황)'!F61</x:f>
        <x:v>2</x:v>
      </x:c>
      <x:c r="D56">
        <x:f>6*'[1]26초(현황)'!F61-'[1]26초(현황)'!P61+'[1]26초(현황)'!O61</x:f>
        <x:v>3</x:v>
      </x:c>
      <x:c r="E56" s="10">
        <x:f>D56+'[1]26초(현황)'!N61</x:f>
        <x:v>6</x:v>
      </x:c>
      <x:c r="F56" s="10">
        <x:f>E56+'[1]26초(현황)'!M61</x:f>
        <x:v>7</x:v>
      </x:c>
      <x:c r="H56" s="10">
        <x:f>'[1]26초(현황)'!O61</x:f>
        <x:v>1</x:v>
      </x:c>
      <x:c r="I56" s="10">
        <x:f>SUM('[1]26초(현황)'!N61:O61)</x:f>
        <x:v>4</x:v>
      </x:c>
      <x:c r="J56" s="10">
        <x:f>SUM('[1]26초(현황)'!M61:O61)</x:f>
        <x:v>5</x:v>
      </x:c>
      <x:c r="M56" s="10">
        <x:f>'[1]26초(현황)'!N61</x:f>
        <x:v>3</x:v>
      </x:c>
      <x:c r="N56" s="10">
        <x:f>SUM('[1]26초(현황)'!M61:N61)</x:f>
        <x:v>4</x:v>
      </x:c>
    </x:row>
    <x:row r="57" spans="1:14">
      <x:c r="A57" t="str">
        <x:f>'[1]26초(현황)'!C62</x:f>
        <x:v>어람초</x:v>
      </x:c>
      <x:c r="B57" t="s">
        <x:v>126</x:v>
      </x:c>
      <x:c r="C57">
        <x:f>'[1]26초(현황)'!F62</x:f>
        <x:v>2</x:v>
      </x:c>
      <x:c r="D57">
        <x:f>6*'[1]26초(현황)'!F62-'[1]26초(현황)'!P62+'[1]26초(현황)'!O62</x:f>
        <x:v>4</x:v>
      </x:c>
      <x:c r="E57" s="10">
        <x:f>D57+'[1]26초(현황)'!N62</x:f>
        <x:v>4</x:v>
      </x:c>
      <x:c r="F57" s="10">
        <x:f>E57+'[1]26초(현황)'!M62</x:f>
        <x:v>8</x:v>
      </x:c>
      <x:c r="H57" s="10">
        <x:f>'[1]26초(현황)'!O62</x:f>
        <x:v>2</x:v>
      </x:c>
      <x:c r="I57" s="10">
        <x:f>SUM('[1]26초(현황)'!N62:O62)</x:f>
        <x:v>2</x:v>
      </x:c>
      <x:c r="J57" s="10">
        <x:f>SUM('[1]26초(현황)'!M62:O62)</x:f>
        <x:v>6</x:v>
      </x:c>
      <x:c r="M57" s="10">
        <x:f>'[1]26초(현황)'!N62</x:f>
        <x:v>0</x:v>
      </x:c>
      <x:c r="N57" s="10">
        <x:f>SUM('[1]26초(현황)'!M62:N62)</x:f>
        <x:v>4</x:v>
      </x:c>
    </x:row>
    <x:row r="58" spans="1:14">
      <x:c r="A58" t="str">
        <x:f>'[1]26초(현황)'!C63</x:f>
        <x:v>예봉초</x:v>
      </x:c>
      <x:c r="B58" t="s">
        <x:v>126</x:v>
      </x:c>
      <x:c r="C58">
        <x:f>'[1]26초(현황)'!F63</x:f>
        <x:v>1</x:v>
      </x:c>
      <x:c r="D58">
        <x:f>6*'[1]26초(현황)'!F63-'[1]26초(현황)'!P63+'[1]26초(현황)'!O63</x:f>
        <x:v>2</x:v>
      </x:c>
      <x:c r="E58" s="10">
        <x:f>D58+'[1]26초(현황)'!N63</x:f>
        <x:v>3</x:v>
      </x:c>
      <x:c r="F58" s="10">
        <x:f>E58+'[1]26초(현황)'!M63</x:f>
        <x:v>3</x:v>
      </x:c>
      <x:c r="H58" s="10">
        <x:f>'[1]26초(현황)'!O63</x:f>
        <x:v>0</x:v>
      </x:c>
      <x:c r="I58" s="10">
        <x:f>SUM('[1]26초(현황)'!N63:O63)</x:f>
        <x:v>1</x:v>
      </x:c>
      <x:c r="J58" s="10">
        <x:f>SUM('[1]26초(현황)'!M63:O63)</x:f>
        <x:v>1</x:v>
      </x:c>
      <x:c r="M58" s="10">
        <x:f>'[1]26초(현황)'!N63</x:f>
        <x:v>1</x:v>
      </x:c>
      <x:c r="N58" s="10">
        <x:f>SUM('[1]26초(현황)'!M63:N63)</x:f>
        <x:v>1</x:v>
      </x:c>
    </x:row>
    <x:row r="59" spans="1:14">
      <x:c r="A59" t="str">
        <x:f>'[1]26초(현황)'!C64</x:f>
        <x:v>오남초</x:v>
      </x:c>
      <x:c r="B59" t="s">
        <x:v>126</x:v>
      </x:c>
      <x:c r="C59">
        <x:f>'[1]26초(현황)'!F64</x:f>
        <x:v>2</x:v>
      </x:c>
      <x:c r="D59">
        <x:f>6*'[1]26초(현황)'!F64-'[1]26초(현황)'!P64+'[1]26초(현황)'!O64</x:f>
        <x:v>0</x:v>
      </x:c>
      <x:c r="E59" s="10">
        <x:f>D59+'[1]26초(현황)'!N64</x:f>
        <x:v>3</x:v>
      </x:c>
      <x:c r="F59" s="10">
        <x:f>E59+'[1]26초(현황)'!M64</x:f>
        <x:v>8</x:v>
      </x:c>
      <x:c r="H59" s="10">
        <x:f>'[1]26초(현황)'!O64</x:f>
        <x:v>0</x:v>
      </x:c>
      <x:c r="I59" s="10">
        <x:f>SUM('[1]26초(현황)'!N64:O64)</x:f>
        <x:v>3</x:v>
      </x:c>
      <x:c r="J59" s="10">
        <x:f>SUM('[1]26초(현황)'!M64:O64)</x:f>
        <x:v>8</x:v>
      </x:c>
      <x:c r="M59" s="10">
        <x:f>'[1]26초(현황)'!N64</x:f>
        <x:v>3</x:v>
      </x:c>
      <x:c r="N59" s="10">
        <x:f>SUM('[1]26초(현황)'!M64:N64)</x:f>
        <x:v>8</x:v>
      </x:c>
    </x:row>
    <x:row r="60" spans="1:14">
      <x:c r="A60" t="str">
        <x:f>'[1]26초(현황)'!C65</x:f>
        <x:v>용신초</x:v>
      </x:c>
      <x:c r="B60" t="s">
        <x:v>126</x:v>
      </x:c>
      <x:c r="C60">
        <x:f>'[1]26초(현황)'!F65</x:f>
        <x:v>1</x:v>
      </x:c>
      <x:c r="D60">
        <x:f>6*'[1]26초(현황)'!F65-'[1]26초(현황)'!P65+'[1]26초(현황)'!O65</x:f>
        <x:v>1</x:v>
      </x:c>
      <x:c r="E60" s="10">
        <x:f>D60+'[1]26초(현황)'!N65</x:f>
        <x:v>3</x:v>
      </x:c>
      <x:c r="F60" s="10">
        <x:f>E60+'[1]26초(현황)'!M65</x:f>
        <x:v>4</x:v>
      </x:c>
      <x:c r="H60" s="10">
        <x:f>'[1]26초(현황)'!O65</x:f>
        <x:v>2</x:v>
      </x:c>
      <x:c r="I60" s="10">
        <x:f>SUM('[1]26초(현황)'!N65:O65)</x:f>
        <x:v>4</x:v>
      </x:c>
      <x:c r="J60" s="10">
        <x:f>SUM('[1]26초(현황)'!M65:O65)</x:f>
        <x:v>5</x:v>
      </x:c>
      <x:c r="M60" s="10">
        <x:f>'[1]26초(현황)'!N65</x:f>
        <x:v>2</x:v>
      </x:c>
      <x:c r="N60" s="10">
        <x:f>SUM('[1]26초(현황)'!M65:N65)</x:f>
        <x:v>3</x:v>
      </x:c>
    </x:row>
    <x:row r="61" spans="1:14">
      <x:c r="A61" t="str">
        <x:f>'[1]26초(현황)'!C66</x:f>
        <x:v>은솔초</x:v>
      </x:c>
      <x:c r="B61" t="s">
        <x:v>126</x:v>
      </x:c>
      <x:c r="C61">
        <x:f>'[1]26초(현황)'!F66</x:f>
        <x:v>2</x:v>
      </x:c>
      <x:c r="D61">
        <x:f>6*'[1]26초(현황)'!F66-'[1]26초(현황)'!P66+'[1]26초(현황)'!O66</x:f>
        <x:v>4</x:v>
      </x:c>
      <x:c r="E61" s="10">
        <x:f>D61+'[1]26초(현황)'!N66</x:f>
        <x:v>5</x:v>
      </x:c>
      <x:c r="F61" s="10">
        <x:f>E61+'[1]26초(현황)'!M66</x:f>
        <x:v>5</x:v>
      </x:c>
      <x:c r="H61" s="10">
        <x:f>'[1]26초(현황)'!O66</x:f>
        <x:v>3</x:v>
      </x:c>
      <x:c r="I61" s="10">
        <x:f>SUM('[1]26초(현황)'!N66:O66)</x:f>
        <x:v>4</x:v>
      </x:c>
      <x:c r="J61" s="10">
        <x:f>SUM('[1]26초(현황)'!M66:O66)</x:f>
        <x:v>4</x:v>
      </x:c>
      <x:c r="M61" s="10">
        <x:f>'[1]26초(현황)'!N66</x:f>
        <x:v>1</x:v>
      </x:c>
      <x:c r="N61" s="10">
        <x:f>SUM('[1]26초(현황)'!M66:N66)</x:f>
        <x:v>1</x:v>
      </x:c>
    </x:row>
    <x:row r="62" spans="1:14">
      <x:c r="A62" t="str">
        <x:f>'[1]26초(현황)'!C67</x:f>
        <x:v xml:space="preserve">장내초    </x:v>
      </x:c>
      <x:c r="B62" t="s">
        <x:v>126</x:v>
      </x:c>
      <x:c r="C62">
        <x:f>'[1]26초(현황)'!F67</x:f>
        <x:v>1</x:v>
      </x:c>
      <x:c r="D62">
        <x:f>6*'[1]26초(현황)'!F67-'[1]26초(현황)'!P67+'[1]26초(현황)'!O67</x:f>
        <x:v>2</x:v>
      </x:c>
      <x:c r="E62" s="10">
        <x:f>D62+'[1]26초(현황)'!N67</x:f>
        <x:v>2</x:v>
      </x:c>
      <x:c r="F62" s="10">
        <x:f>E62+'[1]26초(현황)'!M67</x:f>
        <x:v>4</x:v>
      </x:c>
      <x:c r="H62" s="10">
        <x:f>'[1]26초(현황)'!O67</x:f>
        <x:v>3</x:v>
      </x:c>
      <x:c r="I62" s="10">
        <x:f>SUM('[1]26초(현황)'!N67:O67)</x:f>
        <x:v>3</x:v>
      </x:c>
      <x:c r="J62" s="10">
        <x:f>SUM('[1]26초(현황)'!M67:O67)</x:f>
        <x:v>5</x:v>
      </x:c>
      <x:c r="M62" s="10">
        <x:f>'[1]26초(현황)'!N67</x:f>
        <x:v>0</x:v>
      </x:c>
      <x:c r="N62" s="10">
        <x:f>SUM('[1]26초(현황)'!M67:N67)</x:f>
        <x:v>2</x:v>
      </x:c>
    </x:row>
    <x:row r="63" spans="1:14">
      <x:c r="A63" t="str">
        <x:f>'[1]26초(현황)'!C68</x:f>
        <x:v>장승초</x:v>
      </x:c>
      <x:c r="B63" t="s">
        <x:v>126</x:v>
      </x:c>
      <x:c r="C63">
        <x:f>'[1]26초(현황)'!F68</x:f>
        <x:v>2</x:v>
      </x:c>
      <x:c r="D63">
        <x:f>6*'[1]26초(현황)'!F68-'[1]26초(현황)'!P68+'[1]26초(현황)'!O68</x:f>
        <x:v>0</x:v>
      </x:c>
      <x:c r="E63" s="10">
        <x:f>D63+'[1]26초(현황)'!N68</x:f>
        <x:v>4</x:v>
      </x:c>
      <x:c r="F63" s="10">
        <x:f>E63+'[1]26초(현황)'!M68</x:f>
        <x:v>7</x:v>
      </x:c>
      <x:c r="H63" s="10">
        <x:f>'[1]26초(현황)'!O68</x:f>
        <x:v>2</x:v>
      </x:c>
      <x:c r="I63" s="10">
        <x:f>SUM('[1]26초(현황)'!N68:O68)</x:f>
        <x:v>6</x:v>
      </x:c>
      <x:c r="J63" s="10">
        <x:f>SUM('[1]26초(현황)'!M68:O68)</x:f>
        <x:v>9</x:v>
      </x:c>
      <x:c r="M63" s="10">
        <x:f>'[1]26초(현황)'!N68</x:f>
        <x:v>4</x:v>
      </x:c>
      <x:c r="N63" s="10">
        <x:f>SUM('[1]26초(현황)'!M68:N68)</x:f>
        <x:v>7</x:v>
      </x:c>
    </x:row>
    <x:row r="64" spans="1:14">
      <x:c r="A64" t="str">
        <x:f>'[1]26초(현황)'!C69</x:f>
        <x:v>장현초</x:v>
      </x:c>
      <x:c r="B64" t="s">
        <x:v>126</x:v>
      </x:c>
      <x:c r="C64">
        <x:f>'[1]26초(현황)'!F69</x:f>
        <x:v>3</x:v>
      </x:c>
      <x:c r="D64">
        <x:f>6*'[1]26초(현황)'!F69-'[1]26초(현황)'!P69+'[1]26초(현황)'!O69</x:f>
        <x:v>4</x:v>
      </x:c>
      <x:c r="E64" s="10">
        <x:f>D64+'[1]26초(현황)'!N69</x:f>
        <x:v>7</x:v>
      </x:c>
      <x:c r="F64" s="10">
        <x:f>E64+'[1]26초(현황)'!M69</x:f>
        <x:v>11</x:v>
      </x:c>
      <x:c r="H64" s="10">
        <x:f>'[1]26초(현황)'!O69</x:f>
        <x:v>3</x:v>
      </x:c>
      <x:c r="I64" s="10">
        <x:f>SUM('[1]26초(현황)'!N69:O69)</x:f>
        <x:v>6</x:v>
      </x:c>
      <x:c r="J64" s="10">
        <x:f>SUM('[1]26초(현황)'!M69:O69)</x:f>
        <x:v>10</x:v>
      </x:c>
      <x:c r="M64" s="10">
        <x:f>'[1]26초(현황)'!N69</x:f>
        <x:v>3</x:v>
      </x:c>
      <x:c r="N64" s="10">
        <x:f>SUM('[1]26초(현황)'!M69:N69)</x:f>
        <x:v>7</x:v>
      </x:c>
    </x:row>
    <x:row r="65" spans="1:14">
      <x:c r="A65" s="10" t="str">
        <x:f>'[1]26초(현황)'!C70</x:f>
        <x:v>주곡초</x:v>
      </x:c>
      <x:c r="B65" s="10" t="s">
        <x:v>126</x:v>
      </x:c>
      <x:c r="C65" s="10">
        <x:f>'[1]26초(현황)'!F70</x:f>
        <x:v>2</x:v>
      </x:c>
      <x:c r="D65" s="10">
        <x:f>6*'[1]26초(현황)'!F70-'[1]26초(현황)'!P70+'[1]26초(현황)'!O70</x:f>
        <x:v>3</x:v>
      </x:c>
      <x:c r="E65" s="10">
        <x:f>D65+'[1]26초(현황)'!N70</x:f>
        <x:v>6</x:v>
      </x:c>
      <x:c r="F65" s="10">
        <x:f>E65+'[1]26초(현황)'!M70</x:f>
        <x:v>6</x:v>
      </x:c>
      <x:c r="H65" s="10">
        <x:f>'[1]26초(현황)'!O70</x:f>
        <x:v>0</x:v>
      </x:c>
      <x:c r="I65" s="10">
        <x:f>SUM('[1]26초(현황)'!N70:O70)</x:f>
        <x:v>3</x:v>
      </x:c>
      <x:c r="J65" s="10">
        <x:f>SUM('[1]26초(현황)'!M70:O70)</x:f>
        <x:v>3</x:v>
      </x:c>
      <x:c r="M65" s="10">
        <x:f>'[1]26초(현황)'!N70</x:f>
        <x:v>3</x:v>
      </x:c>
      <x:c r="N65" s="10">
        <x:f>SUM('[1]26초(현황)'!M70:N70)</x:f>
        <x:v>3</x:v>
      </x:c>
    </x:row>
    <x:row r="66" spans="1:14">
      <x:c r="A66" s="10" t="str">
        <x:f>'[1]26초(현황)'!C71</x:f>
        <x:v>진건초</x:v>
      </x:c>
      <x:c r="B66" s="10" t="s">
        <x:v>126</x:v>
      </x:c>
      <x:c r="C66" s="10">
        <x:f>'[1]26초(현황)'!F71</x:f>
        <x:v>2</x:v>
      </x:c>
      <x:c r="D66" s="10">
        <x:f>6*'[1]26초(현황)'!F71-'[1]26초(현황)'!P71+'[1]26초(현황)'!O71</x:f>
        <x:v>4</x:v>
      </x:c>
      <x:c r="E66" s="10">
        <x:f>D66+'[1]26초(현황)'!N71</x:f>
        <x:v>8</x:v>
      </x:c>
      <x:c r="F66" s="10">
        <x:f>E66+'[1]26초(현황)'!M71</x:f>
        <x:v>9</x:v>
      </x:c>
      <x:c r="H66" s="10">
        <x:f>'[1]26초(현황)'!O71</x:f>
        <x:v>2</x:v>
      </x:c>
      <x:c r="I66" s="10">
        <x:f>SUM('[1]26초(현황)'!N71:O71)</x:f>
        <x:v>6</x:v>
      </x:c>
      <x:c r="J66" s="10">
        <x:f>SUM('[1]26초(현황)'!M71:O71)</x:f>
        <x:v>7</x:v>
      </x:c>
      <x:c r="M66" s="10">
        <x:f>'[1]26초(현황)'!N71</x:f>
        <x:v>4</x:v>
      </x:c>
      <x:c r="N66" s="10">
        <x:f>SUM('[1]26초(현황)'!M71:N71)</x:f>
        <x:v>5</x:v>
      </x:c>
    </x:row>
    <x:row r="67" spans="1:14">
      <x:c r="A67" s="10" t="str">
        <x:f>'[1]26초(현황)'!C72</x:f>
        <x:v>진접초</x:v>
      </x:c>
      <x:c r="B67" s="10" t="s">
        <x:v>126</x:v>
      </x:c>
      <x:c r="C67" s="10">
        <x:f>'[1]26초(현황)'!F72</x:f>
        <x:v>3</x:v>
      </x:c>
      <x:c r="D67" s="10">
        <x:f>6*'[1]26초(현황)'!F72-'[1]26초(현황)'!P72+'[1]26초(현황)'!O72</x:f>
        <x:v>7</x:v>
      </x:c>
      <x:c r="E67" s="10">
        <x:f>D67+'[1]26초(현황)'!N72</x:f>
        <x:v>8</x:v>
      </x:c>
      <x:c r="F67" s="10">
        <x:f>E67+'[1]26초(현황)'!M72</x:f>
        <x:v>12</x:v>
      </x:c>
      <x:c r="H67" s="10">
        <x:f>'[1]26초(현황)'!O72</x:f>
        <x:v>4</x:v>
      </x:c>
      <x:c r="I67" s="10">
        <x:f>SUM('[1]26초(현황)'!N72:O72)</x:f>
        <x:v>5</x:v>
      </x:c>
      <x:c r="J67" s="10">
        <x:f>SUM('[1]26초(현황)'!M72:O72)</x:f>
        <x:v>9</x:v>
      </x:c>
      <x:c r="M67" s="10">
        <x:f>'[1]26초(현황)'!N72</x:f>
        <x:v>1</x:v>
      </x:c>
      <x:c r="N67" s="10">
        <x:f>SUM('[1]26초(현황)'!M72:N72)</x:f>
        <x:v>5</x:v>
      </x:c>
    </x:row>
    <x:row r="68" spans="1:14">
      <x:c r="A68" s="10" t="str">
        <x:f>'[1]26초(현황)'!C73</x:f>
        <x:v>차산초</x:v>
      </x:c>
      <x:c r="B68" s="10" t="s">
        <x:v>126</x:v>
      </x:c>
      <x:c r="C68" s="10">
        <x:f>'[1]26초(현황)'!F73</x:f>
        <x:v>1</x:v>
      </x:c>
      <x:c r="D68" s="10">
        <x:f>6*'[1]26초(현황)'!F73-'[1]26초(현황)'!P73+'[1]26초(현황)'!O73</x:f>
        <x:v>3</x:v>
      </x:c>
      <x:c r="E68" s="10">
        <x:f>D68+'[1]26초(현황)'!N73</x:f>
        <x:v>4</x:v>
      </x:c>
      <x:c r="F68" s="10">
        <x:f>E68+'[1]26초(현황)'!M73</x:f>
        <x:v>4</x:v>
      </x:c>
      <x:c r="H68" s="10">
        <x:f>'[1]26초(현황)'!O73</x:f>
        <x:v>0</x:v>
      </x:c>
      <x:c r="I68" s="10">
        <x:f>SUM('[1]26초(현황)'!N73:O73)</x:f>
        <x:v>1</x:v>
      </x:c>
      <x:c r="J68" s="10">
        <x:f>SUM('[1]26초(현황)'!M73:O73)</x:f>
        <x:v>1</x:v>
      </x:c>
      <x:c r="M68" s="10">
        <x:f>'[1]26초(현황)'!N73</x:f>
        <x:v>1</x:v>
      </x:c>
      <x:c r="N68" s="10">
        <x:f>SUM('[1]26초(현황)'!M73:N73)</x:f>
        <x:v>1</x:v>
      </x:c>
    </x:row>
    <x:row r="69" spans="1:14">
      <x:c r="A69" s="10" t="str">
        <x:f>'[1]26초(현황)'!C74</x:f>
        <x:v>창현초</x:v>
      </x:c>
      <x:c r="B69" s="10" t="s">
        <x:v>126</x:v>
      </x:c>
      <x:c r="C69" s="10">
        <x:f>'[1]26초(현황)'!F74</x:f>
        <x:v>1</x:v>
      </x:c>
      <x:c r="D69" s="10">
        <x:f>6*'[1]26초(현황)'!F74-'[1]26초(현황)'!P74+'[1]26초(현황)'!O74</x:f>
        <x:v>1</x:v>
      </x:c>
      <x:c r="E69" s="10">
        <x:f>D69+'[1]26초(현황)'!N74</x:f>
        <x:v>1</x:v>
      </x:c>
      <x:c r="F69" s="10">
        <x:f>E69+'[1]26초(현황)'!M74</x:f>
        <x:v>1</x:v>
      </x:c>
      <x:c r="H69" s="10">
        <x:f>'[1]26초(현황)'!O74</x:f>
        <x:v>2</x:v>
      </x:c>
      <x:c r="I69" s="10">
        <x:f>SUM('[1]26초(현황)'!N74:O74)</x:f>
        <x:v>2</x:v>
      </x:c>
      <x:c r="J69" s="10">
        <x:f>SUM('[1]26초(현황)'!M74:O74)</x:f>
        <x:v>2</x:v>
      </x:c>
      <x:c r="M69" s="10">
        <x:f>'[1]26초(현황)'!N74</x:f>
        <x:v>0</x:v>
      </x:c>
      <x:c r="N69" s="10">
        <x:f>SUM('[1]26초(현황)'!M74:N74)</x:f>
        <x:v>0</x:v>
      </x:c>
    </x:row>
    <x:row r="70" spans="1:14">
      <x:c r="A70" s="10" t="str">
        <x:f>'[1]26초(현황)'!C75</x:f>
        <x:v>천마초</x:v>
      </x:c>
      <x:c r="B70" s="10" t="s">
        <x:v>126</x:v>
      </x:c>
      <x:c r="C70" s="10">
        <x:f>'[1]26초(현황)'!F75</x:f>
        <x:v>3</x:v>
      </x:c>
      <x:c r="D70" s="10">
        <x:f>6*'[1]26초(현황)'!F75-'[1]26초(현황)'!P75+'[1]26초(현황)'!O75</x:f>
        <x:v>0</x:v>
      </x:c>
      <x:c r="E70" s="10">
        <x:f>D70+'[1]26초(현황)'!N75</x:f>
        <x:v>8</x:v>
      </x:c>
      <x:c r="F70" s="10">
        <x:f>E70+'[1]26초(현황)'!M75</x:f>
        <x:v>11</x:v>
      </x:c>
      <x:c r="H70" s="10">
        <x:f>'[1]26초(현황)'!O75</x:f>
        <x:v>2</x:v>
      </x:c>
      <x:c r="I70" s="10">
        <x:f>SUM('[1]26초(현황)'!N75:O75)</x:f>
        <x:v>10</x:v>
      </x:c>
      <x:c r="J70" s="10">
        <x:f>SUM('[1]26초(현황)'!M75:O75)</x:f>
        <x:v>13</x:v>
      </x:c>
      <x:c r="M70" s="10">
        <x:f>'[1]26초(현황)'!N75</x:f>
        <x:v>8</x:v>
      </x:c>
      <x:c r="N70" s="10">
        <x:f>SUM('[1]26초(현황)'!M75:N75)</x:f>
        <x:v>11</x:v>
      </x:c>
    </x:row>
    <x:row r="71" spans="1:14">
      <x:c r="A71" s="10" t="str">
        <x:f>'[1]26초(현황)'!C76</x:f>
        <x:v>퇴계원초</x:v>
      </x:c>
      <x:c r="B71" s="10" t="s">
        <x:v>126</x:v>
      </x:c>
      <x:c r="C71" s="10">
        <x:f>'[1]26초(현황)'!F76</x:f>
        <x:v>2</x:v>
      </x:c>
      <x:c r="D71" s="10">
        <x:f>6*'[1]26초(현황)'!F76-'[1]26초(현황)'!P76+'[1]26초(현황)'!O76</x:f>
        <x:v>3</x:v>
      </x:c>
      <x:c r="E71" s="10">
        <x:f>D71+'[1]26초(현황)'!N76</x:f>
        <x:v>5</x:v>
      </x:c>
      <x:c r="F71" s="10">
        <x:f>E71+'[1]26초(현황)'!M76</x:f>
        <x:v>6</x:v>
      </x:c>
      <x:c r="H71" s="10">
        <x:f>'[1]26초(현황)'!O76</x:f>
        <x:v>2</x:v>
      </x:c>
      <x:c r="I71" s="10">
        <x:f>SUM('[1]26초(현황)'!N76:O76)</x:f>
        <x:v>4</x:v>
      </x:c>
      <x:c r="J71" s="10">
        <x:f>SUM('[1]26초(현황)'!M76:O76)</x:f>
        <x:v>5</x:v>
      </x:c>
      <x:c r="M71" s="10">
        <x:f>'[1]26초(현황)'!N76</x:f>
        <x:v>2</x:v>
      </x:c>
      <x:c r="N71" s="10">
        <x:f>SUM('[1]26초(현황)'!M76:N76)</x:f>
        <x:v>3</x:v>
      </x:c>
    </x:row>
    <x:row r="72" spans="1:14">
      <x:c r="A72" s="7" t="str">
        <x:f>'[1]26초(현황)'!C76</x:f>
        <x:v>퇴계원초</x:v>
      </x:c>
      <x:c r="B72" s="7" t="s">
        <x:v>135</x:v>
      </x:c>
      <x:c r="C72" s="7">
        <x:f>'[1]26초(현황)'!G76</x:f>
        <x:v>1</x:v>
      </x:c>
      <x:c r="D72" s="7">
        <x:f>4*'[1]26초(현황)'!G76-'[1]26초(현황)'!P77+'[1]26초(현황)'!O77</x:f>
        <x:v>1</x:v>
      </x:c>
      <x:c r="E72" s="10">
        <x:f>D72+'[1]26초(현황)'!N77</x:f>
        <x:v>1</x:v>
      </x:c>
      <x:c r="F72" s="10">
        <x:f>E72+'[1]26초(현황)'!M77</x:f>
        <x:v>3</x:v>
      </x:c>
      <x:c r="H72" s="10">
        <x:f>'[1]26초(현황)'!O77</x:f>
        <x:v>1</x:v>
      </x:c>
      <x:c r="I72" s="10">
        <x:f>SUM('[1]26초(현황)'!N77:O77)</x:f>
        <x:v>1</x:v>
      </x:c>
      <x:c r="J72" s="10">
        <x:f>SUM('[1]26초(현황)'!M77:O77)</x:f>
        <x:v>3</x:v>
      </x:c>
      <x:c r="M72" s="10">
        <x:f>'[1]26초(현황)'!N77</x:f>
        <x:v>0</x:v>
      </x:c>
      <x:c r="N72" s="10">
        <x:f>SUM('[1]26초(현황)'!M77:N77)</x:f>
        <x:v>2</x:v>
      </x:c>
    </x:row>
    <x:row r="73" spans="1:14">
      <x:c r="A73" s="10" t="str">
        <x:f>'[1]26초(현황)'!C78</x:f>
        <x:v>판곡초</x:v>
      </x:c>
      <x:c r="B73" s="10" t="s">
        <x:v>126</x:v>
      </x:c>
      <x:c r="C73" s="10">
        <x:f>'[1]26초(현황)'!F78</x:f>
        <x:v>2</x:v>
      </x:c>
      <x:c r="D73" s="10">
        <x:f>6*'[1]26초(현황)'!F78-'[1]26초(현황)'!P78+'[1]26초(현황)'!O78</x:f>
        <x:v>2</x:v>
      </x:c>
      <x:c r="E73" s="10">
        <x:f>D73+'[1]26초(현황)'!N78</x:f>
        <x:v>4</x:v>
      </x:c>
      <x:c r="F73" s="10">
        <x:f>E73+'[1]26초(현황)'!M78</x:f>
        <x:v>7</x:v>
      </x:c>
      <x:c r="H73" s="10">
        <x:f>'[1]26초(현황)'!O78</x:f>
        <x:v>4</x:v>
      </x:c>
      <x:c r="I73" s="10">
        <x:f>SUM('[1]26초(현황)'!N78:O78)</x:f>
        <x:v>6</x:v>
      </x:c>
      <x:c r="J73" s="10">
        <x:f>SUM('[1]26초(현황)'!M78:O78)</x:f>
        <x:v>9</x:v>
      </x:c>
      <x:c r="M73" s="10">
        <x:f>'[1]26초(현황)'!N78</x:f>
        <x:v>2</x:v>
      </x:c>
      <x:c r="N73" s="10">
        <x:f>SUM('[1]26초(현황)'!M78:N78)</x:f>
        <x:v>5</x:v>
      </x:c>
    </x:row>
    <x:row r="74" spans="1:14">
      <x:c r="A74" s="10" t="str">
        <x:f>'[1]26초(현황)'!C79</x:f>
        <x:v>평내초</x:v>
      </x:c>
      <x:c r="B74" s="10" t="s">
        <x:v>126</x:v>
      </x:c>
      <x:c r="C74" s="10">
        <x:f>'[1]26초(현황)'!F79</x:f>
        <x:v>2</x:v>
      </x:c>
      <x:c r="D74" s="10">
        <x:f>6*'[1]26초(현황)'!F79-'[1]26초(현황)'!P79+'[1]26초(현황)'!O79</x:f>
        <x:v>4</x:v>
      </x:c>
      <x:c r="E74" s="10">
        <x:f>D74+'[1]26초(현황)'!N79</x:f>
        <x:v>5</x:v>
      </x:c>
      <x:c r="F74" s="10">
        <x:f>E74+'[1]26초(현황)'!M79</x:f>
        <x:v>5</x:v>
      </x:c>
      <x:c r="H74" s="10">
        <x:f>'[1]26초(현황)'!O79</x:f>
        <x:v>0</x:v>
      </x:c>
      <x:c r="I74" s="10">
        <x:f>SUM('[1]26초(현황)'!N79:O79)</x:f>
        <x:v>1</x:v>
      </x:c>
      <x:c r="J74" s="10">
        <x:f>SUM('[1]26초(현황)'!M79:O79)</x:f>
        <x:v>1</x:v>
      </x:c>
      <x:c r="M74" s="10">
        <x:f>'[1]26초(현황)'!N79</x:f>
        <x:v>1</x:v>
      </x:c>
      <x:c r="N74" s="10">
        <x:f>SUM('[1]26초(현황)'!M79:N79)</x:f>
        <x:v>1</x:v>
      </x:c>
    </x:row>
    <x:row r="75" spans="1:14">
      <x:c r="A75" s="10" t="str">
        <x:f>'[1]26초(현황)'!C80</x:f>
        <x:v>평동초</x:v>
      </x:c>
      <x:c r="B75" s="10" t="s">
        <x:v>126</x:v>
      </x:c>
      <x:c r="C75" s="10">
        <x:f>'[1]26초(현황)'!F80</x:f>
        <x:v>2</x:v>
      </x:c>
      <x:c r="D75" s="10">
        <x:f>6*'[1]26초(현황)'!F80-'[1]26초(현황)'!P80+'[1]26초(현황)'!O80</x:f>
        <x:v>5</x:v>
      </x:c>
      <x:c r="E75" s="10">
        <x:f>D75+'[1]26초(현황)'!N80</x:f>
        <x:v>6</x:v>
      </x:c>
      <x:c r="F75" s="10">
        <x:f>E75+'[1]26초(현황)'!M80</x:f>
        <x:v>7</x:v>
      </x:c>
      <x:c r="H75" s="10">
        <x:f>'[1]26초(현황)'!O80</x:f>
        <x:v>1</x:v>
      </x:c>
      <x:c r="I75" s="10">
        <x:f>SUM('[1]26초(현황)'!N80:O80)</x:f>
        <x:v>2</x:v>
      </x:c>
      <x:c r="J75" s="10">
        <x:f>SUM('[1]26초(현황)'!M80:O80)</x:f>
        <x:v>3</x:v>
      </x:c>
      <x:c r="M75" s="10">
        <x:f>'[1]26초(현황)'!N80</x:f>
        <x:v>1</x:v>
      </x:c>
      <x:c r="N75" s="10">
        <x:f>SUM('[1]26초(현황)'!M80:N80)</x:f>
        <x:v>2</x:v>
      </x:c>
    </x:row>
    <x:row r="76" spans="1:14">
      <x:c r="A76" s="7" t="str">
        <x:f>'[1]26초(현황)'!C80</x:f>
        <x:v>평동초</x:v>
      </x:c>
      <x:c r="B76" s="7" t="s">
        <x:v>135</x:v>
      </x:c>
      <x:c r="C76" s="7">
        <x:f>'[1]26초(현황)'!G80</x:f>
        <x:v>1</x:v>
      </x:c>
      <x:c r="D76" s="7">
        <x:f>4*'[1]26초(현황)'!G80-'[1]26초(현황)'!P81+'[1]26초(현황)'!O81</x:f>
        <x:v>1</x:v>
      </x:c>
      <x:c r="E76" s="10">
        <x:f>D76+'[1]26초(현황)'!N81</x:f>
        <x:v>1</x:v>
      </x:c>
      <x:c r="F76" s="10">
        <x:f>E76+'[1]26초(현황)'!M81</x:f>
        <x:v>3</x:v>
      </x:c>
      <x:c r="H76" s="10">
        <x:f>'[1]26초(현황)'!O81</x:f>
        <x:v>1</x:v>
      </x:c>
      <x:c r="I76" s="10">
        <x:f>SUM('[1]26초(현황)'!N81:O81)</x:f>
        <x:v>1</x:v>
      </x:c>
      <x:c r="J76" s="10">
        <x:f>SUM('[1]26초(현황)'!M81:O81)</x:f>
        <x:v>3</x:v>
      </x:c>
      <x:c r="M76" s="10">
        <x:f>'[1]26초(현황)'!N81</x:f>
        <x:v>0</x:v>
      </x:c>
      <x:c r="N76" s="10">
        <x:f>SUM('[1]26초(현황)'!M81:N81)</x:f>
        <x:v>2</x:v>
      </x:c>
    </x:row>
    <x:row r="77" spans="1:14">
      <x:c r="A77" s="10" t="str">
        <x:f>'[1]26초(현황)'!C82</x:f>
        <x:v>풍양초</x:v>
      </x:c>
      <x:c r="B77" s="10" t="s">
        <x:v>126</x:v>
      </x:c>
      <x:c r="C77" s="10">
        <x:f>'[1]26초(현황)'!F82</x:f>
        <x:v>1</x:v>
      </x:c>
      <x:c r="D77" s="10">
        <x:f>6*'[1]26초(현황)'!F82-'[1]26초(현황)'!P82+'[1]26초(현황)'!O82</x:f>
        <x:v>3</x:v>
      </x:c>
      <x:c r="E77" s="10">
        <x:f>D77+'[1]26초(현황)'!N82</x:f>
        <x:v>3</x:v>
      </x:c>
      <x:c r="F77" s="10">
        <x:f>E77+'[1]26초(현황)'!M82</x:f>
        <x:v>3</x:v>
      </x:c>
      <x:c r="H77" s="10">
        <x:f>'[1]26초(현황)'!O82</x:f>
        <x:v>0</x:v>
      </x:c>
      <x:c r="I77" s="10">
        <x:f>SUM('[1]26초(현황)'!N82:O82)</x:f>
        <x:v>0</x:v>
      </x:c>
      <x:c r="J77" s="10">
        <x:f>SUM('[1]26초(현황)'!M82:O82)</x:f>
        <x:v>0</x:v>
      </x:c>
      <x:c r="M77" s="10">
        <x:f>'[1]26초(현황)'!N82</x:f>
        <x:v>0</x:v>
      </x:c>
      <x:c r="N77" s="10">
        <x:f>SUM('[1]26초(현황)'!M82:N82)</x:f>
        <x:v>0</x:v>
      </x:c>
    </x:row>
    <x:row r="78" spans="1:14">
      <x:c r="A78" s="10" t="str">
        <x:f>'[1]26초(현황)'!C83</x:f>
        <x:v>하랑초</x:v>
      </x:c>
      <x:c r="B78" s="10" t="s">
        <x:v>126</x:v>
      </x:c>
      <x:c r="C78" s="10">
        <x:f>'[1]26초(현황)'!F83</x:f>
        <x:v>2</x:v>
      </x:c>
      <x:c r="D78" s="10">
        <x:f>6*'[1]26초(현황)'!F83-'[1]26초(현황)'!P83+'[1]26초(현황)'!O83</x:f>
        <x:v>4</x:v>
      </x:c>
      <x:c r="E78" s="10">
        <x:f>D78+'[1]26초(현황)'!N83</x:f>
        <x:v>5</x:v>
      </x:c>
      <x:c r="F78" s="10">
        <x:f>E78+'[1]26초(현황)'!M83</x:f>
        <x:v>9</x:v>
      </x:c>
      <x:c r="H78" s="10">
        <x:f>'[1]26초(현황)'!O83</x:f>
        <x:v>2</x:v>
      </x:c>
      <x:c r="I78" s="10">
        <x:f>SUM('[1]26초(현황)'!N83:O83)</x:f>
        <x:v>3</x:v>
      </x:c>
      <x:c r="J78" s="10">
        <x:f>SUM('[1]26초(현황)'!M83:O83)</x:f>
        <x:v>7</x:v>
      </x:c>
      <x:c r="M78" s="10">
        <x:f>'[1]26초(현황)'!N83</x:f>
        <x:v>1</x:v>
      </x:c>
      <x:c r="N78" s="10">
        <x:f>SUM('[1]26초(현황)'!M83:N83)</x:f>
        <x:v>5</x:v>
      </x:c>
    </x:row>
    <x:row r="79" spans="1:14">
      <x:c r="A79" s="10" t="str">
        <x:f>'[1]26초(현황)'!C84</x:f>
        <x:v>한별초</x:v>
      </x:c>
      <x:c r="B79" s="10" t="s">
        <x:v>126</x:v>
      </x:c>
      <x:c r="C79" s="10">
        <x:f>'[1]26초(현황)'!F84</x:f>
        <x:v>3</x:v>
      </x:c>
      <x:c r="D79" s="10">
        <x:f>6*'[1]26초(현황)'!F84-'[1]26초(현황)'!P84+'[1]26초(현황)'!O84</x:f>
        <x:v>3</x:v>
      </x:c>
      <x:c r="E79" s="10">
        <x:f>D79+'[1]26초(현황)'!N84</x:f>
        <x:v>6</x:v>
      </x:c>
      <x:c r="F79" s="10">
        <x:f>E79+'[1]26초(현황)'!M84</x:f>
        <x:v>10</x:v>
      </x:c>
      <x:c r="H79" s="10">
        <x:f>'[1]26초(현황)'!O84</x:f>
        <x:v>4</x:v>
      </x:c>
      <x:c r="I79" s="10">
        <x:f>SUM('[1]26초(현황)'!N84:O84)</x:f>
        <x:v>7</x:v>
      </x:c>
      <x:c r="J79" s="10">
        <x:f>SUM('[1]26초(현황)'!M84:O84)</x:f>
        <x:v>11</x:v>
      </x:c>
      <x:c r="M79" s="10">
        <x:f>'[1]26초(현황)'!N84</x:f>
        <x:v>3</x:v>
      </x:c>
      <x:c r="N79" s="10">
        <x:f>SUM('[1]26초(현황)'!M84:N84)</x:f>
        <x:v>7</x:v>
      </x:c>
    </x:row>
    <x:row r="80" spans="1:14">
      <x:c r="A80" s="10" t="str">
        <x:f>'[1]26초(현황)'!C85</x:f>
        <x:v>호평초</x:v>
      </x:c>
      <x:c r="B80" s="10" t="s">
        <x:v>126</x:v>
      </x:c>
      <x:c r="C80" s="10">
        <x:f>'[1]26초(현황)'!F85</x:f>
        <x:v>1</x:v>
      </x:c>
      <x:c r="D80" s="10">
        <x:f>6*'[1]26초(현황)'!F85-'[1]26초(현황)'!P85+'[1]26초(현황)'!O85</x:f>
        <x:v>3</x:v>
      </x:c>
      <x:c r="E80" s="10">
        <x:f>D80+'[1]26초(현황)'!N85</x:f>
        <x:v>3</x:v>
      </x:c>
      <x:c r="F80" s="10">
        <x:f>E80+'[1]26초(현황)'!M85</x:f>
        <x:v>4</x:v>
      </x:c>
      <x:c r="H80" s="10">
        <x:f>'[1]26초(현황)'!O85</x:f>
        <x:v>1</x:v>
      </x:c>
      <x:c r="I80" s="10">
        <x:f>SUM('[1]26초(현황)'!N85:O85)</x:f>
        <x:v>1</x:v>
      </x:c>
      <x:c r="J80" s="10">
        <x:f>SUM('[1]26초(현황)'!M85:O85)</x:f>
        <x:v>2</x:v>
      </x:c>
      <x:c r="M80" s="10">
        <x:f>'[1]26초(현황)'!N85</x:f>
        <x:v>0</x:v>
      </x:c>
      <x:c r="N80" s="10">
        <x:f>SUM('[1]26초(현황)'!M85:N85)</x:f>
        <x:v>1</x:v>
      </x:c>
    </x:row>
    <x:row r="81" spans="1:14">
      <x:c r="A81" s="10" t="str">
        <x:f>'[1]26초(현황)'!C86</x:f>
        <x:v>해밀초</x:v>
      </x:c>
      <x:c r="B81" s="10" t="s">
        <x:v>126</x:v>
      </x:c>
      <x:c r="C81" s="10">
        <x:f>'[1]26초(현황)'!F86</x:f>
        <x:v>1</x:v>
      </x:c>
      <x:c r="D81" s="10">
        <x:f>6*'[1]26초(현황)'!F86-'[1]26초(현황)'!P86+'[1]26초(현황)'!O86</x:f>
        <x:v>2</x:v>
      </x:c>
      <x:c r="E81" s="10">
        <x:f>D81+'[1]26초(현황)'!N86</x:f>
        <x:v>3</x:v>
      </x:c>
      <x:c r="F81" s="10">
        <x:f>E81+'[1]26초(현황)'!M86</x:f>
        <x:v>3</x:v>
      </x:c>
      <x:c r="H81" s="10">
        <x:f>'[1]26초(현황)'!O86</x:f>
        <x:v>2</x:v>
      </x:c>
      <x:c r="I81" s="10">
        <x:f>SUM('[1]26초(현황)'!N86:O86)</x:f>
        <x:v>3</x:v>
      </x:c>
      <x:c r="J81" s="10">
        <x:f>SUM('[1]26초(현황)'!M86:O86)</x:f>
        <x:v>3</x:v>
      </x:c>
      <x:c r="M81" s="10">
        <x:f>'[1]26초(현황)'!N86</x:f>
        <x:v>1</x:v>
      </x:c>
      <x:c r="N81" s="10">
        <x:f>SUM('[1]26초(현황)'!M86:N86)</x:f>
        <x:v>1</x:v>
      </x:c>
    </x:row>
    <x:row r="82" spans="1:14">
      <x:c r="A82" s="10" t="str">
        <x:f>'[1]26초(현황)'!C87</x:f>
        <x:v>화도초</x:v>
      </x:c>
      <x:c r="B82" s="10" t="s">
        <x:v>126</x:v>
      </x:c>
      <x:c r="C82" s="10">
        <x:f>'[1]26초(현황)'!F87</x:f>
        <x:v>2</x:v>
      </x:c>
      <x:c r="D82" s="10">
        <x:f>6*'[1]26초(현황)'!F87-'[1]26초(현황)'!P87+'[1]26초(현황)'!O87</x:f>
        <x:v>3</x:v>
      </x:c>
      <x:c r="E82" s="10">
        <x:f>D82+'[1]26초(현황)'!N87</x:f>
        <x:v>6</x:v>
      </x:c>
      <x:c r="F82" s="10">
        <x:f>E82+'[1]26초(현황)'!M87</x:f>
        <x:v>7</x:v>
      </x:c>
      <x:c r="H82" s="10">
        <x:f>'[1]26초(현황)'!O87</x:f>
        <x:v>3</x:v>
      </x:c>
      <x:c r="I82" s="10">
        <x:f>SUM('[1]26초(현황)'!N87:O87)</x:f>
        <x:v>6</x:v>
      </x:c>
      <x:c r="J82" s="10">
        <x:f>SUM('[1]26초(현황)'!M87:O87)</x:f>
        <x:v>7</x:v>
      </x:c>
      <x:c r="M82" s="10">
        <x:f>'[1]26초(현황)'!N87</x:f>
        <x:v>3</x:v>
      </x:c>
      <x:c r="N82" s="10">
        <x:f>SUM('[1]26초(현황)'!M87:N87)</x:f>
        <x:v>4</x:v>
      </x:c>
    </x:row>
    <x:row r="83" spans="1:14">
      <x:c r="A83" s="10" t="str">
        <x:f>'[1]26초(현황)'!C88</x:f>
        <x:v>화봉초</x:v>
      </x:c>
      <x:c r="B83" s="10" t="s">
        <x:v>126</x:v>
      </x:c>
      <x:c r="C83" s="10">
        <x:f>'[1]26초(현황)'!F88</x:f>
        <x:v>1</x:v>
      </x:c>
      <x:c r="D83" s="10">
        <x:f>6*'[1]26초(현황)'!F88-'[1]26초(현황)'!P88+'[1]26초(현황)'!O88</x:f>
        <x:v>3</x:v>
      </x:c>
      <x:c r="E83" s="10">
        <x:f>D83+'[1]26초(현황)'!N88</x:f>
        <x:v>4</x:v>
      </x:c>
      <x:c r="F83" s="10">
        <x:f>E83+'[1]26초(현황)'!M88</x:f>
        <x:v>4</x:v>
      </x:c>
      <x:c r="H83" s="10">
        <x:f>'[1]26초(현황)'!O88</x:f>
        <x:v>2</x:v>
      </x:c>
      <x:c r="I83" s="10">
        <x:f>SUM('[1]26초(현황)'!N88:O88)</x:f>
        <x:v>3</x:v>
      </x:c>
      <x:c r="J83" s="10">
        <x:f>SUM('[1]26초(현황)'!M88:O88)</x:f>
        <x:v>3</x:v>
      </x:c>
      <x:c r="M83" s="10">
        <x:f>'[1]26초(현황)'!N88</x:f>
        <x:v>1</x:v>
      </x:c>
      <x:c r="N83" s="10">
        <x:f>SUM('[1]26초(현황)'!M88:N88)</x:f>
        <x:v>1</x:v>
      </x:c>
    </x:row>
    <x:row r="84" spans="1:14">
      <x:c r="A84" t="str">
        <x:f>'[1]26초(현황)'!C89</x:f>
        <x:v>화접초</x:v>
      </x:c>
      <x:c r="B84" t="s">
        <x:v>126</x:v>
      </x:c>
      <x:c r="C84">
        <x:f>'[1]26초(현황)'!F89</x:f>
        <x:v>3</x:v>
      </x:c>
      <x:c r="D84">
        <x:f>6*'[1]26초(현황)'!F89-'[1]26초(현황)'!P89+'[1]26초(현황)'!O89</x:f>
        <x:v>-1</x:v>
      </x:c>
      <x:c r="E84" s="10">
        <x:f>D84+'[1]26초(현황)'!N89</x:f>
        <x:v>2</x:v>
      </x:c>
      <x:c r="F84" s="10">
        <x:f>E84+'[1]26초(현황)'!M89</x:f>
        <x:v>4</x:v>
      </x:c>
      <x:c r="H84" s="10">
        <x:f>'[1]26초(현황)'!O89</x:f>
        <x:v>0</x:v>
      </x:c>
      <x:c r="I84" s="10">
        <x:f>SUM('[1]26초(현황)'!N89:O89)</x:f>
        <x:v>3</x:v>
      </x:c>
      <x:c r="J84" s="10">
        <x:f>SUM('[1]26초(현황)'!M89:O89)</x:f>
        <x:v>5</x:v>
      </x:c>
      <x:c r="M84" s="10">
        <x:f>'[1]26초(현황)'!N89</x:f>
        <x:v>3</x:v>
      </x:c>
      <x:c r="N84" s="10">
        <x:f>SUM('[1]26초(현황)'!M89:N89)</x:f>
        <x:v>5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N44"/>
  <x:sheetViews>
    <x:sheetView topLeftCell="A22" zoomScaleNormal="100" zoomScaleSheetLayoutView="100" workbookViewId="0">
      <x:selection activeCell="A2" activeCellId="0" sqref="A2:N44"/>
    </x:sheetView>
  </x:sheetViews>
  <x:sheetFormatPr defaultColWidth="9.00390625" defaultRowHeight="16.39999999999999857891"/>
  <x:cols>
    <x:col min="1" max="1" width="16.57421875" bestFit="1" customWidth="1"/>
    <x:col min="2" max="2" width="12.3984375" bestFit="1" customWidth="1"/>
    <x:col min="3" max="3" width="7.3359375" bestFit="1" customWidth="1"/>
    <x:col min="4" max="6" width="13.79296875" bestFit="1" customWidth="1"/>
    <x:col min="8" max="10" width="13.79296875" bestFit="1" customWidth="1"/>
    <x:col min="12" max="14" width="13.79296875" bestFit="1" customWidth="1"/>
  </x:cols>
  <x:sheetData>
    <x:row r="1" spans="1:14" ht="32.75">
      <x:c r="A1" s="2" t="s">
        <x:v>70</x:v>
      </x:c>
      <x:c r="B1" s="2" t="s">
        <x:v>145</x:v>
      </x:c>
      <x:c r="C1" s="2" t="s">
        <x:v>140</x:v>
      </x:c>
      <x:c r="D1" s="8" t="s">
        <x:v>176</x:v>
      </x:c>
      <x:c r="E1" s="11" t="s">
        <x:v>179</x:v>
      </x:c>
      <x:c r="F1" s="11" t="s">
        <x:v>178</x:v>
      </x:c>
      <x:c r="H1" s="11" t="s">
        <x:v>182</x:v>
      </x:c>
      <x:c r="I1" s="11" t="s">
        <x:v>177</x:v>
      </x:c>
      <x:c r="J1" s="11" t="s">
        <x:v>180</x:v>
      </x:c>
      <x:c r="L1" s="11" t="s">
        <x:v>184</x:v>
      </x:c>
      <x:c r="M1" s="8" t="s">
        <x:v>175</x:v>
      </x:c>
      <x:c r="N1" s="8" t="s">
        <x:v>181</x:v>
      </x:c>
    </x:row>
    <x:row r="2" spans="1:14">
      <x:c r="A2" t="str">
        <x:f>'[1]26중(현황)'!C7</x:f>
        <x:v>갈매중</x:v>
      </x:c>
      <x:c r="B2" t="s">
        <x:v>126</x:v>
      </x:c>
      <x:c r="C2">
        <x:f>'[1]26중(현황)'!F7</x:f>
        <x:v>2</x:v>
      </x:c>
      <x:c r="D2">
        <x:f>6*'[1]26중(현황)'!F7-'[1]26중(현황)'!M7+'[1]26중(현황)'!L7</x:f>
        <x:v>5</x:v>
      </x:c>
      <x:c r="E2">
        <x:f>D2+'[1]26중(현황)'!K7</x:f>
        <x:v>8</x:v>
      </x:c>
      <x:c r="F2">
        <x:f>E2+'[1]26중(현황)'!J7</x:f>
        <x:v>12</x:v>
      </x:c>
      <x:c r="H2">
        <x:f>'[1]26중(현황)'!L7</x:f>
        <x:v>2</x:v>
      </x:c>
      <x:c r="I2">
        <x:f>SUM('[1]26중(현황)'!K7:L7)</x:f>
        <x:v>5</x:v>
      </x:c>
      <x:c r="J2">
        <x:f>SUM('[1]26중(현황)'!J7:L7)</x:f>
        <x:v>9</x:v>
      </x:c>
      <x:c r="M2">
        <x:f>'[1]26중(현황)'!K7</x:f>
        <x:v>3</x:v>
      </x:c>
      <x:c r="N2">
        <x:f>SUM('[1]26중(현황)'!J7:K7)</x:f>
        <x:v>7</x:v>
      </x:c>
    </x:row>
    <x:row r="3" spans="1:14">
      <x:c r="A3" t="str">
        <x:f>'[1]26중(현황)'!C8</x:f>
        <x:v>교문중</x:v>
      </x:c>
      <x:c r="B3" t="s">
        <x:v>126</x:v>
      </x:c>
      <x:c r="C3">
        <x:f>'[1]26중(현황)'!F8</x:f>
        <x:v>2</x:v>
      </x:c>
      <x:c r="D3">
        <x:f>6*'[1]26중(현황)'!F8-'[1]26중(현황)'!M8+'[1]26중(현황)'!L8</x:f>
        <x:v>9</x:v>
      </x:c>
      <x:c r="E3" s="10">
        <x:f>D3+'[1]26중(현황)'!K8</x:f>
        <x:v>9</x:v>
      </x:c>
      <x:c r="F3" s="10">
        <x:f>E3+'[1]26중(현황)'!J8</x:f>
        <x:v>12</x:v>
      </x:c>
      <x:c r="H3" s="10">
        <x:f>'[1]26중(현황)'!L8</x:f>
        <x:v>4</x:v>
      </x:c>
      <x:c r="I3" s="10">
        <x:f>SUM('[1]26중(현황)'!K8:L8)</x:f>
        <x:v>4</x:v>
      </x:c>
      <x:c r="J3" s="10">
        <x:f>SUM('[1]26중(현황)'!J8:L8)</x:f>
        <x:v>7</x:v>
      </x:c>
      <x:c r="M3" s="10">
        <x:f>'[1]26중(현황)'!K8</x:f>
        <x:v>0</x:v>
      </x:c>
      <x:c r="N3" s="10">
        <x:f>SUM('[1]26중(현황)'!J8:K8)</x:f>
        <x:v>3</x:v>
      </x:c>
    </x:row>
    <x:row r="4" spans="1:14">
      <x:c r="A4" t="str">
        <x:f>'[1]26중(현황)'!C9</x:f>
        <x:v>구리여중</x:v>
      </x:c>
      <x:c r="B4" t="s">
        <x:v>126</x:v>
      </x:c>
      <x:c r="C4">
        <x:f>'[1]26중(현황)'!F9</x:f>
        <x:v>2</x:v>
      </x:c>
      <x:c r="D4">
        <x:f>6*'[1]26중(현황)'!F9-'[1]26중(현황)'!M9+'[1]26중(현황)'!L9</x:f>
        <x:v>6</x:v>
      </x:c>
      <x:c r="E4" s="10">
        <x:f>D4+'[1]26중(현황)'!K9</x:f>
        <x:v>9</x:v>
      </x:c>
      <x:c r="F4" s="10">
        <x:f>E4+'[1]26중(현황)'!J9</x:f>
        <x:v>12</x:v>
      </x:c>
      <x:c r="H4" s="10">
        <x:f>'[1]26중(현황)'!L9</x:f>
        <x:v>6</x:v>
      </x:c>
      <x:c r="I4" s="10">
        <x:f>SUM('[1]26중(현황)'!K9:L9)</x:f>
        <x:v>9</x:v>
      </x:c>
      <x:c r="J4" s="10">
        <x:f>SUM('[1]26중(현황)'!J9:L9)</x:f>
        <x:v>12</x:v>
      </x:c>
      <x:c r="M4" s="10">
        <x:f>'[1]26중(현황)'!K9</x:f>
        <x:v>3</x:v>
      </x:c>
      <x:c r="N4" s="10">
        <x:f>SUM('[1]26중(현황)'!J9:K9)</x:f>
        <x:v>6</x:v>
      </x:c>
    </x:row>
    <x:row r="5" spans="1:14">
      <x:c r="A5" s="9" t="str">
        <x:f>'[1]26중(현황)'!C10</x:f>
        <x:v>구리여중
(전일제)</x:v>
      </x:c>
      <x:c r="B5" s="9" t="s">
        <x:v>150</x:v>
      </x:c>
      <x:c r="C5" s="9">
        <x:f>'[1]26중(현황)'!H10</x:f>
        <x:v>1</x:v>
      </x:c>
      <x:c r="D5" s="9">
        <x:f>4*'[1]26중(현황)'!H10-'[1]26중(현황)'!M10+'[1]26중(현황)'!L10</x:f>
        <x:v>1</x:v>
      </x:c>
      <x:c r="E5" s="10">
        <x:f>D5+'[1]26중(현황)'!K10</x:f>
        <x:v>2</x:v>
      </x:c>
      <x:c r="F5" s="10">
        <x:f>E5+'[1]26중(현황)'!J10</x:f>
        <x:v>4</x:v>
      </x:c>
      <x:c r="H5" s="10">
        <x:f>'[1]26중(현황)'!L10</x:f>
        <x:v>1</x:v>
      </x:c>
      <x:c r="I5" s="10">
        <x:f>SUM('[1]26중(현황)'!K10:L10)</x:f>
        <x:v>2</x:v>
      </x:c>
      <x:c r="J5" s="10">
        <x:f>SUM('[1]26중(현황)'!J10:L10)</x:f>
        <x:v>4</x:v>
      </x:c>
      <x:c r="M5" s="10">
        <x:f>'[1]26중(현황)'!K10</x:f>
        <x:v>1</x:v>
      </x:c>
      <x:c r="N5" s="10">
        <x:f>SUM('[1]26중(현황)'!J10:K10)</x:f>
        <x:v>3</x:v>
      </x:c>
    </x:row>
    <x:row r="6" spans="1:14">
      <x:c r="A6" t="str">
        <x:f>'[1]26중(현황)'!C11</x:f>
        <x:v>구리중</x:v>
      </x:c>
      <x:c r="B6" t="s">
        <x:v>126</x:v>
      </x:c>
      <x:c r="C6">
        <x:f>'[1]26중(현황)'!F11</x:f>
        <x:v>1</x:v>
      </x:c>
      <x:c r="D6">
        <x:f>6*'[1]26중(현황)'!F11-'[1]26중(현황)'!M11+'[1]26중(현황)'!L11</x:f>
        <x:v>3</x:v>
      </x:c>
      <x:c r="E6" s="10">
        <x:f>D6+'[1]26중(현황)'!K11</x:f>
        <x:v>5</x:v>
      </x:c>
      <x:c r="F6" s="10">
        <x:f>E6+'[1]26중(현황)'!J11</x:f>
        <x:v>6</x:v>
      </x:c>
      <x:c r="H6" s="10">
        <x:f>'[1]26중(현황)'!L11</x:f>
        <x:v>3</x:v>
      </x:c>
      <x:c r="I6" s="10">
        <x:f>SUM('[1]26중(현황)'!K11:L11)</x:f>
        <x:v>5</x:v>
      </x:c>
      <x:c r="J6" s="10">
        <x:f>SUM('[1]26중(현황)'!J11:L11)</x:f>
        <x:v>6</x:v>
      </x:c>
      <x:c r="M6" s="10">
        <x:f>'[1]26중(현황)'!K11</x:f>
        <x:v>2</x:v>
      </x:c>
      <x:c r="N6" s="10">
        <x:f>SUM('[1]26중(현황)'!J11:K11)</x:f>
        <x:v>3</x:v>
      </x:c>
    </x:row>
    <x:row r="7" spans="1:14">
      <x:c r="A7" t="str">
        <x:f>'[1]26중(현황)'!C12</x:f>
        <x:v>동구중</x:v>
      </x:c>
      <x:c r="B7" t="s">
        <x:v>126</x:v>
      </x:c>
      <x:c r="C7">
        <x:f>'[1]26중(현황)'!F12</x:f>
        <x:v>1</x:v>
      </x:c>
      <x:c r="D7">
        <x:f>6*'[1]26중(현황)'!F12-'[1]26중(현황)'!M12+'[1]26중(현황)'!L12</x:f>
        <x:v>0</x:v>
      </x:c>
      <x:c r="E7" s="10">
        <x:f>D7+'[1]26중(현황)'!K12</x:f>
        <x:v>4</x:v>
      </x:c>
      <x:c r="F7" s="10">
        <x:f>E7+'[1]26중(현황)'!J12</x:f>
        <x:v>6</x:v>
      </x:c>
      <x:c r="H7" s="10">
        <x:f>'[1]26중(현황)'!L12</x:f>
        <x:v>1</x:v>
      </x:c>
      <x:c r="I7" s="10">
        <x:f>SUM('[1]26중(현황)'!K12:L12)</x:f>
        <x:v>5</x:v>
      </x:c>
      <x:c r="J7" s="10">
        <x:f>SUM('[1]26중(현황)'!J12:L12)</x:f>
        <x:v>7</x:v>
      </x:c>
      <x:c r="M7" s="10">
        <x:f>'[1]26중(현황)'!K12</x:f>
        <x:v>4</x:v>
      </x:c>
      <x:c r="N7" s="10">
        <x:f>SUM('[1]26중(현황)'!J12:K12)</x:f>
        <x:v>6</x:v>
      </x:c>
    </x:row>
    <x:row r="8" spans="1:14">
      <x:c r="A8" t="str">
        <x:f>'[1]26중(현황)'!C13</x:f>
        <x:v>인창중</x:v>
      </x:c>
      <x:c r="B8" t="s">
        <x:v>126</x:v>
      </x:c>
      <x:c r="C8">
        <x:f>'[1]26중(현황)'!F13</x:f>
        <x:v>2</x:v>
      </x:c>
      <x:c r="D8">
        <x:f>6*'[1]26중(현황)'!F13-'[1]26중(현황)'!M13+'[1]26중(현황)'!L13</x:f>
        <x:v>6</x:v>
      </x:c>
      <x:c r="E8" s="10">
        <x:f>D8+'[1]26중(현황)'!K13</x:f>
        <x:v>8</x:v>
      </x:c>
      <x:c r="F8" s="10">
        <x:f>E8+'[1]26중(현황)'!J13</x:f>
        <x:v>12</x:v>
      </x:c>
      <x:c r="H8" s="10">
        <x:f>'[1]26중(현황)'!L13</x:f>
        <x:v>4</x:v>
      </x:c>
      <x:c r="I8" s="10">
        <x:f>SUM('[1]26중(현황)'!K13:L13)</x:f>
        <x:v>6</x:v>
      </x:c>
      <x:c r="J8" s="10">
        <x:f>SUM('[1]26중(현황)'!J13:L13)</x:f>
        <x:v>10</x:v>
      </x:c>
      <x:c r="M8" s="10">
        <x:f>'[1]26중(현황)'!K13</x:f>
        <x:v>2</x:v>
      </x:c>
      <x:c r="N8" s="10">
        <x:f>SUM('[1]26중(현황)'!J13:K13)</x:f>
        <x:v>6</x:v>
      </x:c>
    </x:row>
    <x:row r="9" spans="1:14">
      <x:c r="A9" t="str">
        <x:f>'[1]26중(현황)'!C14</x:f>
        <x:v>토평중</x:v>
      </x:c>
      <x:c r="B9" t="s">
        <x:v>126</x:v>
      </x:c>
      <x:c r="C9">
        <x:f>'[1]26중(현황)'!F14</x:f>
        <x:v>3</x:v>
      </x:c>
      <x:c r="D9">
        <x:f>6*'[1]26중(현황)'!F14-'[1]26중(현황)'!M14+'[1]26중(현황)'!L14</x:f>
        <x:v>10</x:v>
      </x:c>
      <x:c r="E9" s="10">
        <x:f>D9+'[1]26중(현황)'!K14</x:f>
        <x:v>14</x:v>
      </x:c>
      <x:c r="F9" s="10">
        <x:f>E9+'[1]26중(현황)'!J14</x:f>
        <x:v>18</x:v>
      </x:c>
      <x:c r="H9" s="10">
        <x:f>'[1]26중(현황)'!L14</x:f>
        <x:v>9</x:v>
      </x:c>
      <x:c r="I9" s="10">
        <x:f>SUM('[1]26중(현황)'!K14:L14)</x:f>
        <x:v>13</x:v>
      </x:c>
      <x:c r="J9" s="10">
        <x:f>SUM('[1]26중(현황)'!J14:L14)</x:f>
        <x:v>17</x:v>
      </x:c>
      <x:c r="M9" s="10">
        <x:f>'[1]26중(현황)'!K14</x:f>
        <x:v>4</x:v>
      </x:c>
      <x:c r="N9" s="10">
        <x:f>SUM('[1]26중(현황)'!J14:K14)</x:f>
        <x:v>8</x:v>
      </x:c>
    </x:row>
    <x:row r="10" spans="1:14">
      <x:c r="A10" t="str">
        <x:f>'[1]26중(현황)'!C15</x:f>
        <x:v>가운중
(시간제)</x:v>
      </x:c>
      <x:c r="B10" t="s">
        <x:v>126</x:v>
      </x:c>
      <x:c r="C10">
        <x:f>'[1]26중(현황)'!F15</x:f>
        <x:v>1</x:v>
      </x:c>
      <x:c r="D10">
        <x:f>6*'[1]26중(현황)'!F15-'[1]26중(현황)'!M15+'[1]26중(현황)'!L15</x:f>
        <x:v>1</x:v>
      </x:c>
      <x:c r="E10" s="10">
        <x:f>D10+'[1]26중(현황)'!K15</x:f>
        <x:v>5</x:v>
      </x:c>
      <x:c r="F10" s="10">
        <x:f>E10+'[1]26중(현황)'!J15</x:f>
        <x:v>6</x:v>
      </x:c>
      <x:c r="H10" s="10">
        <x:f>'[1]26중(현황)'!L15</x:f>
        <x:v>1</x:v>
      </x:c>
      <x:c r="I10" s="10">
        <x:f>SUM('[1]26중(현황)'!K15:L15)</x:f>
        <x:v>5</x:v>
      </x:c>
      <x:c r="J10" s="10">
        <x:f>SUM('[1]26중(현황)'!J15:L15)</x:f>
        <x:v>6</x:v>
      </x:c>
      <x:c r="M10" s="10">
        <x:f>'[1]26중(현황)'!K15</x:f>
        <x:v>4</x:v>
      </x:c>
      <x:c r="N10" s="10">
        <x:f>SUM('[1]26중(현황)'!J15:K15)</x:f>
        <x:v>5</x:v>
      </x:c>
    </x:row>
    <x:row r="11" spans="1:14">
      <x:c r="A11" s="9" t="str">
        <x:f>'[1]26중(현황)'!C16</x:f>
        <x:v>가운중
(전일제)</x:v>
      </x:c>
      <x:c r="B11" s="9" t="s">
        <x:v>150</x:v>
      </x:c>
      <x:c r="C11" s="9">
        <x:f>'[1]26중(현황)'!H16</x:f>
        <x:v>3</x:v>
      </x:c>
      <x:c r="D11" s="9">
        <x:f>4*'[1]26중(현황)'!H16-'[1]26중(현황)'!M16+'[1]26중(현황)'!L16</x:f>
        <x:v>4</x:v>
      </x:c>
      <x:c r="E11" s="10">
        <x:f>D11+'[1]26중(현황)'!K16</x:f>
        <x:v>8</x:v>
      </x:c>
      <x:c r="F11" s="10">
        <x:f>E11+'[1]26중(현황)'!J16</x:f>
        <x:v>12</x:v>
      </x:c>
      <x:c r="H11" s="10">
        <x:f>'[1]26중(현황)'!L16</x:f>
        <x:v>4</x:v>
      </x:c>
      <x:c r="I11" s="10">
        <x:f>SUM('[1]26중(현황)'!K16:L16)</x:f>
        <x:v>8</x:v>
      </x:c>
      <x:c r="J11" s="10">
        <x:f>SUM('[1]26중(현황)'!J16:L16)</x:f>
        <x:v>12</x:v>
      </x:c>
      <x:c r="M11" s="10">
        <x:f>'[1]26중(현황)'!K16</x:f>
        <x:v>4</x:v>
      </x:c>
      <x:c r="N11" s="10">
        <x:f>SUM('[1]26중(현황)'!J16:K16)</x:f>
        <x:v>8</x:v>
      </x:c>
    </x:row>
    <x:row r="12" spans="1:14">
      <x:c r="A12" t="str">
        <x:f>'[1]26중(현황)'!C17</x:f>
        <x:v>광릉중
(시간제)</x:v>
      </x:c>
      <x:c r="B12" t="s">
        <x:v>126</x:v>
      </x:c>
      <x:c r="C12">
        <x:f>'[1]26중(현황)'!F17</x:f>
        <x:v>1</x:v>
      </x:c>
      <x:c r="D12">
        <x:f>6*'[1]26중(현황)'!F17-'[1]26중(현황)'!M17+'[1]26중(현황)'!L17</x:f>
        <x:v>3</x:v>
      </x:c>
      <x:c r="E12" s="10">
        <x:f>D12+'[1]26중(현황)'!K17</x:f>
        <x:v>4</x:v>
      </x:c>
      <x:c r="F12" s="10">
        <x:f>E12+'[1]26중(현황)'!J17</x:f>
        <x:v>6</x:v>
      </x:c>
      <x:c r="H12" s="10">
        <x:f>'[1]26중(현황)'!L17</x:f>
        <x:v>1</x:v>
      </x:c>
      <x:c r="I12" s="10">
        <x:f>SUM('[1]26중(현황)'!K17:L17)</x:f>
        <x:v>2</x:v>
      </x:c>
      <x:c r="J12" s="10">
        <x:f>SUM('[1]26중(현황)'!J17:L17)</x:f>
        <x:v>4</x:v>
      </x:c>
      <x:c r="M12" s="10">
        <x:f>'[1]26중(현황)'!K17</x:f>
        <x:v>1</x:v>
      </x:c>
      <x:c r="N12" s="10">
        <x:f>SUM('[1]26중(현황)'!J17:K17)</x:f>
        <x:v>3</x:v>
      </x:c>
    </x:row>
    <x:row r="13" spans="1:14">
      <x:c r="A13" s="9" t="str">
        <x:f>'[1]26중(현황)'!C18</x:f>
        <x:v>광릉중
(전일제)</x:v>
      </x:c>
      <x:c r="B13" s="9" t="s">
        <x:v>150</x:v>
      </x:c>
      <x:c r="C13" s="9">
        <x:f>'[1]26중(현황)'!H18</x:f>
        <x:v>1</x:v>
      </x:c>
      <x:c r="D13" s="9">
        <x:f>4*'[1]26중(현황)'!H18-'[1]26중(현황)'!M18+'[1]26중(현황)'!L18</x:f>
        <x:v>0</x:v>
      </x:c>
      <x:c r="E13" s="10">
        <x:f>D13+'[1]26중(현황)'!K18</x:f>
        <x:v>0</x:v>
      </x:c>
      <x:c r="F13" s="10">
        <x:f>E13+'[1]26중(현황)'!J18</x:f>
        <x:v>4</x:v>
      </x:c>
      <x:c r="H13" s="10">
        <x:f>'[1]26중(현황)'!L18</x:f>
        <x:v>0</x:v>
      </x:c>
      <x:c r="I13" s="10">
        <x:f>SUM('[1]26중(현황)'!K18:L18)</x:f>
        <x:v>0</x:v>
      </x:c>
      <x:c r="J13" s="10">
        <x:f>SUM('[1]26중(현황)'!J18:L18)</x:f>
        <x:v>4</x:v>
      </x:c>
      <x:c r="M13" s="10">
        <x:f>'[1]26중(현황)'!K18</x:f>
        <x:v>0</x:v>
      </x:c>
      <x:c r="N13" s="10">
        <x:f>SUM('[1]26중(현황)'!J18:K18)</x:f>
        <x:v>4</x:v>
      </x:c>
    </x:row>
    <x:row r="14" spans="1:14">
      <x:c r="A14" t="str">
        <x:f>'[1]26중(현황)'!C19</x:f>
        <x:v>금곡중</x:v>
      </x:c>
      <x:c r="B14" t="s">
        <x:v>126</x:v>
      </x:c>
      <x:c r="C14">
        <x:f>'[1]26중(현황)'!F19</x:f>
        <x:v>1</x:v>
      </x:c>
      <x:c r="D14">
        <x:f>6*'[1]26중(현황)'!F19-'[1]26중(현황)'!M19+'[1]26중(현황)'!L19</x:f>
        <x:v>4</x:v>
      </x:c>
      <x:c r="E14" s="10">
        <x:f>D14+'[1]26중(현황)'!K19</x:f>
        <x:v>5</x:v>
      </x:c>
      <x:c r="F14" s="10">
        <x:f>E14+'[1]26중(현황)'!J19</x:f>
        <x:v>6</x:v>
      </x:c>
      <x:c r="H14" s="10">
        <x:f>'[1]26중(현황)'!L19</x:f>
        <x:v>2</x:v>
      </x:c>
      <x:c r="I14" s="10">
        <x:f>SUM('[1]26중(현황)'!K19:L19)</x:f>
        <x:v>3</x:v>
      </x:c>
      <x:c r="J14" s="10">
        <x:f>SUM('[1]26중(현황)'!J19:L19)</x:f>
        <x:v>4</x:v>
      </x:c>
      <x:c r="M14" s="10">
        <x:f>'[1]26중(현황)'!K19</x:f>
        <x:v>1</x:v>
      </x:c>
      <x:c r="N14" s="10">
        <x:f>SUM('[1]26중(현황)'!J19:K19)</x:f>
        <x:v>2</x:v>
      </x:c>
    </x:row>
    <x:row r="15" spans="1:14">
      <x:c r="A15" t="str">
        <x:f>'[1]26중(현황)'!C20</x:f>
        <x:v>남양주다산중</x:v>
      </x:c>
      <x:c r="B15" t="s">
        <x:v>126</x:v>
      </x:c>
      <x:c r="C15">
        <x:f>'[1]26중(현황)'!F20</x:f>
        <x:v>2</x:v>
      </x:c>
      <x:c r="D15">
        <x:f>6*'[1]26중(현황)'!F20-'[1]26중(현황)'!M20+'[1]26중(현황)'!L20</x:f>
        <x:v>4</x:v>
      </x:c>
      <x:c r="E15" s="10">
        <x:f>D15+'[1]26중(현황)'!K20</x:f>
        <x:v>8</x:v>
      </x:c>
      <x:c r="F15" s="10">
        <x:f>E15+'[1]26중(현황)'!J20</x:f>
        <x:v>12</x:v>
      </x:c>
      <x:c r="H15" s="10">
        <x:f>'[1]26중(현황)'!L20</x:f>
        <x:v>2</x:v>
      </x:c>
      <x:c r="I15" s="10">
        <x:f>SUM('[1]26중(현황)'!K20:L20)</x:f>
        <x:v>6</x:v>
      </x:c>
      <x:c r="J15" s="10">
        <x:f>SUM('[1]26중(현황)'!J20:L20)</x:f>
        <x:v>10</x:v>
      </x:c>
      <x:c r="M15" s="10">
        <x:f>'[1]26중(현황)'!K20</x:f>
        <x:v>4</x:v>
      </x:c>
      <x:c r="N15" s="10">
        <x:f>SUM('[1]26중(현황)'!J20:K20)</x:f>
        <x:v>8</x:v>
      </x:c>
    </x:row>
    <x:row r="16" spans="1:14">
      <x:c r="A16" t="str">
        <x:f>'[1]26중(현황)'!C21</x:f>
        <x:v>다산새봄중</x:v>
      </x:c>
      <x:c r="B16" t="s">
        <x:v>126</x:v>
      </x:c>
      <x:c r="C16">
        <x:f>'[1]26중(현황)'!F21</x:f>
        <x:v>3</x:v>
      </x:c>
      <x:c r="D16">
        <x:f>6*'[1]26중(현황)'!F21-'[1]26중(현황)'!M21+'[1]26중(현황)'!L21</x:f>
        <x:v>9</x:v>
      </x:c>
      <x:c r="E16" s="10">
        <x:f>D16+'[1]26중(현황)'!K21</x:f>
        <x:v>14</x:v>
      </x:c>
      <x:c r="F16" s="10">
        <x:f>E16+'[1]26중(현황)'!J21</x:f>
        <x:v>18</x:v>
      </x:c>
      <x:c r="H16" s="10">
        <x:f>'[1]26중(현황)'!L21</x:f>
        <x:v>7</x:v>
      </x:c>
      <x:c r="I16" s="10">
        <x:f>SUM('[1]26중(현황)'!K21:L21)</x:f>
        <x:v>12</x:v>
      </x:c>
      <x:c r="J16" s="10">
        <x:f>SUM('[1]26중(현황)'!J21:L21)</x:f>
        <x:v>16</x:v>
      </x:c>
      <x:c r="M16" s="10">
        <x:f>'[1]26중(현황)'!K21</x:f>
        <x:v>5</x:v>
      </x:c>
      <x:c r="N16" s="10">
        <x:f>SUM('[1]26중(현황)'!J21:K21)</x:f>
        <x:v>9</x:v>
      </x:c>
    </x:row>
    <x:row r="17" spans="1:14">
      <x:c r="A17" t="str">
        <x:f>'[1]26중(현황)'!C22</x:f>
        <x:v>다산한강중</x:v>
      </x:c>
      <x:c r="B17" t="s">
        <x:v>126</x:v>
      </x:c>
      <x:c r="C17">
        <x:f>'[1]26중(현황)'!F22</x:f>
        <x:v>1</x:v>
      </x:c>
      <x:c r="D17">
        <x:f>6*'[1]26중(현황)'!F22-'[1]26중(현황)'!M22+'[1]26중(현황)'!L22</x:f>
        <x:v>2</x:v>
      </x:c>
      <x:c r="E17" s="10">
        <x:f>D17+'[1]26중(현황)'!K22</x:f>
        <x:v>6</x:v>
      </x:c>
      <x:c r="F17" s="10">
        <x:f>E17+'[1]26중(현황)'!J22</x:f>
        <x:v>6</x:v>
      </x:c>
      <x:c r="H17" s="10">
        <x:f>'[1]26중(현황)'!L22</x:f>
        <x:v>3</x:v>
      </x:c>
      <x:c r="I17" s="10">
        <x:f>SUM('[1]26중(현황)'!K22:L22)</x:f>
        <x:v>7</x:v>
      </x:c>
      <x:c r="J17" s="10">
        <x:f>SUM('[1]26중(현황)'!J22:L22)</x:f>
        <x:v>7</x:v>
      </x:c>
      <x:c r="M17" s="10">
        <x:f>'[1]26중(현황)'!K22</x:f>
        <x:v>4</x:v>
      </x:c>
      <x:c r="N17" s="10">
        <x:f>SUM('[1]26중(현황)'!J22:K22)</x:f>
        <x:v>4</x:v>
      </x:c>
    </x:row>
    <x:row r="18" spans="1:14">
      <x:c r="A18" t="str">
        <x:f>'[1]26중(현황)'!C23</x:f>
        <x:v>덕소중</x:v>
      </x:c>
      <x:c r="B18" t="s">
        <x:v>126</x:v>
      </x:c>
      <x:c r="C18">
        <x:f>'[1]26중(현황)'!F23</x:f>
        <x:v>2</x:v>
      </x:c>
      <x:c r="D18">
        <x:f>6*'[1]26중(현황)'!F23-'[1]26중(현황)'!M23+'[1]26중(현황)'!L23</x:f>
        <x:v>7</x:v>
      </x:c>
      <x:c r="E18" s="10">
        <x:f>D18+'[1]26중(현황)'!K23</x:f>
        <x:v>10</x:v>
      </x:c>
      <x:c r="F18" s="10">
        <x:f>E18+'[1]26중(현황)'!J23</x:f>
        <x:v>12</x:v>
      </x:c>
      <x:c r="H18" s="10">
        <x:f>'[1]26중(현황)'!L23</x:f>
        <x:v>3</x:v>
      </x:c>
      <x:c r="I18" s="10">
        <x:f>SUM('[1]26중(현황)'!K23:L23)</x:f>
        <x:v>6</x:v>
      </x:c>
      <x:c r="J18" s="10">
        <x:f>SUM('[1]26중(현황)'!J23:L23)</x:f>
        <x:v>8</x:v>
      </x:c>
      <x:c r="M18" s="10">
        <x:f>'[1]26중(현황)'!K23</x:f>
        <x:v>3</x:v>
      </x:c>
      <x:c r="N18" s="10">
        <x:f>SUM('[1]26중(현황)'!J23:K23)</x:f>
        <x:v>5</x:v>
      </x:c>
    </x:row>
    <x:row r="19" spans="1:14">
      <x:c r="A19" t="str">
        <x:f>'[1]26중(현황)'!C24</x:f>
        <x:v>도농중</x:v>
      </x:c>
      <x:c r="B19" t="s">
        <x:v>126</x:v>
      </x:c>
      <x:c r="C19">
        <x:f>'[1]26중(현황)'!F24</x:f>
        <x:v>2</x:v>
      </x:c>
      <x:c r="D19">
        <x:f>6*'[1]26중(현황)'!F24-'[1]26중(현황)'!M24+'[1]26중(현황)'!L24</x:f>
        <x:v>3</x:v>
      </x:c>
      <x:c r="E19" s="10">
        <x:f>D19+'[1]26중(현황)'!K24</x:f>
        <x:v>6</x:v>
      </x:c>
      <x:c r="F19" s="10">
        <x:f>E19+'[1]26중(현황)'!J24</x:f>
        <x:v>12</x:v>
      </x:c>
      <x:c r="H19" s="10">
        <x:f>'[1]26중(현황)'!L24</x:f>
        <x:v>3</x:v>
      </x:c>
      <x:c r="I19" s="10">
        <x:f>SUM('[1]26중(현황)'!K24:L24)</x:f>
        <x:v>6</x:v>
      </x:c>
      <x:c r="J19" s="10">
        <x:f>SUM('[1]26중(현황)'!J24:L24)</x:f>
        <x:v>12</x:v>
      </x:c>
      <x:c r="M19" s="10">
        <x:f>'[1]26중(현황)'!K24</x:f>
        <x:v>3</x:v>
      </x:c>
      <x:c r="N19" s="10">
        <x:f>SUM('[1]26중(현황)'!J24:K24)</x:f>
        <x:v>9</x:v>
      </x:c>
    </x:row>
    <x:row r="20" spans="1:14">
      <x:c r="A20" t="str">
        <x:f>'[1]26중(현황)'!C25</x:f>
        <x:v>마석중</x:v>
      </x:c>
      <x:c r="B20" t="s">
        <x:v>126</x:v>
      </x:c>
      <x:c r="C20">
        <x:f>'[1]26중(현황)'!F25</x:f>
        <x:v>2</x:v>
      </x:c>
      <x:c r="D20">
        <x:f>6*'[1]26중(현황)'!F25-'[1]26중(현황)'!M25+'[1]26중(현황)'!L25</x:f>
        <x:v>4</x:v>
      </x:c>
      <x:c r="E20" s="10">
        <x:f>D20+'[1]26중(현황)'!K25</x:f>
        <x:v>8</x:v>
      </x:c>
      <x:c r="F20" s="10">
        <x:f>E20+'[1]26중(현황)'!J25</x:f>
        <x:v>12</x:v>
      </x:c>
      <x:c r="H20" s="10">
        <x:f>'[1]26중(현황)'!L25</x:f>
        <x:v>6</x:v>
      </x:c>
      <x:c r="I20" s="10">
        <x:f>SUM('[1]26중(현황)'!K25:L25)</x:f>
        <x:v>10</x:v>
      </x:c>
      <x:c r="J20" s="10">
        <x:f>SUM('[1]26중(현황)'!J25:L25)</x:f>
        <x:v>14</x:v>
      </x:c>
      <x:c r="M20" s="10">
        <x:f>'[1]26중(현황)'!K25</x:f>
        <x:v>4</x:v>
      </x:c>
      <x:c r="N20" s="10">
        <x:f>SUM('[1]26중(현황)'!J25:K25)</x:f>
        <x:v>8</x:v>
      </x:c>
    </x:row>
    <x:row r="21" spans="1:14">
      <x:c r="A21" t="str">
        <x:f>'[1]26중(현황)'!C26</x:f>
        <x:v>별가람중</x:v>
      </x:c>
      <x:c r="B21" t="s">
        <x:v>126</x:v>
      </x:c>
      <x:c r="C21">
        <x:f>'[1]26중(현황)'!F26</x:f>
        <x:v>1</x:v>
      </x:c>
      <x:c r="D21">
        <x:f>6*'[1]26중(현황)'!F26-'[1]26중(현황)'!M26+'[1]26중(현황)'!L26</x:f>
        <x:v>1</x:v>
      </x:c>
      <x:c r="E21" s="10">
        <x:f>D21+'[1]26중(현황)'!K26</x:f>
        <x:v>5</x:v>
      </x:c>
      <x:c r="F21" s="10">
        <x:f>E21+'[1]26중(현황)'!J26</x:f>
        <x:v>6</x:v>
      </x:c>
      <x:c r="H21" s="10">
        <x:f>'[1]26중(현황)'!L26</x:f>
        <x:v>3</x:v>
      </x:c>
      <x:c r="I21" s="10">
        <x:f>SUM('[1]26중(현황)'!K26:L26)</x:f>
        <x:v>7</x:v>
      </x:c>
      <x:c r="J21" s="10">
        <x:f>SUM('[1]26중(현황)'!J26:L26)</x:f>
        <x:v>8</x:v>
      </x:c>
      <x:c r="M21" s="10">
        <x:f>'[1]26중(현황)'!K26</x:f>
        <x:v>4</x:v>
      </x:c>
      <x:c r="N21" s="10">
        <x:f>SUM('[1]26중(현황)'!J26:K26)</x:f>
        <x:v>5</x:v>
      </x:c>
    </x:row>
    <x:row r="22" spans="1:14">
      <x:c r="A22" t="str">
        <x:f>'[1]26중(현황)'!C27</x:f>
        <x:v>별내중</x:v>
      </x:c>
      <x:c r="B22" t="s">
        <x:v>126</x:v>
      </x:c>
      <x:c r="C22">
        <x:f>'[1]26중(현황)'!F27</x:f>
        <x:v>1</x:v>
      </x:c>
      <x:c r="D22">
        <x:f>6*'[1]26중(현황)'!F27-'[1]26중(현황)'!M27+'[1]26중(현황)'!L27</x:f>
        <x:v>1</x:v>
      </x:c>
      <x:c r="E22" s="10">
        <x:f>D22+'[1]26중(현황)'!K27</x:f>
        <x:v>4</x:v>
      </x:c>
      <x:c r="F22" s="10">
        <x:f>E22+'[1]26중(현황)'!J27</x:f>
        <x:v>6</x:v>
      </x:c>
      <x:c r="H22" s="10">
        <x:f>'[1]26중(현황)'!L27</x:f>
        <x:v>1</x:v>
      </x:c>
      <x:c r="I22" s="10">
        <x:f>SUM('[1]26중(현황)'!K27:L27)</x:f>
        <x:v>4</x:v>
      </x:c>
      <x:c r="J22" s="10">
        <x:f>SUM('[1]26중(현황)'!J27:L27)</x:f>
        <x:v>6</x:v>
      </x:c>
      <x:c r="M22" s="10">
        <x:f>'[1]26중(현황)'!K27</x:f>
        <x:v>3</x:v>
      </x:c>
      <x:c r="N22" s="10">
        <x:f>SUM('[1]26중(현황)'!J27:K27)</x:f>
        <x:v>5</x:v>
      </x:c>
    </x:row>
    <x:row r="23" spans="1:14">
      <x:c r="A23" t="str">
        <x:f>'[1]26중(현황)'!C28</x:f>
        <x:v>송라중</x:v>
      </x:c>
      <x:c r="B23" t="s">
        <x:v>126</x:v>
      </x:c>
      <x:c r="C23">
        <x:f>'[1]26중(현황)'!F28</x:f>
        <x:v>3</x:v>
      </x:c>
      <x:c r="D23">
        <x:f>6*'[1]26중(현황)'!F28-'[1]26중(현황)'!M28+'[1]26중(현황)'!L28</x:f>
        <x:v>6</x:v>
      </x:c>
      <x:c r="E23" s="10">
        <x:f>D23+'[1]26중(현황)'!K28</x:f>
        <x:v>13</x:v>
      </x:c>
      <x:c r="F23" s="10">
        <x:f>E23+'[1]26중(현황)'!J28</x:f>
        <x:v>18</x:v>
      </x:c>
      <x:c r="H23" s="10">
        <x:f>'[1]26중(현황)'!L28</x:f>
        <x:v>6</x:v>
      </x:c>
      <x:c r="I23" s="10">
        <x:f>SUM('[1]26중(현황)'!K28:L28)</x:f>
        <x:v>13</x:v>
      </x:c>
      <x:c r="J23" s="10">
        <x:f>SUM('[1]26중(현황)'!J28:L28)</x:f>
        <x:v>18</x:v>
      </x:c>
      <x:c r="M23" s="10">
        <x:f>'[1]26중(현황)'!K28</x:f>
        <x:v>7</x:v>
      </x:c>
      <x:c r="N23" s="10">
        <x:f>SUM('[1]26중(현황)'!J28:K28)</x:f>
        <x:v>12</x:v>
      </x:c>
    </x:row>
    <x:row r="24" spans="1:14">
      <x:c r="A24" t="str">
        <x:f>'[1]26중(현황)'!C29</x:f>
        <x:v>수동중(사립)</x:v>
      </x:c>
      <x:c r="B24" t="s">
        <x:v>126</x:v>
      </x:c>
      <x:c r="C24">
        <x:f>'[1]26중(현황)'!F29</x:f>
        <x:v>1</x:v>
      </x:c>
      <x:c r="D24">
        <x:f>6*'[1]26중(현황)'!F29-'[1]26중(현황)'!M29+'[1]26중(현황)'!L29</x:f>
        <x:v>2</x:v>
      </x:c>
      <x:c r="E24" s="10">
        <x:f>D24+'[1]26중(현황)'!K29</x:f>
        <x:v>4</x:v>
      </x:c>
      <x:c r="F24" s="10">
        <x:f>E24+'[1]26중(현황)'!J29</x:f>
        <x:v>6</x:v>
      </x:c>
      <x:c r="H24" s="10">
        <x:f>'[1]26중(현황)'!L29</x:f>
        <x:v>2</x:v>
      </x:c>
      <x:c r="I24" s="10">
        <x:f>SUM('[1]26중(현황)'!K29:L29)</x:f>
        <x:v>4</x:v>
      </x:c>
      <x:c r="J24" s="10">
        <x:f>SUM('[1]26중(현황)'!J29:L29)</x:f>
        <x:v>6</x:v>
      </x:c>
      <x:c r="M24" s="10">
        <x:f>'[1]26중(현황)'!K29</x:f>
        <x:v>2</x:v>
      </x:c>
      <x:c r="N24" s="10">
        <x:f>SUM('[1]26중(현황)'!J29:K29)</x:f>
        <x:v>4</x:v>
      </x:c>
    </x:row>
    <x:row r="25" spans="1:14">
      <x:c r="A25" t="str">
        <x:f>'[1]26중(현황)'!C30</x:f>
        <x:v>양오중</x:v>
      </x:c>
      <x:c r="B25" t="s">
        <x:v>126</x:v>
      </x:c>
      <x:c r="C25">
        <x:f>'[1]26중(현황)'!F30</x:f>
        <x:v>2</x:v>
      </x:c>
      <x:c r="D25">
        <x:f>6*'[1]26중(현황)'!F30-'[1]26중(현황)'!M30+'[1]26중(현황)'!L30</x:f>
        <x:v>6</x:v>
      </x:c>
      <x:c r="E25" s="10">
        <x:f>D25+'[1]26중(현황)'!K30</x:f>
        <x:v>10</x:v>
      </x:c>
      <x:c r="F25" s="10">
        <x:f>E25+'[1]26중(현황)'!J30</x:f>
        <x:v>12</x:v>
      </x:c>
      <x:c r="H25" s="10">
        <x:f>'[1]26중(현황)'!L30</x:f>
        <x:v>1</x:v>
      </x:c>
      <x:c r="I25" s="10">
        <x:f>SUM('[1]26중(현황)'!K30:L30)</x:f>
        <x:v>5</x:v>
      </x:c>
      <x:c r="J25" s="10">
        <x:f>SUM('[1]26중(현황)'!J30:L30)</x:f>
        <x:v>7</x:v>
      </x:c>
      <x:c r="M25" s="10">
        <x:f>'[1]26중(현황)'!K30</x:f>
        <x:v>4</x:v>
      </x:c>
      <x:c r="N25" s="10">
        <x:f>SUM('[1]26중(현황)'!J30:K30)</x:f>
        <x:v>6</x:v>
      </x:c>
    </x:row>
    <x:row r="26" spans="1:14">
      <x:c r="A26" t="str">
        <x:f>'[1]26중(현황)'!C31</x:f>
        <x:v>어람중</x:v>
      </x:c>
      <x:c r="B26" t="s">
        <x:v>126</x:v>
      </x:c>
      <x:c r="C26">
        <x:f>'[1]26중(현황)'!F31</x:f>
        <x:v>1</x:v>
      </x:c>
      <x:c r="D26">
        <x:f>6*'[1]26중(현황)'!F31-'[1]26중(현황)'!M31+'[1]26중(현황)'!L31</x:f>
        <x:v>1</x:v>
      </x:c>
      <x:c r="E26" s="10">
        <x:f>D26+'[1]26중(현황)'!K31</x:f>
        <x:v>4</x:v>
      </x:c>
      <x:c r="F26" s="10">
        <x:f>E26+'[1]26중(현황)'!J31</x:f>
        <x:v>6</x:v>
      </x:c>
      <x:c r="H26" s="10">
        <x:f>'[1]26중(현황)'!L31</x:f>
        <x:v>4</x:v>
      </x:c>
      <x:c r="I26" s="10">
        <x:f>SUM('[1]26중(현황)'!K31:L31)</x:f>
        <x:v>7</x:v>
      </x:c>
      <x:c r="J26" s="10">
        <x:f>SUM('[1]26중(현황)'!J31:L31)</x:f>
        <x:v>9</x:v>
      </x:c>
      <x:c r="M26" s="10">
        <x:f>'[1]26중(현황)'!K31</x:f>
        <x:v>3</x:v>
      </x:c>
      <x:c r="N26" s="10">
        <x:f>SUM('[1]26중(현황)'!J31:K31)</x:f>
        <x:v>5</x:v>
      </x:c>
    </x:row>
    <x:row r="27" spans="1:14">
      <x:c r="A27" t="str">
        <x:f>'[1]26중(현황)'!C32</x:f>
        <x:v>예봉중</x:v>
      </x:c>
      <x:c r="B27" t="s">
        <x:v>126</x:v>
      </x:c>
      <x:c r="C27">
        <x:f>'[1]26중(현황)'!F32</x:f>
        <x:v>1</x:v>
      </x:c>
      <x:c r="D27">
        <x:f>6*'[1]26중(현황)'!F32-'[1]26중(현황)'!M32+'[1]26중(현황)'!L32</x:f>
        <x:v>5</x:v>
      </x:c>
      <x:c r="E27" s="10">
        <x:f>D27+'[1]26중(현황)'!K32</x:f>
        <x:v>6</x:v>
      </x:c>
      <x:c r="F27" s="10">
        <x:f>E27+'[1]26중(현황)'!J32</x:f>
        <x:v>6</x:v>
      </x:c>
      <x:c r="H27" s="10">
        <x:f>'[1]26중(현황)'!L32</x:f>
        <x:v>2</x:v>
      </x:c>
      <x:c r="I27" s="10">
        <x:f>SUM('[1]26중(현황)'!K32:L32)</x:f>
        <x:v>3</x:v>
      </x:c>
      <x:c r="J27" s="10">
        <x:f>SUM('[1]26중(현황)'!J32:L32)</x:f>
        <x:v>3</x:v>
      </x:c>
      <x:c r="M27" s="10">
        <x:f>'[1]26중(현황)'!K32</x:f>
        <x:v>1</x:v>
      </x:c>
      <x:c r="N27" s="10">
        <x:f>SUM('[1]26중(현황)'!J32:K32)</x:f>
        <x:v>1</x:v>
      </x:c>
    </x:row>
    <x:row r="28" spans="1:14">
      <x:c r="A28" t="str">
        <x:f>'[1]26중(현황)'!C33</x:f>
        <x:v>오남중</x:v>
      </x:c>
      <x:c r="B28" t="s">
        <x:v>126</x:v>
      </x:c>
      <x:c r="C28">
        <x:f>'[1]26중(현황)'!F33</x:f>
        <x:v>1</x:v>
      </x:c>
      <x:c r="D28">
        <x:f>6*'[1]26중(현황)'!F33-'[1]26중(현황)'!M33+'[1]26중(현황)'!L33</x:f>
        <x:v>3</x:v>
      </x:c>
      <x:c r="E28" s="10">
        <x:f>D28+'[1]26중(현황)'!K33</x:f>
        <x:v>4</x:v>
      </x:c>
      <x:c r="F28" s="10">
        <x:f>E28+'[1]26중(현황)'!J33</x:f>
        <x:v>6</x:v>
      </x:c>
      <x:c r="H28" s="10">
        <x:f>'[1]26중(현황)'!L33</x:f>
        <x:v>1</x:v>
      </x:c>
      <x:c r="I28" s="10">
        <x:f>SUM('[1]26중(현황)'!K33:L33)</x:f>
        <x:v>2</x:v>
      </x:c>
      <x:c r="J28" s="10">
        <x:f>SUM('[1]26중(현황)'!J33:L33)</x:f>
        <x:v>4</x:v>
      </x:c>
      <x:c r="M28" s="10">
        <x:f>'[1]26중(현황)'!K33</x:f>
        <x:v>1</x:v>
      </x:c>
      <x:c r="N28" s="10">
        <x:f>SUM('[1]26중(현황)'!J33:K33)</x:f>
        <x:v>3</x:v>
      </x:c>
    </x:row>
    <x:row r="29" spans="1:14">
      <x:c r="A29" t="str">
        <x:f>'[1]26중(현황)'!C34</x:f>
        <x:v>와부중</x:v>
      </x:c>
      <x:c r="B29" t="s">
        <x:v>126</x:v>
      </x:c>
      <x:c r="C29">
        <x:f>'[1]26중(현황)'!F34</x:f>
        <x:v>1</x:v>
      </x:c>
      <x:c r="D29">
        <x:f>6*'[1]26중(현황)'!F34-'[1]26중(현황)'!M34+'[1]26중(현황)'!L34</x:f>
        <x:v>2</x:v>
      </x:c>
      <x:c r="E29" s="10">
        <x:f>D29+'[1]26중(현황)'!K34</x:f>
        <x:v>5</x:v>
      </x:c>
      <x:c r="F29" s="10">
        <x:f>E29+'[1]26중(현황)'!J34</x:f>
        <x:v>6</x:v>
      </x:c>
      <x:c r="H29" s="10">
        <x:f>'[1]26중(현황)'!L34</x:f>
        <x:v>4</x:v>
      </x:c>
      <x:c r="I29" s="10">
        <x:f>SUM('[1]26중(현황)'!K34:L34)</x:f>
        <x:v>7</x:v>
      </x:c>
      <x:c r="J29" s="10">
        <x:f>SUM('[1]26중(현황)'!J34:L34)</x:f>
        <x:v>8</x:v>
      </x:c>
      <x:c r="M29" s="10">
        <x:f>'[1]26중(현황)'!K34</x:f>
        <x:v>3</x:v>
      </x:c>
      <x:c r="N29" s="10">
        <x:f>SUM('[1]26중(현황)'!J34:K34)</x:f>
        <x:v>4</x:v>
      </x:c>
    </x:row>
    <x:row r="30" spans="1:14">
      <x:c r="A30" t="str">
        <x:f>'[1]26중(현황)'!C35</x:f>
        <x:v>장내중</x:v>
      </x:c>
      <x:c r="B30" t="s">
        <x:v>126</x:v>
      </x:c>
      <x:c r="C30">
        <x:f>'[1]26중(현황)'!F35</x:f>
        <x:v>1</x:v>
      </x:c>
      <x:c r="D30">
        <x:f>6*'[1]26중(현황)'!F35-'[1]26중(현황)'!M35+'[1]26중(현황)'!L35</x:f>
        <x:v>0</x:v>
      </x:c>
      <x:c r="E30" s="10">
        <x:f>D30+'[1]26중(현황)'!K35</x:f>
        <x:v>3</x:v>
      </x:c>
      <x:c r="F30" s="10">
        <x:f>E30+'[1]26중(현황)'!J35</x:f>
        <x:v>6</x:v>
      </x:c>
      <x:c r="H30" s="10">
        <x:f>'[1]26중(현황)'!L35</x:f>
        <x:v>3</x:v>
      </x:c>
      <x:c r="I30" s="10">
        <x:f>SUM('[1]26중(현황)'!K35:L35)</x:f>
        <x:v>6</x:v>
      </x:c>
      <x:c r="J30" s="10">
        <x:f>SUM('[1]26중(현황)'!J35:L35)</x:f>
        <x:v>9</x:v>
      </x:c>
      <x:c r="M30" s="10">
        <x:f>'[1]26중(현황)'!K35</x:f>
        <x:v>3</x:v>
      </x:c>
      <x:c r="N30" s="10">
        <x:f>SUM('[1]26중(현황)'!J35:K35)</x:f>
        <x:v>6</x:v>
      </x:c>
    </x:row>
    <x:row r="31" spans="1:14">
      <x:c r="A31" t="str">
        <x:f>'[1]26중(현황)'!C36</x:f>
        <x:v>주곡중</x:v>
      </x:c>
      <x:c r="B31" t="s">
        <x:v>126</x:v>
      </x:c>
      <x:c r="C31">
        <x:f>'[1]26중(현황)'!F36</x:f>
        <x:v>1</x:v>
      </x:c>
      <x:c r="D31">
        <x:f>6*'[1]26중(현황)'!F36-'[1]26중(현황)'!M36+'[1]26중(현황)'!L36</x:f>
        <x:v>1</x:v>
      </x:c>
      <x:c r="E31" s="10">
        <x:f>D31+'[1]26중(현황)'!K36</x:f>
        <x:v>5</x:v>
      </x:c>
      <x:c r="F31" s="10">
        <x:f>E31+'[1]26중(현황)'!J36</x:f>
        <x:v>6</x:v>
      </x:c>
      <x:c r="H31" s="10">
        <x:f>'[1]26중(현황)'!L36</x:f>
        <x:v>2</x:v>
      </x:c>
      <x:c r="I31" s="10">
        <x:f>SUM('[1]26중(현황)'!K36:L36)</x:f>
        <x:v>6</x:v>
      </x:c>
      <x:c r="J31" s="10">
        <x:f>SUM('[1]26중(현황)'!J36:L36)</x:f>
        <x:v>7</x:v>
      </x:c>
      <x:c r="M31" s="10">
        <x:f>'[1]26중(현황)'!K36</x:f>
        <x:v>4</x:v>
      </x:c>
      <x:c r="N31" s="10">
        <x:f>SUM('[1]26중(현황)'!J36:K36)</x:f>
        <x:v>5</x:v>
      </x:c>
    </x:row>
    <x:row r="32" spans="1:14">
      <x:c r="A32" t="str">
        <x:f>'[1]26중(현황)'!C37</x:f>
        <x:v>진건중</x:v>
      </x:c>
      <x:c r="B32" t="s">
        <x:v>126</x:v>
      </x:c>
      <x:c r="C32">
        <x:f>'[1]26중(현황)'!F37</x:f>
        <x:v>2</x:v>
      </x:c>
      <x:c r="D32">
        <x:f>6*'[1]26중(현황)'!F37-'[1]26중(현황)'!M37+'[1]26중(현황)'!L37</x:f>
        <x:v>7</x:v>
      </x:c>
      <x:c r="E32" s="10">
        <x:f>D32+'[1]26중(현황)'!K37</x:f>
        <x:v>9</x:v>
      </x:c>
      <x:c r="F32" s="10">
        <x:f>E32+'[1]26중(현황)'!J37</x:f>
        <x:v>12</x:v>
      </x:c>
      <x:c r="H32" s="10">
        <x:f>'[1]26중(현황)'!L37</x:f>
        <x:v>3</x:v>
      </x:c>
      <x:c r="I32" s="10">
        <x:f>SUM('[1]26중(현황)'!K37:L37)</x:f>
        <x:v>5</x:v>
      </x:c>
      <x:c r="J32" s="10">
        <x:f>SUM('[1]26중(현황)'!J37:L37)</x:f>
        <x:v>8</x:v>
      </x:c>
      <x:c r="M32" s="10">
        <x:f>'[1]26중(현황)'!K37</x:f>
        <x:v>2</x:v>
      </x:c>
      <x:c r="N32" s="10">
        <x:f>SUM('[1]26중(현황)'!J37:K37)</x:f>
        <x:v>5</x:v>
      </x:c>
    </x:row>
    <x:row r="33" spans="1:14">
      <x:c r="A33" t="str">
        <x:f>'[1]26중(현황)'!C38</x:f>
        <x:v>진접중</x:v>
      </x:c>
      <x:c r="B33" t="s">
        <x:v>126</x:v>
      </x:c>
      <x:c r="C33">
        <x:f>'[1]26중(현황)'!F38</x:f>
        <x:v>2</x:v>
      </x:c>
      <x:c r="D33">
        <x:f>6*'[1]26중(현황)'!F38-'[1]26중(현황)'!M38+'[1]26중(현황)'!L38</x:f>
        <x:v>5</x:v>
      </x:c>
      <x:c r="E33" s="10">
        <x:f>D33+'[1]26중(현황)'!K38</x:f>
        <x:v>9</x:v>
      </x:c>
      <x:c r="F33" s="10">
        <x:f>E33+'[1]26중(현황)'!J38</x:f>
        <x:v>12</x:v>
      </x:c>
      <x:c r="H33" s="10">
        <x:f>'[1]26중(현황)'!L38</x:f>
        <x:v>6</x:v>
      </x:c>
      <x:c r="I33" s="10">
        <x:f>SUM('[1]26중(현황)'!K38:L38)</x:f>
        <x:v>10</x:v>
      </x:c>
      <x:c r="J33" s="10">
        <x:f>SUM('[1]26중(현황)'!J38:L38)</x:f>
        <x:v>13</x:v>
      </x:c>
      <x:c r="M33" s="10">
        <x:f>'[1]26중(현황)'!K38</x:f>
        <x:v>4</x:v>
      </x:c>
      <x:c r="N33" s="10">
        <x:f>SUM('[1]26중(현황)'!J38:K38)</x:f>
        <x:v>7</x:v>
      </x:c>
    </x:row>
    <x:row r="34" spans="1:14">
      <x:c r="A34" t="str">
        <x:f>'[1]26중(현황)'!C39</x:f>
        <x:v>천마중</x:v>
      </x:c>
      <x:c r="B34" t="s">
        <x:v>126</x:v>
      </x:c>
      <x:c r="C34">
        <x:f>'[1]26중(현황)'!F39</x:f>
        <x:v>1</x:v>
      </x:c>
      <x:c r="D34">
        <x:f>6*'[1]26중(현황)'!F39-'[1]26중(현황)'!M39+'[1]26중(현황)'!L39</x:f>
        <x:v>3</x:v>
      </x:c>
      <x:c r="E34" s="10">
        <x:f>D34+'[1]26중(현황)'!K39</x:f>
        <x:v>3</x:v>
      </x:c>
      <x:c r="F34" s="10">
        <x:f>E34+'[1]26중(현황)'!J39</x:f>
        <x:v>6</x:v>
      </x:c>
      <x:c r="H34" s="10">
        <x:f>'[1]26중(현황)'!L39</x:f>
        <x:v>4</x:v>
      </x:c>
      <x:c r="I34" s="10">
        <x:f>SUM('[1]26중(현황)'!K39:L39)</x:f>
        <x:v>4</x:v>
      </x:c>
      <x:c r="J34" s="10">
        <x:f>SUM('[1]26중(현황)'!J39:L39)</x:f>
        <x:v>7</x:v>
      </x:c>
      <x:c r="M34" s="10">
        <x:f>'[1]26중(현황)'!K39</x:f>
        <x:v>0</x:v>
      </x:c>
      <x:c r="N34" s="10">
        <x:f>SUM('[1]26중(현황)'!J39:K39)</x:f>
        <x:v>3</x:v>
      </x:c>
    </x:row>
    <x:row r="35" spans="1:14">
      <x:c r="A35" t="str">
        <x:f>'[1]26중(현황)'!C40</x:f>
        <x:v>퇴계원중</x:v>
      </x:c>
      <x:c r="B35" t="s">
        <x:v>126</x:v>
      </x:c>
      <x:c r="C35">
        <x:f>'[1]26중(현황)'!F40</x:f>
        <x:v>3</x:v>
      </x:c>
      <x:c r="D35">
        <x:f>6*'[1]26중(현황)'!F40-'[1]26중(현황)'!M40+'[1]26중(현황)'!L40</x:f>
        <x:v>12</x:v>
      </x:c>
      <x:c r="E35" s="10">
        <x:f>D35+'[1]26중(현황)'!K40</x:f>
        <x:v>15</x:v>
      </x:c>
      <x:c r="F35" s="10">
        <x:f>E35+'[1]26중(현황)'!J40</x:f>
        <x:v>18</x:v>
      </x:c>
      <x:c r="H35" s="10">
        <x:f>'[1]26중(현황)'!L40</x:f>
        <x:v>8</x:v>
      </x:c>
      <x:c r="I35" s="10">
        <x:f>SUM('[1]26중(현황)'!K40:L40)</x:f>
        <x:v>11</x:v>
      </x:c>
      <x:c r="J35" s="10">
        <x:f>SUM('[1]26중(현황)'!J40:L40)</x:f>
        <x:v>14</x:v>
      </x:c>
      <x:c r="M35" s="10">
        <x:f>'[1]26중(현황)'!K40</x:f>
        <x:v>3</x:v>
      </x:c>
      <x:c r="N35" s="10">
        <x:f>SUM('[1]26중(현황)'!J40:K40)</x:f>
        <x:v>6</x:v>
      </x:c>
    </x:row>
    <x:row r="36" spans="1:14">
      <x:c r="A36" t="str">
        <x:f>'[1]26중(현황)'!C41</x:f>
        <x:v>판곡중</x:v>
      </x:c>
      <x:c r="B36" t="s">
        <x:v>126</x:v>
      </x:c>
      <x:c r="C36">
        <x:f>'[1]26중(현황)'!F41</x:f>
        <x:v>1</x:v>
      </x:c>
      <x:c r="D36">
        <x:f>6*'[1]26중(현황)'!F41-'[1]26중(현황)'!M41+'[1]26중(현황)'!L41</x:f>
        <x:v>-1</x:v>
      </x:c>
      <x:c r="E36" s="10">
        <x:f>D36+'[1]26중(현황)'!K41</x:f>
        <x:v>2</x:v>
      </x:c>
      <x:c r="F36" s="10">
        <x:f>E36+'[1]26중(현황)'!J41</x:f>
        <x:v>6</x:v>
      </x:c>
      <x:c r="H36" s="10">
        <x:f>'[1]26중(현황)'!L41</x:f>
        <x:v>0</x:v>
      </x:c>
      <x:c r="I36" s="10">
        <x:f>SUM('[1]26중(현황)'!K41:L41)</x:f>
        <x:v>3</x:v>
      </x:c>
      <x:c r="J36" s="10">
        <x:f>SUM('[1]26중(현황)'!J41:L41)</x:f>
        <x:v>7</x:v>
      </x:c>
      <x:c r="M36" s="10">
        <x:f>'[1]26중(현황)'!K41</x:f>
        <x:v>3</x:v>
      </x:c>
      <x:c r="N36" s="10">
        <x:f>SUM('[1]26중(현황)'!J41:K41)</x:f>
        <x:v>7</x:v>
      </x:c>
    </x:row>
    <x:row r="37" spans="1:14">
      <x:c r="A37" t="str">
        <x:f>'[1]26중(현황)'!C42</x:f>
        <x:v>평내중</x:v>
      </x:c>
      <x:c r="B37" t="s">
        <x:v>126</x:v>
      </x:c>
      <x:c r="C37">
        <x:f>'[1]26중(현황)'!F42</x:f>
        <x:v>2</x:v>
      </x:c>
      <x:c r="D37">
        <x:f>6*'[1]26중(현황)'!F42-'[1]26중(현황)'!M42+'[1]26중(현황)'!L42</x:f>
        <x:v>3</x:v>
      </x:c>
      <x:c r="E37" s="10">
        <x:f>D37+'[1]26중(현황)'!K42</x:f>
        <x:v>9</x:v>
      </x:c>
      <x:c r="F37" s="10">
        <x:f>E37+'[1]26중(현황)'!J42</x:f>
        <x:v>12</x:v>
      </x:c>
      <x:c r="H37" s="10">
        <x:f>'[1]26중(현황)'!L42</x:f>
        <x:v>1</x:v>
      </x:c>
      <x:c r="I37" s="10">
        <x:f>SUM('[1]26중(현황)'!K42:L42)</x:f>
        <x:v>7</x:v>
      </x:c>
      <x:c r="J37" s="10">
        <x:f>SUM('[1]26중(현황)'!J42:L42)</x:f>
        <x:v>10</x:v>
      </x:c>
      <x:c r="M37" s="10">
        <x:f>'[1]26중(현황)'!K42</x:f>
        <x:v>6</x:v>
      </x:c>
      <x:c r="N37" s="10">
        <x:f>SUM('[1]26중(현황)'!J42:K42)</x:f>
        <x:v>9</x:v>
      </x:c>
    </x:row>
    <x:row r="38" spans="1:14">
      <x:c r="A38" s="7" t="str">
        <x:f>'[1]26중(현황)'!C42</x:f>
        <x:v>평내중</x:v>
      </x:c>
      <x:c r="B38" s="7" t="s">
        <x:v>135</x:v>
      </x:c>
      <x:c r="C38" s="7">
        <x:f>'[1]26중(현황)'!G42</x:f>
        <x:v>1</x:v>
      </x:c>
      <x:c r="D38" s="7">
        <x:f>4*'[1]26중(현황)'!G42-'[1]26중(현황)'!M43+'[1]26중(현황)'!L43</x:f>
        <x:v>2</x:v>
      </x:c>
      <x:c r="E38" s="10">
        <x:f>D38+'[1]26중(현황)'!K43</x:f>
        <x:v>4</x:v>
      </x:c>
      <x:c r="F38" s="10">
        <x:f>E38+'[1]26중(현황)'!J43</x:f>
        <x:v>4</x:v>
      </x:c>
      <x:c r="H38" s="10">
        <x:f>'[1]26중(현황)'!L43</x:f>
        <x:v>2</x:v>
      </x:c>
      <x:c r="I38" s="10">
        <x:f>SUM('[1]26중(현황)'!K43:L43)</x:f>
        <x:v>4</x:v>
      </x:c>
      <x:c r="J38" s="10">
        <x:f>SUM('[1]26중(현황)'!J43:L43)</x:f>
        <x:v>4</x:v>
      </x:c>
      <x:c r="M38" s="10">
        <x:f>'[1]26중(현황)'!K43</x:f>
        <x:v>2</x:v>
      </x:c>
      <x:c r="N38" s="10">
        <x:f>SUM('[1]26중(현황)'!J43:K43)</x:f>
        <x:v>2</x:v>
      </x:c>
    </x:row>
    <x:row r="39" spans="1:14">
      <x:c r="A39" t="str">
        <x:f>'[1]26중(현황)'!C44</x:f>
        <x:v>풍양중</x:v>
      </x:c>
      <x:c r="B39" t="s">
        <x:v>126</x:v>
      </x:c>
      <x:c r="C39">
        <x:f>'[1]26중(현황)'!F44</x:f>
        <x:v>2</x:v>
      </x:c>
      <x:c r="D39">
        <x:f>6*'[1]26중(현황)'!F44-'[1]26중(현황)'!M44+'[1]26중(현황)'!L44</x:f>
        <x:v>2</x:v>
      </x:c>
      <x:c r="E39" s="10">
        <x:f>D39+'[1]26중(현황)'!K44</x:f>
        <x:v>8</x:v>
      </x:c>
      <x:c r="F39" s="10">
        <x:f>E39+'[1]26중(현황)'!J44</x:f>
        <x:v>12</x:v>
      </x:c>
      <x:c r="H39" s="10">
        <x:f>'[1]26중(현황)'!L44</x:f>
        <x:v>4</x:v>
      </x:c>
      <x:c r="I39" s="10">
        <x:f>SUM('[1]26중(현황)'!K44:L44)</x:f>
        <x:v>10</x:v>
      </x:c>
      <x:c r="J39" s="10">
        <x:f>SUM('[1]26중(현황)'!J44:L44)</x:f>
        <x:v>14</x:v>
      </x:c>
      <x:c r="M39" s="10">
        <x:f>'[1]26중(현황)'!K44</x:f>
        <x:v>6</x:v>
      </x:c>
      <x:c r="N39" s="10">
        <x:f>SUM('[1]26중(현황)'!J44:K44)</x:f>
        <x:v>10</x:v>
      </x:c>
    </x:row>
    <x:row r="40" spans="1:14">
      <x:c r="A40" t="str">
        <x:f>'[1]26중(현황)'!C45</x:f>
        <x:v>하랑중</x:v>
      </x:c>
      <x:c r="B40" t="s">
        <x:v>126</x:v>
      </x:c>
      <x:c r="C40">
        <x:f>'[1]26중(현황)'!F45</x:f>
        <x:v>1</x:v>
      </x:c>
      <x:c r="D40">
        <x:f>6*'[1]26중(현황)'!F45-'[1]26중(현황)'!M45+'[1]26중(현황)'!L45</x:f>
        <x:v>3</x:v>
      </x:c>
      <x:c r="E40" s="10">
        <x:f>D40+'[1]26중(현황)'!K45</x:f>
        <x:v>3</x:v>
      </x:c>
      <x:c r="F40" s="10">
        <x:f>E40+'[1]26중(현황)'!J45</x:f>
        <x:v>6</x:v>
      </x:c>
      <x:c r="H40" s="10">
        <x:f>'[1]26중(현황)'!L45</x:f>
        <x:v>1</x:v>
      </x:c>
      <x:c r="I40" s="10">
        <x:f>SUM('[1]26중(현황)'!K45:L45)</x:f>
        <x:v>1</x:v>
      </x:c>
      <x:c r="J40" s="10">
        <x:f>SUM('[1]26중(현황)'!J45:L45)</x:f>
        <x:v>4</x:v>
      </x:c>
      <x:c r="M40" s="10">
        <x:f>'[1]26중(현황)'!K45</x:f>
        <x:v>0</x:v>
      </x:c>
      <x:c r="N40" s="10">
        <x:f>SUM('[1]26중(현황)'!J45:K45)</x:f>
        <x:v>3</x:v>
      </x:c>
    </x:row>
    <x:row r="41" spans="1:14">
      <x:c r="A41" t="str">
        <x:f>'[1]26중(현황)'!C46</x:f>
        <x:v>한별중</x:v>
      </x:c>
      <x:c r="B41" t="s">
        <x:v>126</x:v>
      </x:c>
      <x:c r="C41">
        <x:f>'[1]26중(현황)'!F46</x:f>
        <x:v>2</x:v>
      </x:c>
      <x:c r="D41">
        <x:f>6*'[1]26중(현황)'!F46-'[1]26중(현황)'!M46+'[1]26중(현황)'!L46</x:f>
        <x:v>4</x:v>
      </x:c>
      <x:c r="E41" s="10">
        <x:f>D41+'[1]26중(현황)'!K46</x:f>
        <x:v>7</x:v>
      </x:c>
      <x:c r="F41" s="10">
        <x:f>E41+'[1]26중(현황)'!J46</x:f>
        <x:v>12</x:v>
      </x:c>
      <x:c r="H41" s="10">
        <x:f>'[1]26중(현황)'!L46</x:f>
        <x:v>3</x:v>
      </x:c>
      <x:c r="I41" s="10">
        <x:f>SUM('[1]26중(현황)'!K46:L46)</x:f>
        <x:v>6</x:v>
      </x:c>
      <x:c r="J41" s="10">
        <x:f>SUM('[1]26중(현황)'!J46:L46)</x:f>
        <x:v>11</x:v>
      </x:c>
      <x:c r="M41" s="10">
        <x:f>'[1]26중(현황)'!K46</x:f>
        <x:v>3</x:v>
      </x:c>
      <x:c r="N41" s="10">
        <x:f>SUM('[1]26중(현황)'!J46:K46)</x:f>
        <x:v>8</x:v>
      </x:c>
    </x:row>
    <x:row r="42" spans="1:14">
      <x:c r="A42" t="str">
        <x:f>'[1]26중(현황)'!C47</x:f>
        <x:v>호평중</x:v>
      </x:c>
      <x:c r="B42" t="s">
        <x:v>126</x:v>
      </x:c>
      <x:c r="C42">
        <x:f>'[1]26중(현황)'!F47</x:f>
        <x:v>2</x:v>
      </x:c>
      <x:c r="D42">
        <x:f>6*'[1]26중(현황)'!F47-'[1]26중(현황)'!M47+'[1]26중(현황)'!L47</x:f>
        <x:v>4</x:v>
      </x:c>
      <x:c r="E42" s="10">
        <x:f>D42+'[1]26중(현황)'!K47</x:f>
        <x:v>7</x:v>
      </x:c>
      <x:c r="F42" s="10">
        <x:f>E42+'[1]26중(현황)'!J47</x:f>
        <x:v>12</x:v>
      </x:c>
      <x:c r="H42" s="10">
        <x:f>'[1]26중(현황)'!L47</x:f>
        <x:v>1</x:v>
      </x:c>
      <x:c r="I42" s="10">
        <x:f>SUM('[1]26중(현황)'!K47:L47)</x:f>
        <x:v>4</x:v>
      </x:c>
      <x:c r="J42" s="10">
        <x:f>SUM('[1]26중(현황)'!J47:L47)</x:f>
        <x:v>9</x:v>
      </x:c>
      <x:c r="M42" s="10">
        <x:f>'[1]26중(현황)'!K47</x:f>
        <x:v>3</x:v>
      </x:c>
      <x:c r="N42" s="10">
        <x:f>SUM('[1]26중(현황)'!J47:K47)</x:f>
        <x:v>8</x:v>
      </x:c>
    </x:row>
    <x:row r="43" spans="1:14">
      <x:c r="A43" t="str">
        <x:f>'[1]26중(현황)'!C48</x:f>
        <x:v>화접중</x:v>
      </x:c>
      <x:c r="B43" t="s">
        <x:v>126</x:v>
      </x:c>
      <x:c r="C43">
        <x:f>'[1]26중(현황)'!F48</x:f>
        <x:v>2</x:v>
      </x:c>
      <x:c r="D43">
        <x:f>6*'[1]26중(현황)'!F48-'[1]26중(현황)'!M48+'[1]26중(현황)'!L48</x:f>
        <x:v>5</x:v>
      </x:c>
      <x:c r="E43" s="10">
        <x:f>D43+'[1]26중(현황)'!K48</x:f>
        <x:v>9</x:v>
      </x:c>
      <x:c r="F43" s="10">
        <x:f>E43+'[1]26중(현황)'!J48</x:f>
        <x:v>12</x:v>
      </x:c>
      <x:c r="H43" s="10">
        <x:f>'[1]26중(현황)'!L48</x:f>
        <x:v>3</x:v>
      </x:c>
      <x:c r="I43" s="10">
        <x:f>SUM('[1]26중(현황)'!K48:L48)</x:f>
        <x:v>7</x:v>
      </x:c>
      <x:c r="J43" s="10">
        <x:f>SUM('[1]26중(현황)'!J48:L48)</x:f>
        <x:v>10</x:v>
      </x:c>
      <x:c r="M43" s="10">
        <x:f>'[1]26중(현황)'!K48</x:f>
        <x:v>4</x:v>
      </x:c>
      <x:c r="N43" s="10">
        <x:f>SUM('[1]26중(현황)'!J48:K48)</x:f>
        <x:v>7</x:v>
      </x:c>
    </x:row>
    <x:row r="44" spans="1:14">
      <x:c r="A44" s="7" t="s">
        <x:v>187</x:v>
      </x:c>
      <x:c r="B44" s="7" t="s">
        <x:v>135</x:v>
      </x:c>
      <x:c r="C44" s="7">
        <x:f>'[1]26경은(현황)'!D7</x:f>
        <x:v>1</x:v>
      </x:c>
      <x:c r="D44" s="7">
        <x:f>4*'[1]26경은(현황)'!D7-'[1]26경은(현황)'!F8-'[1]26경은(현황)'!G8</x:f>
        <x:v>3</x:v>
      </x:c>
      <x:c r="E44" s="10">
        <x:f>D44+'[1]26경은(현황)'!G8</x:f>
        <x:v>3</x:v>
      </x:c>
      <x:c r="F44" s="10">
        <x:f>E44+'[1]26경은(현황)'!F8</x:f>
        <x:v>4</x:v>
      </x:c>
      <x:c r="H44">
        <x:f>'[1]26경은(현황)'!H8</x:f>
        <x:v>3</x:v>
      </x:c>
      <x:c r="I44">
        <x:f>SUM('[1]26경은(현황)'!G8:H8)</x:f>
        <x:v>3</x:v>
      </x:c>
      <x:c r="J44">
        <x:f>SUM('[1]26경은(현황)'!F8:H8)</x:f>
        <x:v>4</x:v>
      </x:c>
      <x:c r="M44">
        <x:f>'[1]26경은(현황)'!G8</x:f>
        <x:v>0</x:v>
      </x:c>
      <x:c r="N44">
        <x:f>SUM('[1]26경은(현황)'!F8:G8)</x:f>
        <x:v>1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N27"/>
  <x:sheetViews>
    <x:sheetView tabSelected="1" topLeftCell="A5" zoomScaleNormal="100" zoomScaleSheetLayoutView="100" workbookViewId="0">
      <x:selection activeCell="A2" activeCellId="0" sqref="A2:N27"/>
    </x:sheetView>
  </x:sheetViews>
  <x:sheetFormatPr defaultColWidth="9.00390625" defaultRowHeight="16.39999999999999857891"/>
  <x:cols>
    <x:col min="1" max="1" width="17.4609375" bestFit="1" customWidth="1"/>
    <x:col min="2" max="2" width="12.3984375" bestFit="1" customWidth="1"/>
    <x:col min="3" max="3" width="7.3359375" bestFit="1" customWidth="1"/>
    <x:col min="4" max="6" width="13.79296875" bestFit="1" customWidth="1"/>
    <x:col min="8" max="10" width="13.79296875" bestFit="1" customWidth="1"/>
    <x:col min="12" max="14" width="13.79296875" bestFit="1" customWidth="1"/>
  </x:cols>
  <x:sheetData>
    <x:row r="1" spans="1:14" ht="32.75">
      <x:c r="A1" s="2" t="s">
        <x:v>70</x:v>
      </x:c>
      <x:c r="B1" s="2" t="s">
        <x:v>145</x:v>
      </x:c>
      <x:c r="C1" s="2" t="s">
        <x:v>140</x:v>
      </x:c>
      <x:c r="D1" s="8" t="s">
        <x:v>176</x:v>
      </x:c>
      <x:c r="E1" s="11" t="s">
        <x:v>179</x:v>
      </x:c>
      <x:c r="F1" s="11" t="s">
        <x:v>178</x:v>
      </x:c>
      <x:c r="H1" s="11" t="s">
        <x:v>182</x:v>
      </x:c>
      <x:c r="I1" s="11" t="s">
        <x:v>177</x:v>
      </x:c>
      <x:c r="J1" s="11" t="s">
        <x:v>180</x:v>
      </x:c>
      <x:c r="L1" s="11" t="s">
        <x:v>184</x:v>
      </x:c>
      <x:c r="M1" s="8" t="s">
        <x:v>175</x:v>
      </x:c>
      <x:c r="N1" s="8" t="s">
        <x:v>181</x:v>
      </x:c>
    </x:row>
    <x:row r="2" spans="1:14">
      <x:c r="A2" t="str">
        <x:f>'[1]26고(현황)'!C7</x:f>
        <x:v>갈매고</x:v>
      </x:c>
      <x:c r="B2" t="s">
        <x:v>126</x:v>
      </x:c>
      <x:c r="C2">
        <x:f>'[1]26고(현황)'!F7</x:f>
        <x:v>1</x:v>
      </x:c>
      <x:c r="D2">
        <x:f>7*'[1]26고(현황)'!F7-'[1]26고(현황)'!N7+'[1]26고(현황)'!M7</x:f>
        <x:v>3</x:v>
      </x:c>
      <x:c r="E2">
        <x:f>D2+'[1]26고(현황)'!L7</x:f>
        <x:v>5</x:v>
      </x:c>
      <x:c r="F2">
        <x:f>E2+'[1]26고(현황)'!K7</x:f>
        <x:v>7</x:v>
      </x:c>
      <x:c r="H2">
        <x:f>'[1]26고(현황)'!M7</x:f>
        <x:v>1</x:v>
      </x:c>
      <x:c r="I2">
        <x:f>SUM('[1]26고(현황)'!L7:M7)</x:f>
        <x:v>3</x:v>
      </x:c>
      <x:c r="J2">
        <x:f>SUM('[1]26고(현황)'!K7:M7)</x:f>
        <x:v>5</x:v>
      </x:c>
      <x:c r="M2">
        <x:f>'[1]26고(현황)'!L7</x:f>
        <x:v>2</x:v>
      </x:c>
      <x:c r="N2">
        <x:f>SUM('[1]26고(현황)'!K7:L7)</x:f>
        <x:v>4</x:v>
      </x:c>
    </x:row>
    <x:row r="3" spans="1:14">
      <x:c r="A3" t="str">
        <x:f>'[1]26고(현황)'!C8</x:f>
        <x:v>구리여자고</x:v>
      </x:c>
      <x:c r="B3" t="s">
        <x:v>126</x:v>
      </x:c>
      <x:c r="C3">
        <x:f>'[1]26고(현황)'!F8</x:f>
        <x:v>2</x:v>
      </x:c>
      <x:c r="D3">
        <x:f>7*'[1]26고(현황)'!F8-'[1]26고(현황)'!N8+'[1]26고(현황)'!M8</x:f>
        <x:v>6</x:v>
      </x:c>
      <x:c r="E3" s="10">
        <x:f>D3+'[1]26고(현황)'!L8</x:f>
        <x:v>10</x:v>
      </x:c>
      <x:c r="F3" s="10">
        <x:f>E3+'[1]26고(현황)'!K8</x:f>
        <x:v>14</x:v>
      </x:c>
      <x:c r="H3" s="10">
        <x:f>'[1]26고(현황)'!M8</x:f>
        <x:v>1</x:v>
      </x:c>
      <x:c r="I3" s="10">
        <x:f>SUM('[1]26고(현황)'!L8:M8)</x:f>
        <x:v>5</x:v>
      </x:c>
      <x:c r="J3" s="10">
        <x:f>SUM('[1]26고(현황)'!K8:M8)</x:f>
        <x:v>9</x:v>
      </x:c>
      <x:c r="K3" s="10"/>
      <x:c r="L3" s="10"/>
      <x:c r="M3" s="10">
        <x:f>'[1]26고(현황)'!L8</x:f>
        <x:v>4</x:v>
      </x:c>
      <x:c r="N3" s="10">
        <x:f>SUM('[1]26고(현황)'!K8:L8)</x:f>
        <x:v>8</x:v>
      </x:c>
    </x:row>
    <x:row r="4" spans="1:14">
      <x:c r="A4" t="str">
        <x:f>'[1]26고(현황)'!C9</x:f>
        <x:v>수택고</x:v>
      </x:c>
      <x:c r="B4" t="s">
        <x:v>126</x:v>
      </x:c>
      <x:c r="C4">
        <x:f>'[1]26고(현황)'!F9</x:f>
        <x:v>2</x:v>
      </x:c>
      <x:c r="D4">
        <x:f>7*'[1]26고(현황)'!F9-'[1]26고(현황)'!N9+'[1]26고(현황)'!M9</x:f>
        <x:v>8</x:v>
      </x:c>
      <x:c r="E4" s="10">
        <x:f>D4+'[1]26고(현황)'!L9</x:f>
        <x:v>10</x:v>
      </x:c>
      <x:c r="F4" s="10">
        <x:f>E4+'[1]26고(현황)'!K9</x:f>
        <x:v>14</x:v>
      </x:c>
      <x:c r="H4" s="10">
        <x:f>'[1]26고(현황)'!M9</x:f>
        <x:v>8</x:v>
      </x:c>
      <x:c r="I4" s="10">
        <x:f>SUM('[1]26고(현황)'!L9:M9)</x:f>
        <x:v>10</x:v>
      </x:c>
      <x:c r="J4" s="10">
        <x:f>SUM('[1]26고(현황)'!K9:M9)</x:f>
        <x:v>14</x:v>
      </x:c>
      <x:c r="K4" s="10"/>
      <x:c r="L4" s="10"/>
      <x:c r="M4" s="10">
        <x:f>'[1]26고(현황)'!L9</x:f>
        <x:v>2</x:v>
      </x:c>
      <x:c r="N4" s="10">
        <x:f>SUM('[1]26고(현황)'!K9:L9)</x:f>
        <x:v>6</x:v>
      </x:c>
    </x:row>
    <x:row r="5" spans="1:14">
      <x:c r="A5" s="9" t="str">
        <x:f>'[1]26고(현황)'!C9</x:f>
        <x:v>수택고</x:v>
      </x:c>
      <x:c r="B5" s="9" t="s">
        <x:v>150</x:v>
      </x:c>
      <x:c r="C5" s="9">
        <x:f>'[1]26고(현황)'!H9</x:f>
        <x:v>2</x:v>
      </x:c>
      <x:c r="D5" s="9">
        <x:f>4*'[1]26고(현황)'!H9-'[1]26고(현황)'!N10+'[1]26고(현황)'!M10</x:f>
        <x:v>1</x:v>
      </x:c>
      <x:c r="E5" s="10">
        <x:f>D5+'[1]26고(현황)'!L10</x:f>
        <x:v>7</x:v>
      </x:c>
      <x:c r="F5" s="10">
        <x:f>E5+'[1]26고(현황)'!K10</x:f>
        <x:v>8</x:v>
      </x:c>
      <x:c r="H5" s="10">
        <x:f>'[1]26고(현황)'!M10</x:f>
        <x:v>1</x:v>
      </x:c>
      <x:c r="I5" s="10">
        <x:f>SUM('[1]26고(현황)'!L10:M10)</x:f>
        <x:v>7</x:v>
      </x:c>
      <x:c r="J5" s="10">
        <x:f>SUM('[1]26고(현황)'!K10:M10)</x:f>
        <x:v>8</x:v>
      </x:c>
      <x:c r="K5" s="10"/>
      <x:c r="L5" s="10"/>
      <x:c r="M5" s="10">
        <x:f>'[1]26고(현황)'!L10</x:f>
        <x:v>6</x:v>
      </x:c>
      <x:c r="N5" s="10">
        <x:f>SUM('[1]26고(현황)'!K10:L10)</x:f>
        <x:v>7</x:v>
      </x:c>
    </x:row>
    <x:row r="6" spans="1:14">
      <x:c r="A6" t="str">
        <x:f>'[1]26고(현황)'!C11</x:f>
        <x:v>인창고</x:v>
      </x:c>
      <x:c r="B6" t="s">
        <x:v>126</x:v>
      </x:c>
      <x:c r="C6">
        <x:f>'[1]26고(현황)'!F11</x:f>
        <x:v>2</x:v>
      </x:c>
      <x:c r="D6">
        <x:f>7*'[1]26고(현황)'!F11-'[1]26고(현황)'!N11+'[1]26고(현황)'!M11</x:f>
        <x:v>4</x:v>
      </x:c>
      <x:c r="E6" s="10">
        <x:f>D6+'[1]26고(현황)'!L11</x:f>
        <x:v>6</x:v>
      </x:c>
      <x:c r="F6" s="10">
        <x:f>E6+'[1]26고(현황)'!K11</x:f>
        <x:v>14</x:v>
      </x:c>
      <x:c r="H6" s="10">
        <x:f>'[1]26고(현황)'!M11</x:f>
        <x:v>4</x:v>
      </x:c>
      <x:c r="I6" s="10">
        <x:f>SUM('[1]26고(현황)'!L11:M11)</x:f>
        <x:v>6</x:v>
      </x:c>
      <x:c r="J6" s="10">
        <x:f>SUM('[1]26고(현황)'!K11:M11)</x:f>
        <x:v>14</x:v>
      </x:c>
      <x:c r="K6" s="10"/>
      <x:c r="L6" s="10"/>
      <x:c r="M6" s="10">
        <x:f>'[1]26고(현황)'!L11</x:f>
        <x:v>2</x:v>
      </x:c>
      <x:c r="N6" s="10">
        <x:f>SUM('[1]26고(현황)'!K11:L11)</x:f>
        <x:v>10</x:v>
      </x:c>
    </x:row>
    <x:row r="7" spans="1:14">
      <x:c r="A7" t="str">
        <x:f>'[1]26고(현황)'!C12</x:f>
        <x:v>토평고</x:v>
      </x:c>
      <x:c r="B7" t="s">
        <x:v>126</x:v>
      </x:c>
      <x:c r="C7">
        <x:f>'[1]26고(현황)'!F12</x:f>
        <x:v>3</x:v>
      </x:c>
      <x:c r="D7">
        <x:f>7*'[1]26고(현황)'!F12-'[1]26고(현황)'!N12+'[1]26고(현황)'!M12</x:f>
        <x:v>10</x:v>
      </x:c>
      <x:c r="E7" s="10">
        <x:f>D7+'[1]26고(현황)'!L12</x:f>
        <x:v>13</x:v>
      </x:c>
      <x:c r="F7" s="10">
        <x:f>E7+'[1]26고(현황)'!K12</x:f>
        <x:v>21</x:v>
      </x:c>
      <x:c r="H7" s="10">
        <x:f>'[1]26고(현황)'!M12</x:f>
        <x:v>5</x:v>
      </x:c>
      <x:c r="I7" s="10">
        <x:f>SUM('[1]26고(현황)'!L12:M12)</x:f>
        <x:v>8</x:v>
      </x:c>
      <x:c r="J7" s="10">
        <x:f>SUM('[1]26고(현황)'!K12:M12)</x:f>
        <x:v>16</x:v>
      </x:c>
      <x:c r="K7" s="10"/>
      <x:c r="L7" s="10"/>
      <x:c r="M7" s="10">
        <x:f>'[1]26고(현황)'!L12</x:f>
        <x:v>3</x:v>
      </x:c>
      <x:c r="N7" s="10">
        <x:f>SUM('[1]26고(현황)'!K12:L12)</x:f>
        <x:v>11</x:v>
      </x:c>
    </x:row>
    <x:row r="8" spans="1:14">
      <x:c r="A8" t="str">
        <x:f>'[1]26고(현황)'!C13</x:f>
        <x:v>가운고</x:v>
      </x:c>
      <x:c r="B8" t="s">
        <x:v>126</x:v>
      </x:c>
      <x:c r="C8">
        <x:f>'[1]26고(현황)'!F13</x:f>
        <x:v>1</x:v>
      </x:c>
      <x:c r="D8">
        <x:f>7*'[1]26고(현황)'!F13-'[1]26고(현황)'!N13+'[1]26고(현황)'!M13</x:f>
        <x:v>2</x:v>
      </x:c>
      <x:c r="E8" s="10">
        <x:f>D8+'[1]26고(현황)'!L13</x:f>
        <x:v>6</x:v>
      </x:c>
      <x:c r="F8" s="10">
        <x:f>E8+'[1]26고(현황)'!K13</x:f>
        <x:v>7</x:v>
      </x:c>
      <x:c r="H8" s="10">
        <x:f>'[1]26고(현황)'!M13</x:f>
        <x:v>2</x:v>
      </x:c>
      <x:c r="I8" s="10">
        <x:f>SUM('[1]26고(현황)'!L13:M13)</x:f>
        <x:v>6</x:v>
      </x:c>
      <x:c r="J8" s="10">
        <x:f>SUM('[1]26고(현황)'!K13:M13)</x:f>
        <x:v>7</x:v>
      </x:c>
      <x:c r="K8" s="10"/>
      <x:c r="L8" s="10"/>
      <x:c r="M8" s="10">
        <x:f>'[1]26고(현황)'!L13</x:f>
        <x:v>4</x:v>
      </x:c>
      <x:c r="N8" s="10">
        <x:f>SUM('[1]26고(현황)'!K13:L13)</x:f>
        <x:v>5</x:v>
      </x:c>
    </x:row>
    <x:row r="9" spans="1:14">
      <x:c r="A9" t="str">
        <x:f>'[1]26고(현황)'!C14</x:f>
        <x:v>남양주고</x:v>
      </x:c>
      <x:c r="B9" t="s">
        <x:v>126</x:v>
      </x:c>
      <x:c r="C9">
        <x:f>'[1]26고(현황)'!F14</x:f>
        <x:v>2</x:v>
      </x:c>
      <x:c r="D9">
        <x:f>7*'[1]26고(현황)'!F14-'[1]26고(현황)'!N14+'[1]26고(현황)'!M14</x:f>
        <x:v>5</x:v>
      </x:c>
      <x:c r="E9" s="10">
        <x:f>D9+'[1]26고(현황)'!L14</x:f>
        <x:v>12</x:v>
      </x:c>
      <x:c r="F9" s="10">
        <x:f>E9+'[1]26고(현황)'!K14</x:f>
        <x:v>14</x:v>
      </x:c>
      <x:c r="H9" s="10">
        <x:f>'[1]26고(현황)'!M14</x:f>
        <x:v>6</x:v>
      </x:c>
      <x:c r="I9" s="10">
        <x:f>SUM('[1]26고(현황)'!L14:M14)</x:f>
        <x:v>13</x:v>
      </x:c>
      <x:c r="J9" s="10">
        <x:f>SUM('[1]26고(현황)'!K14:M14)</x:f>
        <x:v>15</x:v>
      </x:c>
      <x:c r="K9" s="10"/>
      <x:c r="L9" s="10"/>
      <x:c r="M9" s="10">
        <x:f>'[1]26고(현황)'!L14</x:f>
        <x:v>7</x:v>
      </x:c>
      <x:c r="N9" s="10">
        <x:f>SUM('[1]26고(현황)'!K14:L14)</x:f>
        <x:v>9</x:v>
      </x:c>
    </x:row>
    <x:row r="10" spans="1:14">
      <x:c r="A10" t="str">
        <x:f>'[1]26고(현황)'!C15</x:f>
        <x:v>남양주다산고</x:v>
      </x:c>
      <x:c r="B10" t="s">
        <x:v>126</x:v>
      </x:c>
      <x:c r="C10">
        <x:f>'[1]26고(현황)'!F15</x:f>
        <x:v>2</x:v>
      </x:c>
      <x:c r="D10">
        <x:f>7*'[1]26고(현황)'!F15-'[1]26고(현황)'!N15+'[1]26고(현황)'!M15</x:f>
        <x:v>8</x:v>
      </x:c>
      <x:c r="E10" s="10">
        <x:f>D10+'[1]26고(현황)'!L15</x:f>
        <x:v>12</x:v>
      </x:c>
      <x:c r="F10" s="10">
        <x:f>E10+'[1]26고(현황)'!K15</x:f>
        <x:v>14</x:v>
      </x:c>
      <x:c r="H10" s="10">
        <x:f>'[1]26고(현황)'!M15</x:f>
        <x:v>6</x:v>
      </x:c>
      <x:c r="I10" s="10">
        <x:f>SUM('[1]26고(현황)'!L15:M15)</x:f>
        <x:v>10</x:v>
      </x:c>
      <x:c r="J10" s="10">
        <x:f>SUM('[1]26고(현황)'!K15:M15)</x:f>
        <x:v>12</x:v>
      </x:c>
      <x:c r="K10" s="10"/>
      <x:c r="L10" s="10"/>
      <x:c r="M10" s="10">
        <x:f>'[1]26고(현황)'!L15</x:f>
        <x:v>4</x:v>
      </x:c>
      <x:c r="N10" s="10">
        <x:f>SUM('[1]26고(현황)'!K15:L15)</x:f>
        <x:v>6</x:v>
      </x:c>
    </x:row>
    <x:row r="11" spans="1:14">
      <x:c r="A11" t="str">
        <x:f>'[1]26고(현황)'!C16</x:f>
        <x:v>도농고</x:v>
      </x:c>
      <x:c r="B11" t="s">
        <x:v>126</x:v>
      </x:c>
      <x:c r="C11">
        <x:f>'[1]26고(현황)'!F16</x:f>
        <x:v>1</x:v>
      </x:c>
      <x:c r="D11">
        <x:f>7*'[1]26고(현황)'!F16-'[1]26고(현황)'!N16+'[1]26고(현황)'!M16</x:f>
        <x:v>2</x:v>
      </x:c>
      <x:c r="E11" s="10">
        <x:f>D11+'[1]26고(현황)'!L16</x:f>
        <x:v>3</x:v>
      </x:c>
      <x:c r="F11" s="10">
        <x:f>E11+'[1]26고(현황)'!K16</x:f>
        <x:v>7</x:v>
      </x:c>
      <x:c r="H11" s="10">
        <x:f>'[1]26고(현황)'!M16</x:f>
        <x:v>4</x:v>
      </x:c>
      <x:c r="I11" s="10">
        <x:f>SUM('[1]26고(현황)'!L16:M16)</x:f>
        <x:v>5</x:v>
      </x:c>
      <x:c r="J11" s="10">
        <x:f>SUM('[1]26고(현황)'!K16:M16)</x:f>
        <x:v>9</x:v>
      </x:c>
      <x:c r="K11" s="10"/>
      <x:c r="L11" s="10"/>
      <x:c r="M11" s="10">
        <x:f>'[1]26고(현황)'!L16</x:f>
        <x:v>1</x:v>
      </x:c>
      <x:c r="N11" s="10">
        <x:f>SUM('[1]26고(현황)'!K16:L16)</x:f>
        <x:v>5</x:v>
      </x:c>
    </x:row>
    <x:row r="12" spans="1:14">
      <x:c r="A12" s="7" t="str">
        <x:f>'[1]26고(현황)'!C16</x:f>
        <x:v>도농고</x:v>
      </x:c>
      <x:c r="B12" s="7" t="s">
        <x:v>135</x:v>
      </x:c>
      <x:c r="C12" s="7">
        <x:f>'[1]26고(현황)'!G16</x:f>
        <x:v>1</x:v>
      </x:c>
      <x:c r="D12" s="7">
        <x:f>4*'[1]26고(현황)'!G16-'[1]26고(현황)'!N17+'[1]26고(현황)'!M17</x:f>
        <x:v>3</x:v>
      </x:c>
      <x:c r="E12" s="10">
        <x:f>D12+'[1]26고(현황)'!L17</x:f>
        <x:v>4</x:v>
      </x:c>
      <x:c r="F12" s="10">
        <x:f>E12+'[1]26고(현황)'!K17</x:f>
        <x:v>4</x:v>
      </x:c>
      <x:c r="H12" s="10">
        <x:f>'[1]26고(현황)'!M17</x:f>
        <x:v>3</x:v>
      </x:c>
      <x:c r="I12" s="10">
        <x:f>SUM('[1]26고(현황)'!L17:M17)</x:f>
        <x:v>4</x:v>
      </x:c>
      <x:c r="J12" s="10">
        <x:f>SUM('[1]26고(현황)'!K17:M17)</x:f>
        <x:v>4</x:v>
      </x:c>
      <x:c r="K12" s="10"/>
      <x:c r="L12" s="10"/>
      <x:c r="M12" s="10">
        <x:f>'[1]26고(현황)'!L17</x:f>
        <x:v>1</x:v>
      </x:c>
      <x:c r="N12" s="10">
        <x:f>SUM('[1]26고(현황)'!K17:L17)</x:f>
        <x:v>1</x:v>
      </x:c>
    </x:row>
    <x:row r="13" spans="1:14">
      <x:c r="A13" t="str">
        <x:f>'[1]26고(현황)'!C18</x:f>
        <x:v>마석고</x:v>
      </x:c>
      <x:c r="B13" t="s">
        <x:v>126</x:v>
      </x:c>
      <x:c r="C13">
        <x:f>'[1]26고(현황)'!F18</x:f>
        <x:v>3</x:v>
      </x:c>
      <x:c r="D13">
        <x:f>7*'[1]26고(현황)'!F18-'[1]26고(현황)'!N18+'[1]26고(현황)'!M18</x:f>
        <x:v>7</x:v>
      </x:c>
      <x:c r="E13" s="10">
        <x:f>D13+'[1]26고(현황)'!L18</x:f>
        <x:v>13</x:v>
      </x:c>
      <x:c r="F13" s="10">
        <x:f>E13+'[1]26고(현황)'!K18</x:f>
        <x:v>21</x:v>
      </x:c>
      <x:c r="H13" s="10">
        <x:f>'[1]26고(현황)'!M18</x:f>
        <x:v>7</x:v>
      </x:c>
      <x:c r="I13" s="10">
        <x:f>SUM('[1]26고(현황)'!L18:M18)</x:f>
        <x:v>13</x:v>
      </x:c>
      <x:c r="J13" s="10">
        <x:f>SUM('[1]26고(현황)'!K18:M18)</x:f>
        <x:v>21</x:v>
      </x:c>
      <x:c r="K13" s="10"/>
      <x:c r="L13" s="10"/>
      <x:c r="M13" s="10">
        <x:f>'[1]26고(현황)'!L18</x:f>
        <x:v>6</x:v>
      </x:c>
      <x:c r="N13" s="10">
        <x:f>SUM('[1]26고(현황)'!K18:L18)</x:f>
        <x:v>14</x:v>
      </x:c>
    </x:row>
    <x:row r="14" spans="1:14">
      <x:c r="A14" t="str">
        <x:f>'[1]26고(현황)'!C19</x:f>
        <x:v>별가람고</x:v>
      </x:c>
      <x:c r="B14" t="s">
        <x:v>126</x:v>
      </x:c>
      <x:c r="C14">
        <x:f>'[1]26고(현황)'!F19</x:f>
        <x:v>2</x:v>
      </x:c>
      <x:c r="D14">
        <x:f>7*'[1]26고(현황)'!F19-'[1]26고(현황)'!N19+'[1]26고(현황)'!M19</x:f>
        <x:v>7</x:v>
      </x:c>
      <x:c r="E14" s="10">
        <x:f>D14+'[1]26고(현황)'!L19</x:f>
        <x:v>11</x:v>
      </x:c>
      <x:c r="F14" s="10">
        <x:f>E14+'[1]26고(현황)'!K19</x:f>
        <x:v>14</x:v>
      </x:c>
      <x:c r="H14" s="10">
        <x:f>'[1]26고(현황)'!M19</x:f>
        <x:v>5</x:v>
      </x:c>
      <x:c r="I14" s="10">
        <x:f>SUM('[1]26고(현황)'!L19:M19)</x:f>
        <x:v>9</x:v>
      </x:c>
      <x:c r="J14" s="10">
        <x:f>SUM('[1]26고(현황)'!K19:M19)</x:f>
        <x:v>12</x:v>
      </x:c>
      <x:c r="K14" s="10"/>
      <x:c r="L14" s="10"/>
      <x:c r="M14" s="10">
        <x:f>'[1]26고(현황)'!L19</x:f>
        <x:v>4</x:v>
      </x:c>
      <x:c r="N14" s="10">
        <x:f>SUM('[1]26고(현황)'!K19:L19)</x:f>
        <x:v>7</x:v>
      </x:c>
    </x:row>
    <x:row r="15" spans="1:14">
      <x:c r="A15" s="9" t="str">
        <x:f>'[1]26고(현황)'!C19</x:f>
        <x:v>별가람고</x:v>
      </x:c>
      <x:c r="B15" s="9" t="s">
        <x:v>150</x:v>
      </x:c>
      <x:c r="C15" s="9">
        <x:f>'[1]26고(현황)'!H19</x:f>
        <x:v>2</x:v>
      </x:c>
      <x:c r="D15" s="9">
        <x:f>4*'[1]26고(현황)'!H19-'[1]26고(현황)'!N20+'[1]26고(현황)'!M20</x:f>
        <x:v>2</x:v>
      </x:c>
      <x:c r="E15" s="10">
        <x:f>D15+'[1]26고(현황)'!L20</x:f>
        <x:v>2</x:v>
      </x:c>
      <x:c r="F15" s="10">
        <x:f>E15+'[1]26고(현황)'!K20</x:f>
        <x:v>8</x:v>
      </x:c>
      <x:c r="H15" s="10">
        <x:f>'[1]26고(현황)'!M20</x:f>
        <x:v>2</x:v>
      </x:c>
      <x:c r="I15" s="10">
        <x:f>SUM('[1]26고(현황)'!L20:M20)</x:f>
        <x:v>2</x:v>
      </x:c>
      <x:c r="J15" s="10">
        <x:f>SUM('[1]26고(현황)'!K20:M20)</x:f>
        <x:v>8</x:v>
      </x:c>
      <x:c r="K15" s="10"/>
      <x:c r="L15" s="10"/>
      <x:c r="M15" s="10">
        <x:f>'[1]26고(현황)'!L20</x:f>
        <x:v>0</x:v>
      </x:c>
      <x:c r="N15" s="10">
        <x:f>SUM('[1]26고(현황)'!K20:L20)</x:f>
        <x:v>6</x:v>
      </x:c>
    </x:row>
    <x:row r="16" spans="1:14">
      <x:c r="A16" t="str">
        <x:f>'[1]26고(현황)'!C21</x:f>
        <x:v>별내고</x:v>
      </x:c>
      <x:c r="B16" t="s">
        <x:v>126</x:v>
      </x:c>
      <x:c r="C16">
        <x:f>'[1]26고(현황)'!F21</x:f>
        <x:v>2</x:v>
      </x:c>
      <x:c r="D16">
        <x:f>7*'[1]26고(현황)'!F21-'[1]26고(현황)'!N21+'[1]26고(현황)'!M21</x:f>
        <x:v>7</x:v>
      </x:c>
      <x:c r="E16" s="10">
        <x:f>D16+'[1]26고(현황)'!L21</x:f>
        <x:v>10</x:v>
      </x:c>
      <x:c r="F16" s="10">
        <x:f>E16+'[1]26고(현황)'!K21</x:f>
        <x:v>14</x:v>
      </x:c>
      <x:c r="H16" s="10">
        <x:f>'[1]26고(현황)'!M21</x:f>
        <x:v>2</x:v>
      </x:c>
      <x:c r="I16" s="10">
        <x:f>SUM('[1]26고(현황)'!L21:M21)</x:f>
        <x:v>5</x:v>
      </x:c>
      <x:c r="J16" s="10">
        <x:f>SUM('[1]26고(현황)'!K21:M21)</x:f>
        <x:v>9</x:v>
      </x:c>
      <x:c r="K16" s="10"/>
      <x:c r="L16" s="10"/>
      <x:c r="M16" s="10">
        <x:f>'[1]26고(현황)'!L21</x:f>
        <x:v>3</x:v>
      </x:c>
      <x:c r="N16" s="10">
        <x:f>SUM('[1]26고(현황)'!K21:L21)</x:f>
        <x:v>7</x:v>
      </x:c>
    </x:row>
    <x:row r="17" spans="1:14">
      <x:c r="A17" t="str">
        <x:f>'[1]26고(현황)'!C22</x:f>
        <x:v>오남고</x:v>
      </x:c>
      <x:c r="B17" t="s">
        <x:v>126</x:v>
      </x:c>
      <x:c r="C17">
        <x:f>'[1]26고(현황)'!F22</x:f>
        <x:v>3</x:v>
      </x:c>
      <x:c r="D17">
        <x:f>7*'[1]26고(현황)'!F22-'[1]26고(현황)'!N22+'[1]26고(현황)'!M22</x:f>
        <x:v>8</x:v>
      </x:c>
      <x:c r="E17" s="10">
        <x:f>D17+'[1]26고(현황)'!L22</x:f>
        <x:v>12</x:v>
      </x:c>
      <x:c r="F17" s="10">
        <x:f>E17+'[1]26고(현황)'!K22</x:f>
        <x:v>21</x:v>
      </x:c>
      <x:c r="H17" s="10">
        <x:f>'[1]26고(현황)'!M22</x:f>
        <x:v>7</x:v>
      </x:c>
      <x:c r="I17" s="10">
        <x:f>SUM('[1]26고(현황)'!L22:M22)</x:f>
        <x:v>11</x:v>
      </x:c>
      <x:c r="J17" s="10">
        <x:f>SUM('[1]26고(현황)'!K22:M22)</x:f>
        <x:v>20</x:v>
      </x:c>
      <x:c r="K17" s="10"/>
      <x:c r="L17" s="10"/>
      <x:c r="M17" s="10">
        <x:f>'[1]26고(현황)'!L22</x:f>
        <x:v>4</x:v>
      </x:c>
      <x:c r="N17" s="10">
        <x:f>SUM('[1]26고(현황)'!K22:L22)</x:f>
        <x:v>13</x:v>
      </x:c>
    </x:row>
    <x:row r="18" spans="1:14">
      <x:c r="A18" t="str">
        <x:f>'[1]26고(현황)'!C23</x:f>
        <x:v>와부고</x:v>
      </x:c>
      <x:c r="B18" t="s">
        <x:v>126</x:v>
      </x:c>
      <x:c r="C18">
        <x:f>'[1]26고(현황)'!F23</x:f>
        <x:v>3</x:v>
      </x:c>
      <x:c r="D18">
        <x:f>7*'[1]26고(현황)'!F23-'[1]26고(현황)'!N23+'[1]26고(현황)'!M23</x:f>
        <x:v>7</x:v>
      </x:c>
      <x:c r="E18" s="10">
        <x:f>D18+'[1]26고(현황)'!L23</x:f>
        <x:v>11</x:v>
      </x:c>
      <x:c r="F18" s="10">
        <x:f>E18+'[1]26고(현황)'!K23</x:f>
        <x:v>21</x:v>
      </x:c>
      <x:c r="H18" s="10">
        <x:f>'[1]26고(현황)'!M23</x:f>
        <x:v>9</x:v>
      </x:c>
      <x:c r="I18" s="10">
        <x:f>SUM('[1]26고(현황)'!L23:M23)</x:f>
        <x:v>13</x:v>
      </x:c>
      <x:c r="J18" s="10">
        <x:f>SUM('[1]26고(현황)'!K23:M23)</x:f>
        <x:v>23</x:v>
      </x:c>
      <x:c r="K18" s="10"/>
      <x:c r="L18" s="10"/>
      <x:c r="M18" s="10">
        <x:f>'[1]26고(현황)'!L23</x:f>
        <x:v>4</x:v>
      </x:c>
      <x:c r="N18" s="10">
        <x:f>SUM('[1]26고(현황)'!K23:L23)</x:f>
        <x:v>14</x:v>
      </x:c>
    </x:row>
    <x:row r="19" spans="1:14">
      <x:c r="A19" t="str">
        <x:f>'[1]26고(현황)'!C24</x:f>
        <x:v>진건고</x:v>
      </x:c>
      <x:c r="B19" t="s">
        <x:v>126</x:v>
      </x:c>
      <x:c r="C19">
        <x:f>'[1]26고(현황)'!F24</x:f>
        <x:v>2</x:v>
      </x:c>
      <x:c r="D19">
        <x:f>7*'[1]26고(현황)'!F24-'[1]26고(현황)'!N24+'[1]26고(현황)'!M24</x:f>
        <x:v>6</x:v>
      </x:c>
      <x:c r="E19" s="10">
        <x:f>D19+'[1]26고(현황)'!L24</x:f>
        <x:v>9</x:v>
      </x:c>
      <x:c r="F19" s="10">
        <x:f>E19+'[1]26고(현황)'!K24</x:f>
        <x:v>14</x:v>
      </x:c>
      <x:c r="H19" s="10">
        <x:f>'[1]26고(현황)'!M24</x:f>
        <x:v>8</x:v>
      </x:c>
      <x:c r="I19" s="10">
        <x:f>SUM('[1]26고(현황)'!L24:M24)</x:f>
        <x:v>11</x:v>
      </x:c>
      <x:c r="J19" s="10">
        <x:f>SUM('[1]26고(현황)'!K24:M24)</x:f>
        <x:v>16</x:v>
      </x:c>
      <x:c r="K19" s="10"/>
      <x:c r="L19" s="10"/>
      <x:c r="M19" s="10">
        <x:f>'[1]26고(현황)'!L24</x:f>
        <x:v>3</x:v>
      </x:c>
      <x:c r="N19" s="10">
        <x:f>SUM('[1]26고(현황)'!K24:L24)</x:f>
        <x:v>8</x:v>
      </x:c>
    </x:row>
    <x:row r="20" spans="1:14">
      <x:c r="A20" t="str">
        <x:f>'[1]26고(현황)'!C25</x:f>
        <x:v>진접고</x:v>
      </x:c>
      <x:c r="B20" t="s">
        <x:v>126</x:v>
      </x:c>
      <x:c r="C20">
        <x:f>'[1]26고(현황)'!F25</x:f>
        <x:v>3</x:v>
      </x:c>
      <x:c r="D20">
        <x:f>7*'[1]26고(현황)'!F25-'[1]26고(현황)'!N25+'[1]26고(현황)'!M25</x:f>
        <x:v>7</x:v>
      </x:c>
      <x:c r="E20" s="10">
        <x:f>D20+'[1]26고(현황)'!L25</x:f>
        <x:v>13</x:v>
      </x:c>
      <x:c r="F20" s="10">
        <x:f>E20+'[1]26고(현황)'!K25</x:f>
        <x:v>21</x:v>
      </x:c>
      <x:c r="H20" s="10">
        <x:f>'[1]26고(현황)'!M25</x:f>
        <x:v>7</x:v>
      </x:c>
      <x:c r="I20" s="10">
        <x:f>SUM('[1]26고(현황)'!L25:M25)</x:f>
        <x:v>13</x:v>
      </x:c>
      <x:c r="J20" s="10">
        <x:f>SUM('[1]26고(현황)'!K25:M25)</x:f>
        <x:v>21</x:v>
      </x:c>
      <x:c r="K20" s="10"/>
      <x:c r="L20" s="10"/>
      <x:c r="M20" s="10">
        <x:f>'[1]26고(현황)'!L25</x:f>
        <x:v>6</x:v>
      </x:c>
      <x:c r="N20" s="10">
        <x:f>SUM('[1]26고(현황)'!K25:L25)</x:f>
        <x:v>14</x:v>
      </x:c>
    </x:row>
    <x:row r="21" spans="1:14">
      <x:c r="A21" t="str">
        <x:f>'[1]26고(현황)'!C26</x:f>
        <x:v>청학고</x:v>
      </x:c>
      <x:c r="B21" t="s">
        <x:v>126</x:v>
      </x:c>
      <x:c r="C21">
        <x:f>'[1]26고(현황)'!F26</x:f>
        <x:v>1</x:v>
      </x:c>
      <x:c r="D21">
        <x:f>7*'[1]26고(현황)'!F26-'[1]26고(현황)'!N26+'[1]26고(현황)'!M26</x:f>
        <x:v>5</x:v>
      </x:c>
      <x:c r="E21" s="10">
        <x:f>D21+'[1]26고(현황)'!L26</x:f>
        <x:v>5</x:v>
      </x:c>
      <x:c r="F21" s="10">
        <x:f>E21+'[1]26고(현황)'!K26</x:f>
        <x:v>7</x:v>
      </x:c>
      <x:c r="H21" s="10">
        <x:f>'[1]26고(현황)'!M26</x:f>
        <x:v>0</x:v>
      </x:c>
      <x:c r="I21" s="10">
        <x:f>SUM('[1]26고(현황)'!L26:M26)</x:f>
        <x:v>0</x:v>
      </x:c>
      <x:c r="J21" s="10">
        <x:f>SUM('[1]26고(현황)'!K26:M26)</x:f>
        <x:v>2</x:v>
      </x:c>
      <x:c r="K21" s="10"/>
      <x:c r="L21" s="10"/>
      <x:c r="M21" s="10">
        <x:f>'[1]26고(현황)'!L26</x:f>
        <x:v>0</x:v>
      </x:c>
      <x:c r="N21" s="10">
        <x:f>SUM('[1]26고(현황)'!K26:L26)</x:f>
        <x:v>2</x:v>
      </x:c>
    </x:row>
    <x:row r="22" spans="1:14">
      <x:c r="A22" t="str">
        <x:f>'[1]26고(현황)'!C27</x:f>
        <x:v>퇴계원고</x:v>
      </x:c>
      <x:c r="B22" t="s">
        <x:v>126</x:v>
      </x:c>
      <x:c r="C22">
        <x:f>'[1]26고(현황)'!F27</x:f>
        <x:v>2</x:v>
      </x:c>
      <x:c r="D22">
        <x:f>7*'[1]26고(현황)'!F27-'[1]26고(현황)'!N27+'[1]26고(현황)'!M27</x:f>
        <x:v>4</x:v>
      </x:c>
      <x:c r="E22" s="10">
        <x:f>D22+'[1]26고(현황)'!L27</x:f>
        <x:v>8</x:v>
      </x:c>
      <x:c r="F22" s="10">
        <x:f>E22+'[1]26고(현황)'!K27</x:f>
        <x:v>14</x:v>
      </x:c>
      <x:c r="H22" s="10">
        <x:f>'[1]26고(현황)'!M27</x:f>
        <x:v>5</x:v>
      </x:c>
      <x:c r="I22" s="10">
        <x:f>SUM('[1]26고(현황)'!L27:M27)</x:f>
        <x:v>9</x:v>
      </x:c>
      <x:c r="J22" s="10">
        <x:f>SUM('[1]26고(현황)'!K27:M27)</x:f>
        <x:v>15</x:v>
      </x:c>
      <x:c r="K22" s="10"/>
      <x:c r="L22" s="10"/>
      <x:c r="M22" s="10">
        <x:f>'[1]26고(현황)'!L27</x:f>
        <x:v>4</x:v>
      </x:c>
      <x:c r="N22" s="10">
        <x:f>SUM('[1]26고(현황)'!K27:L27)</x:f>
        <x:v>10</x:v>
      </x:c>
    </x:row>
    <x:row r="23" spans="1:14">
      <x:c r="A23" t="str">
        <x:f>'[1]26고(현황)'!C28</x:f>
        <x:v>판곡고</x:v>
      </x:c>
      <x:c r="B23" t="s">
        <x:v>126</x:v>
      </x:c>
      <x:c r="C23">
        <x:f>'[1]26고(현황)'!F28</x:f>
        <x:v>2</x:v>
      </x:c>
      <x:c r="D23">
        <x:f>7*'[1]26고(현황)'!F28-'[1]26고(현황)'!N28+'[1]26고(현황)'!M28</x:f>
        <x:v>3</x:v>
      </x:c>
      <x:c r="E23" s="10">
        <x:f>D23+'[1]26고(현황)'!L28</x:f>
        <x:v>7</x:v>
      </x:c>
      <x:c r="F23" s="10">
        <x:f>E23+'[1]26고(현황)'!K28</x:f>
        <x:v>14</x:v>
      </x:c>
      <x:c r="H23" s="10">
        <x:f>'[1]26고(현황)'!M28</x:f>
        <x:v>3</x:v>
      </x:c>
      <x:c r="I23" s="10">
        <x:f>SUM('[1]26고(현황)'!L28:M28)</x:f>
        <x:v>7</x:v>
      </x:c>
      <x:c r="J23" s="10">
        <x:f>SUM('[1]26고(현황)'!K28:M28)</x:f>
        <x:v>14</x:v>
      </x:c>
      <x:c r="K23" s="10"/>
      <x:c r="L23" s="10"/>
      <x:c r="M23" s="10">
        <x:f>'[1]26고(현황)'!L28</x:f>
        <x:v>4</x:v>
      </x:c>
      <x:c r="N23" s="10">
        <x:f>SUM('[1]26고(현황)'!K28:L28)</x:f>
        <x:v>11</x:v>
      </x:c>
    </x:row>
    <x:row r="24" spans="1:14">
      <x:c r="A24" t="str">
        <x:f>'[1]26고(현황)'!C29</x:f>
        <x:v>평내고</x:v>
      </x:c>
      <x:c r="B24" t="s">
        <x:v>126</x:v>
      </x:c>
      <x:c r="C24">
        <x:f>'[1]26고(현황)'!F29</x:f>
        <x:v>2</x:v>
      </x:c>
      <x:c r="D24">
        <x:f>7*'[1]26고(현황)'!F29-'[1]26고(현황)'!N29+'[1]26고(현황)'!M29</x:f>
        <x:v>5</x:v>
      </x:c>
      <x:c r="E24" s="10">
        <x:f>D24+'[1]26고(현황)'!L29</x:f>
        <x:v>9</x:v>
      </x:c>
      <x:c r="F24" s="10">
        <x:f>E24+'[1]26고(현황)'!K29</x:f>
        <x:v>14</x:v>
      </x:c>
      <x:c r="H24" s="10">
        <x:f>'[1]26고(현황)'!M29</x:f>
        <x:v>7</x:v>
      </x:c>
      <x:c r="I24" s="10">
        <x:f>SUM('[1]26고(현황)'!L29:M29)</x:f>
        <x:v>11</x:v>
      </x:c>
      <x:c r="J24" s="10">
        <x:f>SUM('[1]26고(현황)'!K29:M29)</x:f>
        <x:v>16</x:v>
      </x:c>
      <x:c r="K24" s="10"/>
      <x:c r="L24" s="10"/>
      <x:c r="M24" s="10">
        <x:f>'[1]26고(현황)'!L29</x:f>
        <x:v>4</x:v>
      </x:c>
      <x:c r="N24" s="10">
        <x:f>SUM('[1]26고(현황)'!K29:L29)</x:f>
        <x:v>9</x:v>
      </x:c>
    </x:row>
    <x:row r="25" spans="1:14">
      <x:c r="A25" t="str">
        <x:f>'[1]26고(현황)'!C30</x:f>
        <x:v>호평고</x:v>
      </x:c>
      <x:c r="B25" t="s">
        <x:v>126</x:v>
      </x:c>
      <x:c r="C25">
        <x:f>'[1]26고(현황)'!F30</x:f>
        <x:v>3</x:v>
      </x:c>
      <x:c r="D25">
        <x:f>7*'[1]26고(현황)'!F30-'[1]26고(현황)'!N30+'[1]26고(현황)'!M30</x:f>
        <x:v>11</x:v>
      </x:c>
      <x:c r="E25" s="10">
        <x:f>D25+'[1]26고(현황)'!L30</x:f>
        <x:v>14</x:v>
      </x:c>
      <x:c r="F25" s="10">
        <x:f>E25+'[1]26고(현황)'!K30</x:f>
        <x:v>21</x:v>
      </x:c>
      <x:c r="H25" s="10">
        <x:f>'[1]26고(현황)'!M30</x:f>
        <x:v>5</x:v>
      </x:c>
      <x:c r="I25" s="10">
        <x:f>SUM('[1]26고(현황)'!L30:M30)</x:f>
        <x:v>8</x:v>
      </x:c>
      <x:c r="J25" s="10">
        <x:f>SUM('[1]26고(현황)'!K30:M30)</x:f>
        <x:v>15</x:v>
      </x:c>
      <x:c r="K25" s="10"/>
      <x:c r="L25" s="10"/>
      <x:c r="M25" s="10">
        <x:f>'[1]26고(현황)'!L30</x:f>
        <x:v>3</x:v>
      </x:c>
      <x:c r="N25" s="10">
        <x:f>SUM('[1]26고(현황)'!K30:L30)</x:f>
        <x:v>10</x:v>
      </x:c>
    </x:row>
    <x:row r="26" spans="1:14">
      <x:c r="A26" s="7" t="str">
        <x:f>'[1]26고(현황)'!C30</x:f>
        <x:v>호평고</x:v>
      </x:c>
      <x:c r="B26" s="7" t="s">
        <x:v>135</x:v>
      </x:c>
      <x:c r="C26" s="7">
        <x:f>'[1]26고(현황)'!G30</x:f>
        <x:v>1</x:v>
      </x:c>
      <x:c r="D26" s="7">
        <x:f>4*'[1]26고(현황)'!G30-'[1]26고(현황)'!N31+'[1]26고(현황)'!M31</x:f>
        <x:v>4</x:v>
      </x:c>
      <x:c r="E26" s="10">
        <x:f>D26+'[1]26고(현황)'!L31</x:f>
        <x:v>4</x:v>
      </x:c>
      <x:c r="F26" s="10">
        <x:f>E26+'[1]26고(현황)'!K31</x:f>
        <x:v>4</x:v>
      </x:c>
      <x:c r="H26" s="10">
        <x:f>'[1]26고(현황)'!M31</x:f>
        <x:v>3</x:v>
      </x:c>
      <x:c r="I26" s="10">
        <x:f>SUM('[1]26고(현황)'!L31:M31)</x:f>
        <x:v>3</x:v>
      </x:c>
      <x:c r="J26" s="10">
        <x:f>SUM('[1]26고(현황)'!K31:M31)</x:f>
        <x:v>3</x:v>
      </x:c>
      <x:c r="K26" s="10"/>
      <x:c r="L26" s="10"/>
      <x:c r="M26" s="10">
        <x:f>'[1]26고(현황)'!L31</x:f>
        <x:v>0</x:v>
      </x:c>
      <x:c r="N26" s="10">
        <x:f>SUM('[1]26고(현황)'!K31:L31)</x:f>
        <x:v>0</x:v>
      </x:c>
    </x:row>
    <x:row r="27" spans="1:14">
      <x:c r="A27" s="7" t="s">
        <x:v>4</x:v>
      </x:c>
      <x:c r="B27" s="7" t="s">
        <x:v>135</x:v>
      </x:c>
      <x:c r="C27" s="7">
        <x:f>'[1]26경은(현황)'!D9</x:f>
        <x:v>1</x:v>
      </x:c>
      <x:c r="D27" s="7">
        <x:f>4*'[1]26경은(현황)'!D9-'[1]26경은(현황)'!F10-'[1]26경은(현황)'!G10</x:f>
        <x:v>0</x:v>
      </x:c>
      <x:c r="E27">
        <x:f>D27+'[1]26경은(현황)'!G10</x:f>
        <x:v>2</x:v>
      </x:c>
      <x:c r="F27">
        <x:f>E27+'[1]26경은(현황)'!F10</x:f>
        <x:v>4</x:v>
      </x:c>
      <x:c r="H27">
        <x:f>'[1]26경은(현황)'!H10</x:f>
        <x:v>0</x:v>
      </x:c>
      <x:c r="I27">
        <x:f>SUM('[1]26경은(현황)'!G10:H10)</x:f>
        <x:v>2</x:v>
      </x:c>
      <x:c r="J27">
        <x:f>SUM('[1]26경은(현황)'!F10:H10)</x:f>
        <x:v>4</x:v>
      </x:c>
      <x:c r="M27">
        <x:f>'[1]26경은(현황)'!G10</x:f>
        <x:v>2</x:v>
      </x:c>
      <x:c r="N27">
        <x:f>SUM('[1]26경은(현황)'!F10:G10)</x:f>
        <x:v>4</x:v>
      </x:c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유치원</vt:lpstr>
      <vt:lpstr>초등학교</vt:lpstr>
      <vt:lpstr>중학교</vt:lpstr>
      <vt:lpstr>고등학교</vt:lpstr>
    </vt:vector>
  </ep:TitlesOfParts>
  <ep:TotalTime>135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25</cp:revision>
  <dcterms:created xsi:type="dcterms:W3CDTF">2026-08-05T07:34:10.442</dcterms:created>
  <dcterms:modified xsi:type="dcterms:W3CDTF">2026-08-21T04:13:51.700</dcterms:modified>
  <cp:version>1200.0100.01</cp:version>
</cp:coreProperties>
</file>